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polina/Downloads/Minerva Code/"/>
    </mc:Choice>
  </mc:AlternateContent>
  <xr:revisionPtr revIDLastSave="0" documentId="13_ncr:1_{B366D845-FEC5-CA4D-A9D6-DB58A8E9CD55}" xr6:coauthVersionLast="47" xr6:coauthVersionMax="47" xr10:uidLastSave="{00000000-0000-0000-0000-000000000000}"/>
  <bookViews>
    <workbookView xWindow="12660" yWindow="640" windowWidth="14820" windowHeight="15880" firstSheet="4" activeTab="4" xr2:uid="{00000000-000D-0000-FFFF-FFFF00000000}"/>
  </bookViews>
  <sheets>
    <sheet name="US DATA" sheetId="10" r:id="rId1"/>
    <sheet name="EU DATA" sheetId="4" r:id="rId2"/>
    <sheet name="S&amp;P500 and STOXX Data" sheetId="16" r:id="rId3"/>
    <sheet name="S&amp;P500 and STOXX PERFOMRMANCE" sheetId="17" r:id="rId4"/>
    <sheet name="EU PORTFOLIO" sheetId="9" r:id="rId5"/>
    <sheet name="US PORTFOLIO" sheetId="11" r:id="rId6"/>
    <sheet name="EURUSD" sheetId="20" r:id="rId7"/>
    <sheet name="Worst Performer" sheetId="18" r:id="rId8"/>
    <sheet name="DATES CHECK" sheetId="13" r:id="rId9"/>
    <sheet name="PERFORMANCE UPDATE" sheetId="21" r:id="rId10"/>
    <sheet name="TOTAL DAILY" sheetId="6" r:id="rId11"/>
    <sheet name="HISTORICAL" sheetId="5" r:id="rId12"/>
    <sheet name="HISTORICAL CHART" sheetId="8" r:id="rId13"/>
    <sheet name="Semester Charter" sheetId="15" r:id="rId14"/>
  </sheets>
  <externalReferences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AU12" i="9" a="1"/>
  <c r="AU12" i="9" s="1"/>
  <c r="AR12" i="11" a="1"/>
  <c r="AR12" i="11" s="1"/>
  <c r="AR20" i="11" a="1"/>
  <c r="AR20" i="11" s="1"/>
  <c r="X162" i="9"/>
  <c r="AU11" i="9" a="1"/>
  <c r="AU11" i="9" s="1"/>
  <c r="AR11" i="9" a="1"/>
  <c r="AR11" i="9" s="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34" i="21"/>
  <c r="F35" i="21"/>
  <c r="F36" i="21"/>
  <c r="F37" i="21"/>
  <c r="F38" i="21"/>
  <c r="F39" i="21"/>
  <c r="F40" i="21"/>
  <c r="F41" i="21"/>
  <c r="F42" i="21"/>
  <c r="F43" i="21"/>
  <c r="F44" i="21"/>
  <c r="F45" i="21"/>
  <c r="F46" i="21"/>
  <c r="F47" i="21"/>
  <c r="F48" i="21"/>
  <c r="F49" i="21"/>
  <c r="F2" i="21"/>
  <c r="AY58" i="11"/>
  <c r="AY14" i="11"/>
  <c r="AY15" i="11"/>
  <c r="AY16" i="11"/>
  <c r="AY17" i="11"/>
  <c r="AY18" i="11"/>
  <c r="AY19" i="11"/>
  <c r="AY22" i="11"/>
  <c r="AY23" i="11"/>
  <c r="AY24" i="11"/>
  <c r="AY25" i="11"/>
  <c r="AY26" i="11"/>
  <c r="AY27" i="11"/>
  <c r="AY28" i="11"/>
  <c r="AY29" i="11"/>
  <c r="AY30" i="11"/>
  <c r="AY31" i="11"/>
  <c r="AY32" i="11"/>
  <c r="AY33" i="11"/>
  <c r="AY34" i="11"/>
  <c r="AY35" i="11"/>
  <c r="AY36" i="11"/>
  <c r="AY37" i="11"/>
  <c r="AY38" i="11"/>
  <c r="AY39" i="11"/>
  <c r="AY40" i="11"/>
  <c r="AY41" i="11"/>
  <c r="AY42" i="11"/>
  <c r="AY43" i="11"/>
  <c r="AY44" i="11"/>
  <c r="AY45" i="11"/>
  <c r="AY46" i="11"/>
  <c r="AY47" i="11"/>
  <c r="AY48" i="11"/>
  <c r="AY49" i="11"/>
  <c r="AY50" i="11"/>
  <c r="AY51" i="11"/>
  <c r="AY52" i="11"/>
  <c r="AY53" i="11"/>
  <c r="AY54" i="11"/>
  <c r="AY55" i="11"/>
  <c r="AY56" i="11"/>
  <c r="AY57" i="11"/>
  <c r="A1" i="20"/>
  <c r="V3" i="4"/>
  <c r="A3" i="4"/>
  <c r="V3" i="10"/>
  <c r="A245" i="10"/>
  <c r="A3" i="10"/>
  <c r="A1" i="16"/>
  <c r="F52" i="21" l="1"/>
  <c r="Y160" i="11"/>
  <c r="Z160" i="11"/>
  <c r="AA160" i="11"/>
  <c r="AB160" i="11"/>
  <c r="AC160" i="11"/>
  <c r="AD160" i="11"/>
  <c r="AE160" i="11"/>
  <c r="AF160" i="11"/>
  <c r="AG160" i="11"/>
  <c r="AH160" i="11"/>
  <c r="AI160" i="11"/>
  <c r="AJ160" i="11"/>
  <c r="AK160" i="11"/>
  <c r="AL160" i="11"/>
  <c r="AM160" i="11"/>
  <c r="AN160" i="11"/>
  <c r="AO160" i="11"/>
  <c r="AP160" i="11"/>
  <c r="AQ160" i="11"/>
  <c r="X160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J159" i="11"/>
  <c r="AK159" i="11"/>
  <c r="AL159" i="11"/>
  <c r="AM159" i="11"/>
  <c r="AN159" i="11"/>
  <c r="AO159" i="11"/>
  <c r="AP159" i="11"/>
  <c r="AQ159" i="11"/>
  <c r="X159" i="11"/>
  <c r="AU58" i="9" a="1"/>
  <c r="AU58" i="9"/>
  <c r="AT58" i="9"/>
  <c r="X170" i="9"/>
  <c r="AV58" i="9"/>
  <c r="AQ164" i="9"/>
  <c r="Y164" i="9"/>
  <c r="Z164" i="9"/>
  <c r="AA164" i="9"/>
  <c r="AB164" i="9"/>
  <c r="AC164" i="9"/>
  <c r="AD164" i="9"/>
  <c r="AE164" i="9"/>
  <c r="AF164" i="9"/>
  <c r="AG164" i="9"/>
  <c r="AH164" i="9"/>
  <c r="AI164" i="9"/>
  <c r="AJ164" i="9"/>
  <c r="AK164" i="9"/>
  <c r="AL164" i="9"/>
  <c r="AM164" i="9"/>
  <c r="AN164" i="9"/>
  <c r="AO164" i="9"/>
  <c r="AP164" i="9"/>
  <c r="AU42" i="9" a="1"/>
  <c r="AU42" i="9" s="1"/>
  <c r="AU59" i="9" a="1"/>
  <c r="AU59" i="9" s="1"/>
  <c r="AU71" i="9" a="1"/>
  <c r="AU71" i="9" s="1"/>
  <c r="AU74" i="9" a="1"/>
  <c r="AU74" i="9" s="1"/>
  <c r="AU75" i="9" a="1"/>
  <c r="AU75" i="9" s="1"/>
  <c r="AU87" i="9" a="1"/>
  <c r="AU87" i="9" s="1"/>
  <c r="AU89" i="9" a="1"/>
  <c r="AU89" i="9" s="1"/>
  <c r="AU90" i="9" a="1"/>
  <c r="AU90" i="9" s="1"/>
  <c r="AU102" i="9" a="1"/>
  <c r="AU102" i="9" s="1"/>
  <c r="AU136" i="9" a="1"/>
  <c r="AU136" i="9" s="1"/>
  <c r="AU150" i="9" a="1"/>
  <c r="AU150" i="9" s="1"/>
  <c r="AU151" i="9" a="1"/>
  <c r="AU151" i="9" s="1"/>
  <c r="AU152" i="9" a="1"/>
  <c r="AU152" i="9" s="1"/>
  <c r="AR37" i="9" a="1"/>
  <c r="AR37" i="9" s="1"/>
  <c r="X169" i="11"/>
  <c r="Y159" i="9"/>
  <c r="Z159" i="9"/>
  <c r="AA159" i="9"/>
  <c r="AB159" i="9"/>
  <c r="AC159" i="9"/>
  <c r="AD159" i="9"/>
  <c r="AE159" i="9"/>
  <c r="AF159" i="9"/>
  <c r="AG159" i="9"/>
  <c r="AH159" i="9"/>
  <c r="AI159" i="9"/>
  <c r="AJ159" i="9"/>
  <c r="AK159" i="9"/>
  <c r="AL159" i="9"/>
  <c r="AM159" i="9"/>
  <c r="AN159" i="9"/>
  <c r="AO159" i="9"/>
  <c r="AP159" i="9"/>
  <c r="AQ159" i="9"/>
  <c r="Y160" i="9"/>
  <c r="Z160" i="9"/>
  <c r="AA160" i="9"/>
  <c r="AB160" i="9"/>
  <c r="AC160" i="9"/>
  <c r="AD160" i="9"/>
  <c r="AE160" i="9"/>
  <c r="AF160" i="9"/>
  <c r="AG160" i="9"/>
  <c r="AH160" i="9"/>
  <c r="AI160" i="9"/>
  <c r="AJ160" i="9"/>
  <c r="AK160" i="9"/>
  <c r="AL160" i="9"/>
  <c r="AM160" i="9"/>
  <c r="AN160" i="9"/>
  <c r="AO160" i="9"/>
  <c r="AP160" i="9"/>
  <c r="AQ160" i="9"/>
  <c r="Y162" i="9"/>
  <c r="AU55" i="9" s="1" a="1"/>
  <c r="AU55" i="9" s="1"/>
  <c r="Z162" i="9"/>
  <c r="AU24" i="9" s="1" a="1"/>
  <c r="AU24" i="9" s="1"/>
  <c r="AA162" i="9"/>
  <c r="AU121" i="9" s="1" a="1"/>
  <c r="AU121" i="9" s="1"/>
  <c r="AB162" i="9"/>
  <c r="AB163" i="9" s="1"/>
  <c r="AC162" i="9"/>
  <c r="AC163" i="9" s="1"/>
  <c r="AD162" i="9"/>
  <c r="AD163" i="9" s="1"/>
  <c r="AE162" i="9"/>
  <c r="AE163" i="9" s="1"/>
  <c r="AF162" i="9"/>
  <c r="AF163" i="9" s="1"/>
  <c r="AG162" i="9"/>
  <c r="AG163" i="9" s="1"/>
  <c r="AH162" i="9"/>
  <c r="AH163" i="9" s="1"/>
  <c r="AI162" i="9"/>
  <c r="AJ162" i="9"/>
  <c r="AJ163" i="9" s="1"/>
  <c r="AK162" i="9"/>
  <c r="AK163" i="9" s="1"/>
  <c r="AL162" i="9"/>
  <c r="AL163" i="9" s="1"/>
  <c r="AM162" i="9"/>
  <c r="AM163" i="9" s="1"/>
  <c r="AN162" i="9"/>
  <c r="AN163" i="9" s="1"/>
  <c r="AO162" i="9"/>
  <c r="AO163" i="9" s="1"/>
  <c r="AP162" i="9"/>
  <c r="AP163" i="9" s="1"/>
  <c r="AQ162" i="9"/>
  <c r="AQ163" i="9" s="1"/>
  <c r="Y163" i="9"/>
  <c r="Z163" i="9"/>
  <c r="AA163" i="9"/>
  <c r="AI163" i="9"/>
  <c r="X162" i="11"/>
  <c r="X163" i="9"/>
  <c r="B164" i="9"/>
  <c r="B163" i="9"/>
  <c r="B162" i="9"/>
  <c r="X160" i="9"/>
  <c r="X159" i="9"/>
  <c r="C160" i="9"/>
  <c r="D160" i="9"/>
  <c r="E160" i="9"/>
  <c r="F160" i="9"/>
  <c r="G160" i="9"/>
  <c r="H160" i="9"/>
  <c r="I160" i="9"/>
  <c r="J160" i="9"/>
  <c r="K160" i="9"/>
  <c r="L160" i="9"/>
  <c r="M160" i="9"/>
  <c r="N160" i="9"/>
  <c r="O160" i="9"/>
  <c r="P160" i="9"/>
  <c r="Q160" i="9"/>
  <c r="R160" i="9"/>
  <c r="S160" i="9"/>
  <c r="T160" i="9"/>
  <c r="U160" i="9"/>
  <c r="B160" i="9"/>
  <c r="C159" i="9"/>
  <c r="D159" i="9"/>
  <c r="E159" i="9"/>
  <c r="F159" i="9"/>
  <c r="G159" i="9"/>
  <c r="H159" i="9"/>
  <c r="I159" i="9"/>
  <c r="J159" i="9"/>
  <c r="K159" i="9"/>
  <c r="L159" i="9"/>
  <c r="M159" i="9"/>
  <c r="N159" i="9"/>
  <c r="O159" i="9"/>
  <c r="P159" i="9"/>
  <c r="Q159" i="9"/>
  <c r="R159" i="9"/>
  <c r="S159" i="9"/>
  <c r="T159" i="9"/>
  <c r="U159" i="9"/>
  <c r="B159" i="9"/>
  <c r="B162" i="11"/>
  <c r="J162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B160" i="11"/>
  <c r="B163" i="11" s="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B159" i="11"/>
  <c r="X163" i="11" l="1"/>
  <c r="X164" i="11"/>
  <c r="AU135" i="9" a="1"/>
  <c r="AU135" i="9" s="1"/>
  <c r="AU41" i="9" a="1"/>
  <c r="AU41" i="9" s="1"/>
  <c r="AU38" i="9" a="1"/>
  <c r="AU38" i="9" s="1"/>
  <c r="AU25" i="9" a="1"/>
  <c r="AU25" i="9" s="1"/>
  <c r="AU133" i="9" a="1"/>
  <c r="AU133" i="9" s="1"/>
  <c r="AU120" i="9" a="1"/>
  <c r="AU120" i="9" s="1"/>
  <c r="AU49" i="9" a="1"/>
  <c r="AU49" i="9" s="1"/>
  <c r="AU50" i="9" a="1"/>
  <c r="AU50" i="9" s="1"/>
  <c r="AU35" i="9" a="1"/>
  <c r="AU35" i="9" s="1"/>
  <c r="AU69" i="9" a="1"/>
  <c r="AU69" i="9" s="1"/>
  <c r="AU147" i="9" a="1"/>
  <c r="AU147" i="9" s="1"/>
  <c r="AU132" i="9" a="1"/>
  <c r="AU132" i="9" s="1"/>
  <c r="AU16" i="9" a="1"/>
  <c r="AU16" i="9" s="1"/>
  <c r="AU33" i="9" a="1"/>
  <c r="AU33" i="9" s="1"/>
  <c r="AU66" i="9" a="1"/>
  <c r="AU66" i="9" s="1"/>
  <c r="AU82" i="9" a="1"/>
  <c r="AU82" i="9" s="1"/>
  <c r="AU97" i="9" a="1"/>
  <c r="AU97" i="9" s="1"/>
  <c r="AU128" i="9" a="1"/>
  <c r="AU128" i="9" s="1"/>
  <c r="AU143" i="9" a="1"/>
  <c r="AU143" i="9" s="1"/>
  <c r="AU34" i="9" a="1"/>
  <c r="AU34" i="9" s="1"/>
  <c r="AU67" i="9" a="1"/>
  <c r="AU67" i="9" s="1"/>
  <c r="AU98" i="9" a="1"/>
  <c r="AU98" i="9" s="1"/>
  <c r="AU113" i="9" a="1"/>
  <c r="AU113" i="9" s="1"/>
  <c r="AU129" i="9" a="1"/>
  <c r="AU129" i="9" s="1"/>
  <c r="AU18" i="9" a="1"/>
  <c r="AU18" i="9" s="1"/>
  <c r="AU51" i="9" a="1"/>
  <c r="AU51" i="9" s="1"/>
  <c r="AU99" i="9" a="1"/>
  <c r="AU99" i="9" s="1"/>
  <c r="AU114" i="9" a="1"/>
  <c r="AU114" i="9" s="1"/>
  <c r="AU130" i="9" a="1"/>
  <c r="AU130" i="9" s="1"/>
  <c r="AU52" i="9" a="1"/>
  <c r="AU52" i="9" s="1"/>
  <c r="AU100" i="9" a="1"/>
  <c r="AU100" i="9" s="1"/>
  <c r="AU115" i="9" a="1"/>
  <c r="AU115" i="9" s="1"/>
  <c r="AU53" i="9" a="1"/>
  <c r="AU53" i="9" s="1"/>
  <c r="AU85" i="9" a="1"/>
  <c r="AU85" i="9" s="1"/>
  <c r="AU116" i="9" a="1"/>
  <c r="AU116" i="9" s="1"/>
  <c r="AU37" i="9" a="1"/>
  <c r="AU37" i="9" s="1"/>
  <c r="AU86" i="9" a="1"/>
  <c r="AU86" i="9" s="1"/>
  <c r="AU117" i="9" a="1"/>
  <c r="AU117" i="9" s="1"/>
  <c r="AU144" i="9" a="1"/>
  <c r="AU144" i="9" s="1"/>
  <c r="AU83" i="9" a="1"/>
  <c r="AU83" i="9" s="1"/>
  <c r="AU145" i="9" a="1"/>
  <c r="AU145" i="9" s="1"/>
  <c r="AU84" i="9" a="1"/>
  <c r="AU84" i="9" s="1"/>
  <c r="AU146" i="9" a="1"/>
  <c r="AU146" i="9" s="1"/>
  <c r="AU19" i="9" a="1"/>
  <c r="AU19" i="9" s="1"/>
  <c r="AU70" i="9" a="1"/>
  <c r="AU70" i="9" s="1"/>
  <c r="AU131" i="9" a="1"/>
  <c r="AU131" i="9" s="1"/>
  <c r="AU20" i="9" a="1"/>
  <c r="AU20" i="9" s="1"/>
  <c r="AU101" i="9" a="1"/>
  <c r="AU101" i="9" s="1"/>
  <c r="AU148" i="9" a="1"/>
  <c r="AU148" i="9" s="1"/>
  <c r="AU17" i="9" a="1"/>
  <c r="AU17" i="9" s="1"/>
  <c r="AU36" i="9" a="1"/>
  <c r="AU36" i="9" s="1"/>
  <c r="AU54" i="9" a="1"/>
  <c r="AU54" i="9" s="1"/>
  <c r="AU68" i="9" a="1"/>
  <c r="AU68" i="9" s="1"/>
  <c r="AU56" i="9" a="1"/>
  <c r="AU56" i="9" s="1"/>
  <c r="AU72" i="9" a="1"/>
  <c r="AU72" i="9" s="1"/>
  <c r="AU88" i="9" a="1"/>
  <c r="AU88" i="9" s="1"/>
  <c r="AU103" i="9" a="1"/>
  <c r="AU103" i="9" s="1"/>
  <c r="AU134" i="9" a="1"/>
  <c r="AU134" i="9" s="1"/>
  <c r="AU149" i="9" a="1"/>
  <c r="AU149" i="9" s="1"/>
  <c r="AU23" i="9" a="1"/>
  <c r="AU23" i="9" s="1"/>
  <c r="AU40" i="9" a="1"/>
  <c r="AU40" i="9" s="1"/>
  <c r="AU57" i="9" a="1"/>
  <c r="AU57" i="9" s="1"/>
  <c r="AU73" i="9" a="1"/>
  <c r="AU73" i="9" s="1"/>
  <c r="AU104" i="9" a="1"/>
  <c r="AU104" i="9" s="1"/>
  <c r="AU119" i="9" a="1"/>
  <c r="AU119" i="9" s="1"/>
  <c r="AU118" i="9" a="1"/>
  <c r="AU118" i="9" s="1"/>
  <c r="AU21" i="9" a="1"/>
  <c r="AU21" i="9" s="1"/>
  <c r="AU106" i="9" a="1"/>
  <c r="AU106" i="9" s="1"/>
  <c r="AU105" i="9" a="1"/>
  <c r="AU105" i="9" s="1"/>
  <c r="AU39" i="9" a="1"/>
  <c r="AU39" i="9" s="1"/>
  <c r="AU22" i="9" a="1"/>
  <c r="AU22" i="9" s="1"/>
  <c r="AU31" i="9" a="1"/>
  <c r="AU31" i="9" s="1"/>
  <c r="AU112" i="9" a="1"/>
  <c r="AU112" i="9" s="1"/>
  <c r="AU96" i="9" a="1"/>
  <c r="AU96" i="9" s="1"/>
  <c r="AU81" i="9" a="1"/>
  <c r="AU81" i="9" s="1"/>
  <c r="AU65" i="9" a="1"/>
  <c r="AU65" i="9" s="1"/>
  <c r="AU48" i="9" a="1"/>
  <c r="AU48" i="9" s="1"/>
  <c r="AU32" i="9" a="1"/>
  <c r="AU32" i="9" s="1"/>
  <c r="AU142" i="9" a="1"/>
  <c r="AU142" i="9" s="1"/>
  <c r="AU126" i="9" a="1"/>
  <c r="AU126" i="9" s="1"/>
  <c r="AU111" i="9" a="1"/>
  <c r="AU111" i="9" s="1"/>
  <c r="AU95" i="9" a="1"/>
  <c r="AU95" i="9" s="1"/>
  <c r="AU80" i="9" a="1"/>
  <c r="AU80" i="9" s="1"/>
  <c r="AU47" i="9" a="1"/>
  <c r="AU47" i="9" s="1"/>
  <c r="AU14" i="9" a="1"/>
  <c r="AU14" i="9" s="1"/>
  <c r="AU156" i="9" a="1"/>
  <c r="AU156" i="9" s="1"/>
  <c r="AU141" i="9" a="1"/>
  <c r="AU141" i="9" s="1"/>
  <c r="AU125" i="9" a="1"/>
  <c r="AU125" i="9" s="1"/>
  <c r="AU110" i="9" a="1"/>
  <c r="AU110" i="9" s="1"/>
  <c r="AU79" i="9" a="1"/>
  <c r="AU79" i="9" s="1"/>
  <c r="AU64" i="9" a="1"/>
  <c r="AU64" i="9" s="1"/>
  <c r="AU46" i="9" a="1"/>
  <c r="AU46" i="9" s="1"/>
  <c r="AU30" i="9" a="1"/>
  <c r="AU30" i="9" s="1"/>
  <c r="AU13" i="9" a="1"/>
  <c r="AU13" i="9" s="1"/>
  <c r="AU155" i="9" a="1"/>
  <c r="AU155" i="9" s="1"/>
  <c r="AU140" i="9" a="1"/>
  <c r="AU140" i="9" s="1"/>
  <c r="AU109" i="9" a="1"/>
  <c r="AU109" i="9" s="1"/>
  <c r="AU94" i="9" a="1"/>
  <c r="AU94" i="9" s="1"/>
  <c r="AU78" i="9" a="1"/>
  <c r="AU78" i="9" s="1"/>
  <c r="AU63" i="9" a="1"/>
  <c r="AU63" i="9" s="1"/>
  <c r="AU45" i="9" a="1"/>
  <c r="AU45" i="9" s="1"/>
  <c r="AU29" i="9" a="1"/>
  <c r="AU29" i="9" s="1"/>
  <c r="AU139" i="9" a="1"/>
  <c r="AU139" i="9" s="1"/>
  <c r="AU124" i="9" a="1"/>
  <c r="AU124" i="9" s="1"/>
  <c r="AU108" i="9" a="1"/>
  <c r="AU108" i="9" s="1"/>
  <c r="AU93" i="9" a="1"/>
  <c r="AU93" i="9" s="1"/>
  <c r="AU77" i="9" a="1"/>
  <c r="AU77" i="9" s="1"/>
  <c r="AU62" i="9" a="1"/>
  <c r="AU62" i="9" s="1"/>
  <c r="AU44" i="9" a="1"/>
  <c r="AU44" i="9" s="1"/>
  <c r="AU28" i="9" a="1"/>
  <c r="AU28" i="9" s="1"/>
  <c r="AU154" i="9" a="1"/>
  <c r="AU154" i="9" s="1"/>
  <c r="AU138" i="9" a="1"/>
  <c r="AU138" i="9" s="1"/>
  <c r="AU123" i="9" a="1"/>
  <c r="AU123" i="9" s="1"/>
  <c r="AU107" i="9" a="1"/>
  <c r="AU107" i="9" s="1"/>
  <c r="AU92" i="9" a="1"/>
  <c r="AU92" i="9" s="1"/>
  <c r="AU61" i="9" a="1"/>
  <c r="AU61" i="9" s="1"/>
  <c r="AU43" i="9" a="1"/>
  <c r="AU43" i="9" s="1"/>
  <c r="AU27" i="9" a="1"/>
  <c r="AU27" i="9" s="1"/>
  <c r="AU127" i="9" a="1"/>
  <c r="AU127" i="9" s="1"/>
  <c r="AU15" i="9" a="1"/>
  <c r="AU15" i="9" s="1"/>
  <c r="AU153" i="9" a="1"/>
  <c r="AU153" i="9" s="1"/>
  <c r="AU137" i="9" a="1"/>
  <c r="AU137" i="9" s="1"/>
  <c r="AU122" i="9" a="1"/>
  <c r="AU122" i="9" s="1"/>
  <c r="AU91" i="9" a="1"/>
  <c r="AU91" i="9" s="1"/>
  <c r="AU76" i="9" a="1"/>
  <c r="AU76" i="9" s="1"/>
  <c r="AU60" i="9" a="1"/>
  <c r="AU60" i="9" s="1"/>
  <c r="AU26" i="9" a="1"/>
  <c r="AU26" i="9" s="1"/>
  <c r="X164" i="9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4" i="5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3" i="6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F6" i="5" l="1"/>
  <c r="R2" i="6"/>
  <c r="O4" i="17"/>
  <c r="O5" i="17"/>
  <c r="O6" i="17"/>
  <c r="O7" i="17"/>
  <c r="O8" i="17"/>
  <c r="O9" i="17"/>
  <c r="O10" i="17"/>
  <c r="O11" i="17"/>
  <c r="O12" i="17"/>
  <c r="O13" i="17"/>
  <c r="O14" i="17"/>
  <c r="O15" i="17"/>
  <c r="O16" i="17"/>
  <c r="O17" i="17"/>
  <c r="O18" i="17"/>
  <c r="O19" i="17"/>
  <c r="O20" i="17"/>
  <c r="O21" i="17"/>
  <c r="O22" i="17"/>
  <c r="O23" i="17"/>
  <c r="O24" i="17"/>
  <c r="O25" i="17"/>
  <c r="O26" i="17"/>
  <c r="O27" i="17"/>
  <c r="O28" i="17"/>
  <c r="O29" i="17"/>
  <c r="O30" i="17"/>
  <c r="O31" i="17"/>
  <c r="O32" i="17"/>
  <c r="O33" i="17"/>
  <c r="O34" i="17"/>
  <c r="O35" i="17"/>
  <c r="O36" i="17"/>
  <c r="O37" i="17"/>
  <c r="O38" i="17"/>
  <c r="O39" i="17"/>
  <c r="O40" i="17"/>
  <c r="O41" i="17"/>
  <c r="O42" i="17"/>
  <c r="O43" i="17"/>
  <c r="O44" i="17"/>
  <c r="O45" i="17"/>
  <c r="O46" i="17"/>
  <c r="O47" i="17"/>
  <c r="O48" i="17"/>
  <c r="O49" i="17"/>
  <c r="O50" i="17"/>
  <c r="O51" i="17"/>
  <c r="O52" i="17"/>
  <c r="O53" i="17"/>
  <c r="O54" i="17"/>
  <c r="O55" i="17"/>
  <c r="O56" i="17"/>
  <c r="O57" i="17"/>
  <c r="O58" i="17"/>
  <c r="O59" i="17"/>
  <c r="O60" i="17"/>
  <c r="O61" i="17"/>
  <c r="O62" i="17"/>
  <c r="O63" i="17"/>
  <c r="O64" i="17"/>
  <c r="O65" i="17"/>
  <c r="O66" i="17"/>
  <c r="O67" i="17"/>
  <c r="O68" i="17"/>
  <c r="O69" i="17"/>
  <c r="O70" i="17"/>
  <c r="O71" i="17"/>
  <c r="O72" i="17"/>
  <c r="O73" i="17"/>
  <c r="O74" i="17"/>
  <c r="O75" i="17"/>
  <c r="O76" i="17"/>
  <c r="O77" i="17"/>
  <c r="O78" i="17"/>
  <c r="O79" i="17"/>
  <c r="O80" i="17"/>
  <c r="O81" i="17"/>
  <c r="O82" i="17"/>
  <c r="O83" i="17"/>
  <c r="O84" i="17"/>
  <c r="O85" i="17"/>
  <c r="O86" i="17"/>
  <c r="O87" i="17"/>
  <c r="O88" i="17"/>
  <c r="O89" i="17"/>
  <c r="O90" i="17"/>
  <c r="O91" i="17"/>
  <c r="O92" i="17"/>
  <c r="O93" i="17"/>
  <c r="O94" i="17"/>
  <c r="O95" i="17"/>
  <c r="O96" i="17"/>
  <c r="O97" i="17"/>
  <c r="O98" i="17"/>
  <c r="O99" i="17"/>
  <c r="O100" i="17"/>
  <c r="O101" i="17"/>
  <c r="O102" i="17"/>
  <c r="O103" i="17"/>
  <c r="O104" i="17"/>
  <c r="O105" i="17"/>
  <c r="O106" i="17"/>
  <c r="O107" i="17"/>
  <c r="O108" i="17"/>
  <c r="O109" i="17"/>
  <c r="O110" i="17"/>
  <c r="O111" i="17"/>
  <c r="O112" i="17"/>
  <c r="O113" i="17"/>
  <c r="O114" i="17"/>
  <c r="O115" i="17"/>
  <c r="O116" i="17"/>
  <c r="O117" i="17"/>
  <c r="O118" i="17"/>
  <c r="O119" i="17"/>
  <c r="O120" i="17"/>
  <c r="O121" i="17"/>
  <c r="O122" i="17"/>
  <c r="O123" i="17"/>
  <c r="O124" i="17"/>
  <c r="O125" i="17"/>
  <c r="O126" i="17"/>
  <c r="O127" i="17"/>
  <c r="O128" i="17"/>
  <c r="O129" i="17"/>
  <c r="O130" i="17"/>
  <c r="O131" i="17"/>
  <c r="O132" i="17"/>
  <c r="O133" i="17"/>
  <c r="O134" i="17"/>
  <c r="O135" i="17"/>
  <c r="O136" i="17"/>
  <c r="O137" i="17"/>
  <c r="O138" i="17"/>
  <c r="O139" i="17"/>
  <c r="O140" i="17"/>
  <c r="O141" i="17"/>
  <c r="O142" i="17"/>
  <c r="O143" i="17"/>
  <c r="O144" i="17"/>
  <c r="O145" i="17"/>
  <c r="O146" i="17"/>
  <c r="O147" i="17"/>
  <c r="O148" i="17"/>
  <c r="O149" i="17"/>
  <c r="O150" i="17"/>
  <c r="O3" i="17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N86" i="17"/>
  <c r="N87" i="17"/>
  <c r="N88" i="17"/>
  <c r="N89" i="17"/>
  <c r="N90" i="17"/>
  <c r="N91" i="17"/>
  <c r="N92" i="17"/>
  <c r="N93" i="17"/>
  <c r="N94" i="17"/>
  <c r="N95" i="17"/>
  <c r="N96" i="17"/>
  <c r="N97" i="17"/>
  <c r="N98" i="17"/>
  <c r="N99" i="17"/>
  <c r="N100" i="17"/>
  <c r="N101" i="17"/>
  <c r="N102" i="17"/>
  <c r="N103" i="17"/>
  <c r="N104" i="17"/>
  <c r="N105" i="17"/>
  <c r="N106" i="17"/>
  <c r="N107" i="17"/>
  <c r="N108" i="17"/>
  <c r="N109" i="17"/>
  <c r="N110" i="17"/>
  <c r="N111" i="17"/>
  <c r="N112" i="17"/>
  <c r="N113" i="17"/>
  <c r="N114" i="17"/>
  <c r="N115" i="17"/>
  <c r="N116" i="17"/>
  <c r="N117" i="17"/>
  <c r="N118" i="17"/>
  <c r="N119" i="17"/>
  <c r="N120" i="17"/>
  <c r="N121" i="17"/>
  <c r="N122" i="17"/>
  <c r="N123" i="17"/>
  <c r="N124" i="17"/>
  <c r="N125" i="17"/>
  <c r="N126" i="17"/>
  <c r="N127" i="17"/>
  <c r="N128" i="17"/>
  <c r="N129" i="17"/>
  <c r="N130" i="17"/>
  <c r="N131" i="17"/>
  <c r="N132" i="17"/>
  <c r="N133" i="17"/>
  <c r="N134" i="17"/>
  <c r="N135" i="17"/>
  <c r="N136" i="17"/>
  <c r="N137" i="17"/>
  <c r="N138" i="17"/>
  <c r="N139" i="17"/>
  <c r="N140" i="17"/>
  <c r="N141" i="17"/>
  <c r="N142" i="17"/>
  <c r="N143" i="17"/>
  <c r="N144" i="17"/>
  <c r="N145" i="17"/>
  <c r="N146" i="17"/>
  <c r="N147" i="17"/>
  <c r="N148" i="17"/>
  <c r="N149" i="17"/>
  <c r="N150" i="17"/>
  <c r="N3" i="17"/>
  <c r="J14" i="6"/>
  <c r="J152" i="13"/>
  <c r="I152" i="13"/>
  <c r="B153" i="6"/>
  <c r="C162" i="9"/>
  <c r="D162" i="9"/>
  <c r="E162" i="9"/>
  <c r="F162" i="9"/>
  <c r="G162" i="9"/>
  <c r="H162" i="9"/>
  <c r="I162" i="9"/>
  <c r="J162" i="9"/>
  <c r="K162" i="9"/>
  <c r="L162" i="9"/>
  <c r="M162" i="9"/>
  <c r="N162" i="9"/>
  <c r="O162" i="9"/>
  <c r="P162" i="9"/>
  <c r="Q162" i="9"/>
  <c r="R162" i="9"/>
  <c r="S162" i="9"/>
  <c r="T162" i="9"/>
  <c r="U162" i="9"/>
  <c r="C163" i="9"/>
  <c r="C164" i="9" s="1"/>
  <c r="D163" i="9"/>
  <c r="D164" i="9" s="1"/>
  <c r="E163" i="9"/>
  <c r="E164" i="9" s="1"/>
  <c r="O163" i="9"/>
  <c r="O164" i="9" s="1"/>
  <c r="Q163" i="9"/>
  <c r="Q164" i="9" s="1"/>
  <c r="H163" i="9"/>
  <c r="H164" i="9" s="1"/>
  <c r="Y162" i="11"/>
  <c r="Z162" i="11"/>
  <c r="AA162" i="11"/>
  <c r="AA163" i="11" s="1"/>
  <c r="AA164" i="11" s="1"/>
  <c r="AB162" i="11"/>
  <c r="AC162" i="11"/>
  <c r="AD162" i="11"/>
  <c r="AE162" i="11"/>
  <c r="AF162" i="11"/>
  <c r="AG162" i="11"/>
  <c r="AH162" i="11"/>
  <c r="AI162" i="11"/>
  <c r="AJ162" i="11"/>
  <c r="AK162" i="11"/>
  <c r="AK163" i="11" s="1"/>
  <c r="AK164" i="11" s="1"/>
  <c r="AL162" i="11"/>
  <c r="AM162" i="11"/>
  <c r="AN162" i="11"/>
  <c r="AO162" i="11"/>
  <c r="AP162" i="11"/>
  <c r="AQ162" i="11"/>
  <c r="Y163" i="11"/>
  <c r="Y164" i="11" s="1"/>
  <c r="C162" i="11"/>
  <c r="B167" i="11" s="1"/>
  <c r="D162" i="11"/>
  <c r="E162" i="11"/>
  <c r="F162" i="11"/>
  <c r="G162" i="11"/>
  <c r="H162" i="11"/>
  <c r="I162" i="11"/>
  <c r="K162" i="11"/>
  <c r="L162" i="11"/>
  <c r="M162" i="11"/>
  <c r="N162" i="11"/>
  <c r="O162" i="11"/>
  <c r="O163" i="11" s="1"/>
  <c r="O164" i="11" s="1"/>
  <c r="P162" i="11"/>
  <c r="Q162" i="11"/>
  <c r="R162" i="11"/>
  <c r="R163" i="11" s="1"/>
  <c r="R164" i="11" s="1"/>
  <c r="S162" i="11"/>
  <c r="T162" i="11"/>
  <c r="U162" i="11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C14" i="6" s="1"/>
  <c r="C15" i="6" s="1"/>
  <c r="C16" i="6" s="1"/>
  <c r="C17" i="6" s="1"/>
  <c r="C18" i="6" s="1"/>
  <c r="C19" i="6" s="1"/>
  <c r="C20" i="6" s="1"/>
  <c r="C21" i="6" s="1"/>
  <c r="C22" i="6" s="1"/>
  <c r="C23" i="6" s="1"/>
  <c r="C24" i="6" s="1"/>
  <c r="C25" i="6" s="1"/>
  <c r="C26" i="6" s="1"/>
  <c r="C27" i="6" s="1"/>
  <c r="C28" i="6" s="1"/>
  <c r="C29" i="6" s="1"/>
  <c r="C30" i="6" s="1"/>
  <c r="C31" i="6" s="1"/>
  <c r="C32" i="6" s="1"/>
  <c r="C33" i="6" s="1"/>
  <c r="C34" i="6" s="1"/>
  <c r="C35" i="6" s="1"/>
  <c r="C36" i="6" s="1"/>
  <c r="C37" i="6" s="1"/>
  <c r="C38" i="6" s="1"/>
  <c r="C39" i="6" s="1"/>
  <c r="C40" i="6" s="1"/>
  <c r="C41" i="6" s="1"/>
  <c r="C42" i="6" s="1"/>
  <c r="C43" i="6" s="1"/>
  <c r="C44" i="6" s="1"/>
  <c r="C45" i="6" s="1"/>
  <c r="C46" i="6" s="1"/>
  <c r="C47" i="6" s="1"/>
  <c r="C48" i="6" s="1"/>
  <c r="C49" i="6" s="1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70" i="6" s="1"/>
  <c r="C71" i="6" s="1"/>
  <c r="C72" i="6" s="1"/>
  <c r="C73" i="6" s="1"/>
  <c r="C74" i="6" s="1"/>
  <c r="C75" i="6" s="1"/>
  <c r="C76" i="6" s="1"/>
  <c r="C77" i="6" s="1"/>
  <c r="C78" i="6" s="1"/>
  <c r="C79" i="6" s="1"/>
  <c r="C80" i="6" s="1"/>
  <c r="C81" i="6" s="1"/>
  <c r="C82" i="6" s="1"/>
  <c r="C83" i="6" s="1"/>
  <c r="C84" i="6" s="1"/>
  <c r="C85" i="6" s="1"/>
  <c r="C86" i="6" s="1"/>
  <c r="C87" i="6" s="1"/>
  <c r="C88" i="6" s="1"/>
  <c r="C89" i="6" s="1"/>
  <c r="C90" i="6" s="1"/>
  <c r="C91" i="6" s="1"/>
  <c r="C92" i="6" s="1"/>
  <c r="C93" i="6" s="1"/>
  <c r="C94" i="6" s="1"/>
  <c r="C95" i="6" s="1"/>
  <c r="C96" i="6" s="1"/>
  <c r="C97" i="6" s="1"/>
  <c r="C98" i="6" s="1"/>
  <c r="C99" i="6" s="1"/>
  <c r="C100" i="6" s="1"/>
  <c r="C101" i="6" s="1"/>
  <c r="C102" i="6" s="1"/>
  <c r="C103" i="6" s="1"/>
  <c r="C104" i="6" s="1"/>
  <c r="C105" i="6" s="1"/>
  <c r="C106" i="6" s="1"/>
  <c r="C107" i="6" s="1"/>
  <c r="C108" i="6" s="1"/>
  <c r="C109" i="6" s="1"/>
  <c r="C110" i="6" s="1"/>
  <c r="C111" i="6" s="1"/>
  <c r="C112" i="6" s="1"/>
  <c r="C113" i="6" s="1"/>
  <c r="C114" i="6" s="1"/>
  <c r="C115" i="6" s="1"/>
  <c r="C116" i="6" s="1"/>
  <c r="C117" i="6" s="1"/>
  <c r="C118" i="6" s="1"/>
  <c r="C119" i="6" s="1"/>
  <c r="C120" i="6" s="1"/>
  <c r="C121" i="6" s="1"/>
  <c r="C122" i="6" s="1"/>
  <c r="C123" i="6" s="1"/>
  <c r="C124" i="6" s="1"/>
  <c r="C125" i="6" s="1"/>
  <c r="C126" i="6" s="1"/>
  <c r="C127" i="6" s="1"/>
  <c r="C128" i="6" s="1"/>
  <c r="C129" i="6" s="1"/>
  <c r="C130" i="6" s="1"/>
  <c r="C131" i="6" s="1"/>
  <c r="C132" i="6" s="1"/>
  <c r="C133" i="6" s="1"/>
  <c r="C134" i="6" s="1"/>
  <c r="C135" i="6" s="1"/>
  <c r="C136" i="6" s="1"/>
  <c r="C137" i="6" s="1"/>
  <c r="C138" i="6" s="1"/>
  <c r="C139" i="6" s="1"/>
  <c r="C140" i="6" s="1"/>
  <c r="C141" i="6" s="1"/>
  <c r="C142" i="6" s="1"/>
  <c r="C143" i="6" s="1"/>
  <c r="C144" i="6" s="1"/>
  <c r="C145" i="6" s="1"/>
  <c r="C146" i="6" s="1"/>
  <c r="C147" i="6" s="1"/>
  <c r="C148" i="6" s="1"/>
  <c r="C149" i="6" s="1"/>
  <c r="C150" i="6" s="1"/>
  <c r="J150" i="6" s="1"/>
  <c r="AU17" i="11" l="1" a="1"/>
  <c r="AU17" i="11" s="1"/>
  <c r="AU135" i="11" a="1"/>
  <c r="AU135" i="11" s="1"/>
  <c r="AU16" i="11" a="1"/>
  <c r="AU16" i="11" s="1"/>
  <c r="AU153" i="11" a="1"/>
  <c r="AU153" i="11" s="1"/>
  <c r="AU34" i="11" a="1"/>
  <c r="AU34" i="11" s="1"/>
  <c r="AU27" i="11" a="1"/>
  <c r="AU27" i="11" s="1"/>
  <c r="AU33" i="11" a="1"/>
  <c r="AU33" i="11" s="1"/>
  <c r="AU26" i="11" a="1"/>
  <c r="AU26" i="11" s="1"/>
  <c r="AU32" i="11" a="1"/>
  <c r="AU32" i="11" s="1"/>
  <c r="AU44" i="11" a="1"/>
  <c r="AU44" i="11" s="1"/>
  <c r="AV44" i="11" s="1"/>
  <c r="AU50" i="11" a="1"/>
  <c r="AU50" i="11" s="1"/>
  <c r="AV50" i="11" s="1"/>
  <c r="AU73" i="11" a="1"/>
  <c r="AU73" i="11" s="1"/>
  <c r="AU60" i="11" a="1"/>
  <c r="AU60" i="11" s="1"/>
  <c r="AU148" i="11" a="1"/>
  <c r="AU148" i="11" s="1"/>
  <c r="AU116" i="11" a="1"/>
  <c r="AU116" i="11" s="1"/>
  <c r="AU147" i="11" a="1"/>
  <c r="AU147" i="11" s="1"/>
  <c r="AU134" i="11" a="1"/>
  <c r="AU134" i="11" s="1"/>
  <c r="AU15" i="11" a="1"/>
  <c r="AU15" i="11" s="1"/>
  <c r="AU21" i="11" a="1"/>
  <c r="AU21" i="11" s="1"/>
  <c r="AU14" i="11" a="1"/>
  <c r="AU14" i="11" s="1"/>
  <c r="AU20" i="11" a="1"/>
  <c r="AU20" i="11" s="1"/>
  <c r="AU19" i="11" a="1"/>
  <c r="AU19" i="11" s="1"/>
  <c r="AV19" i="11" s="1"/>
  <c r="AU38" i="11" a="1"/>
  <c r="AU38" i="11" s="1"/>
  <c r="AV38" i="11" s="1"/>
  <c r="AU37" i="11" a="1"/>
  <c r="AU37" i="11" s="1"/>
  <c r="AV37" i="11" s="1"/>
  <c r="AU56" i="11" a="1"/>
  <c r="AU56" i="11" s="1"/>
  <c r="AV56" i="11" s="1"/>
  <c r="AU55" i="11" a="1"/>
  <c r="AU55" i="11" s="1"/>
  <c r="AU142" i="11" a="1"/>
  <c r="AU142" i="11" s="1"/>
  <c r="AU103" i="11" a="1"/>
  <c r="AU103" i="11" s="1"/>
  <c r="AU141" i="11" a="1"/>
  <c r="AU141" i="11" s="1"/>
  <c r="AU121" i="11" a="1"/>
  <c r="AU121" i="11" s="1"/>
  <c r="AU146" i="11" a="1"/>
  <c r="AU146" i="11" s="1"/>
  <c r="AU152" i="11" a="1"/>
  <c r="AU152" i="11" s="1"/>
  <c r="AU145" i="11" a="1"/>
  <c r="AU145" i="11" s="1"/>
  <c r="AU13" i="11" a="1"/>
  <c r="AU13" i="11" s="1"/>
  <c r="AU25" i="11" a="1"/>
  <c r="AU25" i="11" s="1"/>
  <c r="AV25" i="11" s="1"/>
  <c r="AU31" i="11" a="1"/>
  <c r="AU31" i="11" s="1"/>
  <c r="AU43" i="11" a="1"/>
  <c r="AU43" i="11" s="1"/>
  <c r="AU49" i="11" a="1"/>
  <c r="AU49" i="11" s="1"/>
  <c r="AU129" i="11" a="1"/>
  <c r="AU129" i="11" s="1"/>
  <c r="AU97" i="11" a="1"/>
  <c r="AU97" i="11" s="1"/>
  <c r="AU128" i="11" a="1"/>
  <c r="AU128" i="11" s="1"/>
  <c r="AU115" i="11" a="1"/>
  <c r="AU115" i="11" s="1"/>
  <c r="AU140" i="11" a="1"/>
  <c r="AU140" i="11" s="1"/>
  <c r="AU139" i="11" a="1"/>
  <c r="AU139" i="11" s="1"/>
  <c r="AU126" i="11" a="1"/>
  <c r="AU126" i="11" s="1"/>
  <c r="AU151" i="11" a="1"/>
  <c r="AU151" i="11" s="1"/>
  <c r="AU144" i="11" a="1"/>
  <c r="AU144" i="11" s="1"/>
  <c r="AU156" i="11" a="1"/>
  <c r="AU156" i="11" s="1"/>
  <c r="AU18" i="11" a="1"/>
  <c r="AU18" i="11" s="1"/>
  <c r="AV18" i="11" s="1"/>
  <c r="AU24" i="11" a="1"/>
  <c r="AU24" i="11" s="1"/>
  <c r="AU36" i="11" a="1"/>
  <c r="AU36" i="11" s="1"/>
  <c r="AU123" i="11" a="1"/>
  <c r="AU123" i="11" s="1"/>
  <c r="AU84" i="11" a="1"/>
  <c r="AU84" i="11" s="1"/>
  <c r="AU122" i="11" a="1"/>
  <c r="AU122" i="11" s="1"/>
  <c r="AU102" i="11" a="1"/>
  <c r="AU102" i="11" s="1"/>
  <c r="AU127" i="11" a="1"/>
  <c r="AU127" i="11" s="1"/>
  <c r="AU133" i="11" a="1"/>
  <c r="AU133" i="11" s="1"/>
  <c r="AU107" i="11" a="1"/>
  <c r="AU107" i="11" s="1"/>
  <c r="AU138" i="11" a="1"/>
  <c r="AU138" i="11" s="1"/>
  <c r="AU125" i="11" a="1"/>
  <c r="AU125" i="11" s="1"/>
  <c r="AU150" i="11" a="1"/>
  <c r="AU150" i="11" s="1"/>
  <c r="AU155" i="11" a="1"/>
  <c r="AU155" i="11" s="1"/>
  <c r="AU30" i="11" a="1"/>
  <c r="AU30" i="11" s="1"/>
  <c r="AU110" i="11" a="1"/>
  <c r="AU110" i="11" s="1"/>
  <c r="AU78" i="11" a="1"/>
  <c r="AU78" i="11" s="1"/>
  <c r="AU109" i="11" a="1"/>
  <c r="AU109" i="11" s="1"/>
  <c r="AU96" i="11" a="1"/>
  <c r="AU96" i="11" s="1"/>
  <c r="AU108" i="11" a="1"/>
  <c r="AU108" i="11" s="1"/>
  <c r="AU120" i="11" a="1"/>
  <c r="AU120" i="11" s="1"/>
  <c r="AU94" i="11" a="1"/>
  <c r="AU94" i="11" s="1"/>
  <c r="AU132" i="11" a="1"/>
  <c r="AU132" i="11" s="1"/>
  <c r="AU112" i="11" a="1"/>
  <c r="AU112" i="11" s="1"/>
  <c r="AU137" i="11" a="1"/>
  <c r="AU137" i="11" s="1"/>
  <c r="AU143" i="11" a="1"/>
  <c r="AU143" i="11" s="1"/>
  <c r="AU149" i="11" a="1"/>
  <c r="AU149" i="11" s="1"/>
  <c r="AU104" i="11" a="1"/>
  <c r="AU104" i="11" s="1"/>
  <c r="AU65" i="11" a="1"/>
  <c r="AU65" i="11" s="1"/>
  <c r="AU90" i="11" a="1"/>
  <c r="AU90" i="11" s="1"/>
  <c r="AU83" i="11" a="1"/>
  <c r="AU83" i="11" s="1"/>
  <c r="AU89" i="11" a="1"/>
  <c r="AU89" i="11" s="1"/>
  <c r="AU114" i="11" a="1"/>
  <c r="AU114" i="11" s="1"/>
  <c r="AU88" i="11" a="1"/>
  <c r="AU88" i="11" s="1"/>
  <c r="AU119" i="11" a="1"/>
  <c r="AU119" i="11" s="1"/>
  <c r="AU106" i="11" a="1"/>
  <c r="AU106" i="11" s="1"/>
  <c r="AU131" i="11" a="1"/>
  <c r="AU131" i="11" s="1"/>
  <c r="AU130" i="11" a="1"/>
  <c r="AU130" i="11" s="1"/>
  <c r="AU136" i="11" a="1"/>
  <c r="AU136" i="11" s="1"/>
  <c r="AU91" i="11" a="1"/>
  <c r="AU91" i="11" s="1"/>
  <c r="AU59" i="11" a="1"/>
  <c r="AU59" i="11" s="1"/>
  <c r="AU71" i="11" a="1"/>
  <c r="AU71" i="11" s="1"/>
  <c r="AU77" i="11" a="1"/>
  <c r="AU77" i="11" s="1"/>
  <c r="AU76" i="11" a="1"/>
  <c r="AU76" i="11" s="1"/>
  <c r="AU101" i="11" a="1"/>
  <c r="AU101" i="11" s="1"/>
  <c r="AU75" i="11" a="1"/>
  <c r="AU75" i="11" s="1"/>
  <c r="AU113" i="11" a="1"/>
  <c r="AU113" i="11" s="1"/>
  <c r="AU93" i="11" a="1"/>
  <c r="AU93" i="11" s="1"/>
  <c r="AU118" i="11" a="1"/>
  <c r="AU118" i="11" s="1"/>
  <c r="AU124" i="11" a="1"/>
  <c r="AU124" i="11" s="1"/>
  <c r="AU117" i="11" a="1"/>
  <c r="AU117" i="11" s="1"/>
  <c r="AU72" i="11" a="1"/>
  <c r="AU72" i="11" s="1"/>
  <c r="AU54" i="11" a="1"/>
  <c r="AU54" i="11" s="1"/>
  <c r="AU58" i="11" a="1"/>
  <c r="AU58" i="11" s="1"/>
  <c r="AU64" i="11" a="1"/>
  <c r="AU64" i="11" s="1"/>
  <c r="AU70" i="11" a="1"/>
  <c r="AU70" i="11" s="1"/>
  <c r="AU95" i="11" a="1"/>
  <c r="AU95" i="11" s="1"/>
  <c r="AU69" i="11" a="1"/>
  <c r="AU69" i="11" s="1"/>
  <c r="AU100" i="11" a="1"/>
  <c r="AU100" i="11" s="1"/>
  <c r="AU87" i="11" a="1"/>
  <c r="AU87" i="11" s="1"/>
  <c r="AU99" i="11" a="1"/>
  <c r="AU99" i="11" s="1"/>
  <c r="AU111" i="11" a="1"/>
  <c r="AU111" i="11" s="1"/>
  <c r="AU98" i="11" a="1"/>
  <c r="AU98" i="11" s="1"/>
  <c r="AU42" i="11" a="1"/>
  <c r="AU42" i="11" s="1"/>
  <c r="AV42" i="11" s="1"/>
  <c r="AU48" i="11" a="1"/>
  <c r="AU48" i="11" s="1"/>
  <c r="AU41" i="11" a="1"/>
  <c r="AU41" i="11" s="1"/>
  <c r="AU12" i="11" a="1"/>
  <c r="AU12" i="11" s="1"/>
  <c r="AV12" i="11" s="1"/>
  <c r="AW12" i="11" s="1"/>
  <c r="AU82" i="11" a="1"/>
  <c r="AU82" i="11" s="1"/>
  <c r="AU11" i="11" a="1"/>
  <c r="AU11" i="11" s="1"/>
  <c r="AU81" i="11" a="1"/>
  <c r="AU81" i="11" s="1"/>
  <c r="AU74" i="11" a="1"/>
  <c r="AU74" i="11" s="1"/>
  <c r="AU80" i="11" a="1"/>
  <c r="AU80" i="11" s="1"/>
  <c r="AU105" i="11" a="1"/>
  <c r="AU105" i="11" s="1"/>
  <c r="AU85" i="11" a="1"/>
  <c r="AU85" i="11" s="1"/>
  <c r="AU23" i="11" a="1"/>
  <c r="AU23" i="11" s="1"/>
  <c r="AV23" i="11" s="1"/>
  <c r="AU35" i="11" a="1"/>
  <c r="AU35" i="11" s="1"/>
  <c r="AV35" i="11" s="1"/>
  <c r="AU28" i="11" a="1"/>
  <c r="AU28" i="11" s="1"/>
  <c r="AV28" i="11" s="1"/>
  <c r="AU53" i="11" a="1"/>
  <c r="AU53" i="11" s="1"/>
  <c r="AU46" i="11" a="1"/>
  <c r="AU46" i="11" s="1"/>
  <c r="AV46" i="11" s="1"/>
  <c r="AU63" i="11" a="1"/>
  <c r="AU63" i="11" s="1"/>
  <c r="AU45" i="11" a="1"/>
  <c r="AU45" i="11" s="1"/>
  <c r="AV45" i="11" s="1"/>
  <c r="AU62" i="11" a="1"/>
  <c r="AU62" i="11" s="1"/>
  <c r="AU68" i="11" a="1"/>
  <c r="AU68" i="11" s="1"/>
  <c r="AU67" i="11" a="1"/>
  <c r="AU67" i="11" s="1"/>
  <c r="AU92" i="11" a="1"/>
  <c r="AU92" i="11" s="1"/>
  <c r="AU79" i="11" a="1"/>
  <c r="AU79" i="11" s="1"/>
  <c r="AU154" i="11" a="1"/>
  <c r="AU154" i="11" s="1"/>
  <c r="AU29" i="11" a="1"/>
  <c r="AU29" i="11" s="1"/>
  <c r="AV29" i="11" s="1"/>
  <c r="AU22" i="11" a="1"/>
  <c r="AU22" i="11" s="1"/>
  <c r="AV22" i="11" s="1"/>
  <c r="AU47" i="11" a="1"/>
  <c r="AU47" i="11" s="1"/>
  <c r="AU40" i="11" a="1"/>
  <c r="AU40" i="11" s="1"/>
  <c r="AV40" i="11" s="1"/>
  <c r="AU52" i="11" a="1"/>
  <c r="AU52" i="11" s="1"/>
  <c r="AV52" i="11" s="1"/>
  <c r="AU39" i="11" a="1"/>
  <c r="AU39" i="11" s="1"/>
  <c r="AV39" i="11" s="1"/>
  <c r="AU51" i="11" a="1"/>
  <c r="AU51" i="11" s="1"/>
  <c r="AV51" i="11" s="1"/>
  <c r="AU57" i="11" a="1"/>
  <c r="AU57" i="11" s="1"/>
  <c r="AV57" i="11" s="1"/>
  <c r="AU61" i="11" a="1"/>
  <c r="AU61" i="11" s="1"/>
  <c r="AU86" i="11" a="1"/>
  <c r="AU86" i="11" s="1"/>
  <c r="AU66" i="11" a="1"/>
  <c r="AU66" i="11" s="1"/>
  <c r="AR90" i="11" a="1"/>
  <c r="AR90" i="11" s="1"/>
  <c r="X167" i="11"/>
  <c r="F163" i="9"/>
  <c r="F164" i="9" s="1"/>
  <c r="R163" i="9"/>
  <c r="R164" i="9" s="1"/>
  <c r="S163" i="9"/>
  <c r="S164" i="9" s="1"/>
  <c r="T163" i="9"/>
  <c r="T164" i="9" s="1"/>
  <c r="AR67" i="11" a="1"/>
  <c r="AR67" i="11" s="1"/>
  <c r="F163" i="11"/>
  <c r="F164" i="11" s="1"/>
  <c r="AR14" i="9" a="1"/>
  <c r="AR14" i="9" s="1"/>
  <c r="AR39" i="11" a="1"/>
  <c r="AR39" i="11" s="1"/>
  <c r="AR32" i="11" a="1"/>
  <c r="AR32" i="11" s="1"/>
  <c r="L163" i="11"/>
  <c r="L164" i="11" s="1"/>
  <c r="AR147" i="11" a="1"/>
  <c r="AR147" i="11" s="1"/>
  <c r="AR107" i="9" a="1"/>
  <c r="AR107" i="9" s="1"/>
  <c r="AR153" i="9" a="1"/>
  <c r="AR153" i="9" s="1"/>
  <c r="AR145" i="9" a="1"/>
  <c r="AR145" i="9" s="1"/>
  <c r="I163" i="9"/>
  <c r="I164" i="9" s="1"/>
  <c r="J98" i="6"/>
  <c r="M123" i="6"/>
  <c r="J97" i="6"/>
  <c r="J85" i="6"/>
  <c r="J73" i="6"/>
  <c r="J61" i="6"/>
  <c r="J49" i="6"/>
  <c r="J37" i="6"/>
  <c r="J25" i="6"/>
  <c r="J13" i="6"/>
  <c r="M146" i="6"/>
  <c r="M134" i="6"/>
  <c r="M122" i="6"/>
  <c r="M110" i="6"/>
  <c r="M98" i="6"/>
  <c r="M86" i="6"/>
  <c r="M74" i="6"/>
  <c r="M62" i="6"/>
  <c r="M50" i="6"/>
  <c r="M38" i="6"/>
  <c r="M26" i="6"/>
  <c r="M14" i="6"/>
  <c r="J146" i="6"/>
  <c r="M15" i="6"/>
  <c r="J132" i="6"/>
  <c r="J96" i="6"/>
  <c r="J84" i="6"/>
  <c r="J72" i="6"/>
  <c r="J60" i="6"/>
  <c r="J48" i="6"/>
  <c r="J36" i="6"/>
  <c r="J24" i="6"/>
  <c r="J12" i="6"/>
  <c r="M145" i="6"/>
  <c r="M133" i="6"/>
  <c r="M121" i="6"/>
  <c r="M109" i="6"/>
  <c r="M97" i="6"/>
  <c r="M85" i="6"/>
  <c r="M73" i="6"/>
  <c r="M61" i="6"/>
  <c r="M49" i="6"/>
  <c r="M37" i="6"/>
  <c r="M25" i="6"/>
  <c r="M13" i="6"/>
  <c r="J119" i="6"/>
  <c r="J35" i="6"/>
  <c r="J23" i="6"/>
  <c r="J11" i="6"/>
  <c r="M144" i="6"/>
  <c r="M132" i="6"/>
  <c r="M120" i="6"/>
  <c r="M108" i="6"/>
  <c r="M96" i="6"/>
  <c r="M84" i="6"/>
  <c r="M72" i="6"/>
  <c r="M60" i="6"/>
  <c r="M48" i="6"/>
  <c r="M36" i="6"/>
  <c r="M24" i="6"/>
  <c r="M12" i="6"/>
  <c r="J110" i="6"/>
  <c r="M63" i="6"/>
  <c r="J131" i="6"/>
  <c r="J118" i="6"/>
  <c r="J70" i="6"/>
  <c r="J58" i="6"/>
  <c r="J46" i="6"/>
  <c r="J34" i="6"/>
  <c r="J22" i="6"/>
  <c r="J10" i="6"/>
  <c r="M143" i="6"/>
  <c r="M131" i="6"/>
  <c r="M119" i="6"/>
  <c r="M107" i="6"/>
  <c r="M95" i="6"/>
  <c r="M83" i="6"/>
  <c r="M71" i="6"/>
  <c r="M59" i="6"/>
  <c r="M47" i="6"/>
  <c r="M35" i="6"/>
  <c r="M23" i="6"/>
  <c r="M11" i="6"/>
  <c r="J50" i="6"/>
  <c r="M111" i="6"/>
  <c r="J145" i="6"/>
  <c r="J59" i="6"/>
  <c r="J141" i="6"/>
  <c r="J45" i="6"/>
  <c r="M142" i="6"/>
  <c r="M130" i="6"/>
  <c r="M118" i="6"/>
  <c r="M106" i="6"/>
  <c r="M94" i="6"/>
  <c r="M82" i="6"/>
  <c r="M70" i="6"/>
  <c r="M58" i="6"/>
  <c r="M46" i="6"/>
  <c r="M34" i="6"/>
  <c r="M22" i="6"/>
  <c r="M10" i="6"/>
  <c r="J62" i="6"/>
  <c r="M39" i="6"/>
  <c r="J120" i="6"/>
  <c r="J71" i="6"/>
  <c r="J94" i="6"/>
  <c r="J93" i="6"/>
  <c r="J21" i="6"/>
  <c r="J116" i="6"/>
  <c r="J104" i="6"/>
  <c r="J56" i="6"/>
  <c r="J20" i="6"/>
  <c r="J8" i="6"/>
  <c r="M141" i="6"/>
  <c r="M129" i="6"/>
  <c r="M117" i="6"/>
  <c r="M105" i="6"/>
  <c r="M93" i="6"/>
  <c r="M81" i="6"/>
  <c r="M69" i="6"/>
  <c r="M57" i="6"/>
  <c r="M45" i="6"/>
  <c r="M33" i="6"/>
  <c r="M21" i="6"/>
  <c r="M9" i="6"/>
  <c r="J134" i="6"/>
  <c r="J26" i="6"/>
  <c r="M75" i="6"/>
  <c r="J133" i="6"/>
  <c r="J95" i="6"/>
  <c r="J106" i="6"/>
  <c r="J105" i="6"/>
  <c r="J9" i="6"/>
  <c r="J80" i="6"/>
  <c r="J139" i="6"/>
  <c r="J127" i="6"/>
  <c r="J115" i="6"/>
  <c r="J103" i="6"/>
  <c r="J91" i="6"/>
  <c r="J79" i="6"/>
  <c r="J67" i="6"/>
  <c r="J55" i="6"/>
  <c r="J43" i="6"/>
  <c r="J31" i="6"/>
  <c r="J19" i="6"/>
  <c r="J7" i="6"/>
  <c r="M140" i="6"/>
  <c r="M128" i="6"/>
  <c r="M116" i="6"/>
  <c r="M104" i="6"/>
  <c r="M92" i="6"/>
  <c r="M80" i="6"/>
  <c r="M68" i="6"/>
  <c r="M56" i="6"/>
  <c r="M44" i="6"/>
  <c r="M32" i="6"/>
  <c r="M20" i="6"/>
  <c r="M8" i="6"/>
  <c r="J86" i="6"/>
  <c r="M27" i="6"/>
  <c r="J144" i="6"/>
  <c r="J57" i="6"/>
  <c r="J140" i="6"/>
  <c r="J68" i="6"/>
  <c r="J138" i="6"/>
  <c r="J126" i="6"/>
  <c r="J78" i="6"/>
  <c r="J66" i="6"/>
  <c r="J54" i="6"/>
  <c r="J42" i="6"/>
  <c r="J30" i="6"/>
  <c r="J18" i="6"/>
  <c r="J6" i="6"/>
  <c r="M3" i="6"/>
  <c r="M139" i="6"/>
  <c r="M127" i="6"/>
  <c r="M115" i="6"/>
  <c r="M103" i="6"/>
  <c r="M91" i="6"/>
  <c r="M79" i="6"/>
  <c r="M67" i="6"/>
  <c r="M55" i="6"/>
  <c r="M43" i="6"/>
  <c r="M31" i="6"/>
  <c r="M19" i="6"/>
  <c r="M7" i="6"/>
  <c r="J122" i="6"/>
  <c r="J38" i="6"/>
  <c r="M147" i="6"/>
  <c r="M99" i="6"/>
  <c r="J109" i="6"/>
  <c r="J47" i="6"/>
  <c r="J142" i="6"/>
  <c r="J129" i="6"/>
  <c r="J33" i="6"/>
  <c r="J128" i="6"/>
  <c r="J44" i="6"/>
  <c r="J114" i="6"/>
  <c r="J149" i="6"/>
  <c r="J137" i="6"/>
  <c r="J125" i="6"/>
  <c r="J113" i="6"/>
  <c r="J101" i="6"/>
  <c r="J89" i="6"/>
  <c r="J77" i="6"/>
  <c r="J65" i="6"/>
  <c r="J53" i="6"/>
  <c r="J41" i="6"/>
  <c r="J29" i="6"/>
  <c r="J17" i="6"/>
  <c r="J5" i="6"/>
  <c r="M150" i="6"/>
  <c r="M138" i="6"/>
  <c r="M126" i="6"/>
  <c r="M114" i="6"/>
  <c r="M102" i="6"/>
  <c r="M90" i="6"/>
  <c r="M78" i="6"/>
  <c r="M66" i="6"/>
  <c r="M54" i="6"/>
  <c r="M42" i="6"/>
  <c r="M30" i="6"/>
  <c r="M18" i="6"/>
  <c r="M6" i="6"/>
  <c r="M135" i="6"/>
  <c r="M87" i="6"/>
  <c r="J121" i="6"/>
  <c r="J143" i="6"/>
  <c r="J83" i="6"/>
  <c r="J130" i="6"/>
  <c r="J69" i="6"/>
  <c r="J32" i="6"/>
  <c r="J90" i="6"/>
  <c r="J148" i="6"/>
  <c r="J136" i="6"/>
  <c r="J124" i="6"/>
  <c r="J112" i="6"/>
  <c r="J100" i="6"/>
  <c r="J88" i="6"/>
  <c r="J76" i="6"/>
  <c r="J64" i="6"/>
  <c r="J52" i="6"/>
  <c r="J40" i="6"/>
  <c r="J28" i="6"/>
  <c r="J16" i="6"/>
  <c r="J4" i="6"/>
  <c r="M149" i="6"/>
  <c r="M137" i="6"/>
  <c r="M125" i="6"/>
  <c r="M113" i="6"/>
  <c r="M101" i="6"/>
  <c r="M89" i="6"/>
  <c r="M77" i="6"/>
  <c r="M65" i="6"/>
  <c r="M53" i="6"/>
  <c r="M41" i="6"/>
  <c r="M29" i="6"/>
  <c r="M17" i="6"/>
  <c r="M5" i="6"/>
  <c r="J74" i="6"/>
  <c r="M51" i="6"/>
  <c r="J108" i="6"/>
  <c r="J107" i="6"/>
  <c r="J82" i="6"/>
  <c r="J117" i="6"/>
  <c r="J81" i="6"/>
  <c r="J92" i="6"/>
  <c r="J102" i="6"/>
  <c r="J147" i="6"/>
  <c r="J135" i="6"/>
  <c r="J123" i="6"/>
  <c r="J111" i="6"/>
  <c r="J99" i="6"/>
  <c r="J87" i="6"/>
  <c r="J75" i="6"/>
  <c r="J63" i="6"/>
  <c r="J51" i="6"/>
  <c r="J39" i="6"/>
  <c r="J27" i="6"/>
  <c r="J15" i="6"/>
  <c r="M148" i="6"/>
  <c r="M136" i="6"/>
  <c r="M124" i="6"/>
  <c r="M112" i="6"/>
  <c r="M100" i="6"/>
  <c r="M88" i="6"/>
  <c r="M76" i="6"/>
  <c r="M64" i="6"/>
  <c r="M52" i="6"/>
  <c r="M40" i="6"/>
  <c r="M28" i="6"/>
  <c r="M16" i="6"/>
  <c r="M4" i="6"/>
  <c r="AR75" i="11" a="1"/>
  <c r="AR75" i="11" s="1"/>
  <c r="AR138" i="11" a="1"/>
  <c r="AR138" i="11" s="1"/>
  <c r="AR123" i="11" a="1"/>
  <c r="AR123" i="11" s="1"/>
  <c r="AR27" i="11" a="1"/>
  <c r="AR27" i="11" s="1"/>
  <c r="AR40" i="11" a="1"/>
  <c r="AR40" i="11" s="1"/>
  <c r="AR61" i="11" a="1"/>
  <c r="AR61" i="11" s="1"/>
  <c r="AR68" i="11" a="1"/>
  <c r="AR68" i="11" s="1"/>
  <c r="AS68" i="11" s="1"/>
  <c r="AR76" i="11" a="1"/>
  <c r="AR76" i="11" s="1"/>
  <c r="AS76" i="11" s="1"/>
  <c r="AR92" i="11" a="1"/>
  <c r="AR92" i="11" s="1"/>
  <c r="AR100" i="11" a="1"/>
  <c r="AR100" i="11" s="1"/>
  <c r="AR116" i="11" a="1"/>
  <c r="AR116" i="11" s="1"/>
  <c r="AR124" i="11" a="1"/>
  <c r="AR124" i="11" s="1"/>
  <c r="AR140" i="11" a="1"/>
  <c r="AR140" i="11" s="1"/>
  <c r="AR148" i="11" a="1"/>
  <c r="AR148" i="11" s="1"/>
  <c r="AR118" i="11" a="1"/>
  <c r="AR118" i="11" s="1"/>
  <c r="AR103" i="11" a="1"/>
  <c r="AR103" i="11" s="1"/>
  <c r="AR128" i="11" a="1"/>
  <c r="AR128" i="11" s="1"/>
  <c r="AR51" i="11" a="1"/>
  <c r="AR51" i="11" s="1"/>
  <c r="AR65" i="11" a="1"/>
  <c r="AR65" i="11" s="1"/>
  <c r="AR96" i="11" a="1"/>
  <c r="AR96" i="11" s="1"/>
  <c r="AR129" i="11" a="1"/>
  <c r="AR129" i="11" s="1"/>
  <c r="AR144" i="11" a="1"/>
  <c r="AR144" i="11" s="1"/>
  <c r="AR44" i="11" a="1"/>
  <c r="AR44" i="11" s="1"/>
  <c r="AR73" i="11" a="1"/>
  <c r="AR73" i="11" s="1"/>
  <c r="AR14" i="11" a="1"/>
  <c r="AR14" i="11" s="1"/>
  <c r="AR21" i="11" a="1"/>
  <c r="AR21" i="11" s="1"/>
  <c r="AR34" i="11" a="1"/>
  <c r="AR34" i="11" s="1"/>
  <c r="AR47" i="11" a="1"/>
  <c r="AR47" i="11" s="1"/>
  <c r="AR54" i="11" a="1"/>
  <c r="AR54" i="11" s="1"/>
  <c r="AR69" i="11" a="1"/>
  <c r="AR69" i="11" s="1"/>
  <c r="AR84" i="11" a="1"/>
  <c r="AR84" i="11" s="1"/>
  <c r="AR93" i="11" a="1"/>
  <c r="AR93" i="11" s="1"/>
  <c r="AS93" i="11" s="1"/>
  <c r="AR108" i="11" a="1"/>
  <c r="AR108" i="11" s="1"/>
  <c r="AR117" i="11" a="1"/>
  <c r="AR117" i="11" s="1"/>
  <c r="AR132" i="11" a="1"/>
  <c r="AR132" i="11" s="1"/>
  <c r="AR141" i="11" a="1"/>
  <c r="AR141" i="11" s="1"/>
  <c r="AR11" i="11" a="1"/>
  <c r="AR11" i="11" s="1"/>
  <c r="AR22" i="11" a="1"/>
  <c r="AR22" i="11" s="1"/>
  <c r="AS22" i="11" s="1"/>
  <c r="AR70" i="11" a="1"/>
  <c r="AR70" i="11" s="1"/>
  <c r="AR86" i="11" a="1"/>
  <c r="AR86" i="11" s="1"/>
  <c r="AR142" i="11" a="1"/>
  <c r="AR142" i="11" s="1"/>
  <c r="AR119" i="11" a="1"/>
  <c r="AR119" i="11" s="1"/>
  <c r="AR136" i="11" a="1"/>
  <c r="AR136" i="11" s="1"/>
  <c r="AR24" i="11" a="1"/>
  <c r="AR24" i="11" s="1"/>
  <c r="AR58" i="11" a="1"/>
  <c r="AR58" i="11" s="1"/>
  <c r="AR81" i="11" a="1"/>
  <c r="AR81" i="11" s="1"/>
  <c r="AR120" i="11" a="1"/>
  <c r="AR120" i="11" s="1"/>
  <c r="AR153" i="11" a="1"/>
  <c r="AR153" i="11" s="1"/>
  <c r="AR156" i="11" a="1"/>
  <c r="AR156" i="11" s="1"/>
  <c r="AR121" i="11" a="1"/>
  <c r="AR121" i="11" s="1"/>
  <c r="AR15" i="11" a="1"/>
  <c r="AR15" i="11" s="1"/>
  <c r="AR28" i="11" a="1"/>
  <c r="AR28" i="11" s="1"/>
  <c r="AS28" i="11" s="1"/>
  <c r="AR41" i="11" a="1"/>
  <c r="AR41" i="11" s="1"/>
  <c r="AS41" i="11" s="1"/>
  <c r="AR55" i="11" a="1"/>
  <c r="AR55" i="11" s="1"/>
  <c r="AR62" i="11" a="1"/>
  <c r="AR62" i="11" s="1"/>
  <c r="AS62" i="11" s="1"/>
  <c r="AR77" i="11" a="1"/>
  <c r="AR77" i="11" s="1"/>
  <c r="AS77" i="11" s="1"/>
  <c r="AR85" i="11" a="1"/>
  <c r="AR85" i="11" s="1"/>
  <c r="AR101" i="11" a="1"/>
  <c r="AR101" i="11" s="1"/>
  <c r="AS101" i="11" s="1"/>
  <c r="AR109" i="11" a="1"/>
  <c r="AR109" i="11" s="1"/>
  <c r="AR125" i="11" a="1"/>
  <c r="AR125" i="11" s="1"/>
  <c r="AS125" i="11" s="1"/>
  <c r="AR133" i="11" a="1"/>
  <c r="AR133" i="11" s="1"/>
  <c r="AS133" i="11" s="1"/>
  <c r="AR149" i="11" a="1"/>
  <c r="AR149" i="11" s="1"/>
  <c r="AR35" i="11" a="1"/>
  <c r="AR35" i="11" s="1"/>
  <c r="AS35" i="11" s="1"/>
  <c r="AR63" i="11" a="1"/>
  <c r="AR63" i="11" s="1"/>
  <c r="AR94" i="11" a="1"/>
  <c r="AR94" i="11" s="1"/>
  <c r="AT94" i="11" s="1"/>
  <c r="AR134" i="11" a="1"/>
  <c r="AR134" i="11" s="1"/>
  <c r="AR143" i="11" a="1"/>
  <c r="AR143" i="11" s="1"/>
  <c r="AR18" i="11" a="1"/>
  <c r="AR18" i="11" s="1"/>
  <c r="AR89" i="11" a="1"/>
  <c r="AR89" i="11" s="1"/>
  <c r="AR48" i="11" a="1"/>
  <c r="AR48" i="11" s="1"/>
  <c r="AR110" i="11" a="1"/>
  <c r="AR110" i="11" s="1"/>
  <c r="AS110" i="11" s="1"/>
  <c r="AR127" i="11" a="1"/>
  <c r="AR127" i="11" s="1"/>
  <c r="B164" i="11"/>
  <c r="AR145" i="11" a="1"/>
  <c r="AR145" i="11" s="1"/>
  <c r="AS145" i="11" s="1"/>
  <c r="AR16" i="11" a="1"/>
  <c r="AR16" i="11" s="1"/>
  <c r="AS16" i="11" s="1"/>
  <c r="AR29" i="11" a="1"/>
  <c r="AR29" i="11" s="1"/>
  <c r="AS29" i="11" s="1"/>
  <c r="AR42" i="11" a="1"/>
  <c r="AR42" i="11" s="1"/>
  <c r="AS42" i="11" s="1"/>
  <c r="AR49" i="11" a="1"/>
  <c r="AR49" i="11" s="1"/>
  <c r="AR56" i="11" a="1"/>
  <c r="AR56" i="11" s="1"/>
  <c r="AR78" i="11" a="1"/>
  <c r="AR78" i="11" s="1"/>
  <c r="AS78" i="11" s="1"/>
  <c r="AR87" i="11" a="1"/>
  <c r="AR87" i="11" s="1"/>
  <c r="AR102" i="11" a="1"/>
  <c r="AR102" i="11" s="1"/>
  <c r="AS102" i="11" s="1"/>
  <c r="AR111" i="11" a="1"/>
  <c r="AR111" i="11" s="1"/>
  <c r="AS111" i="11" s="1"/>
  <c r="AR126" i="11" a="1"/>
  <c r="AR126" i="11" s="1"/>
  <c r="AR135" i="11" a="1"/>
  <c r="AR135" i="11" s="1"/>
  <c r="AR150" i="11" a="1"/>
  <c r="AR150" i="11" s="1"/>
  <c r="AR151" i="11" a="1"/>
  <c r="AR151" i="11" s="1"/>
  <c r="AR152" i="11" a="1"/>
  <c r="AR152" i="11" s="1"/>
  <c r="AR37" i="11" a="1"/>
  <c r="AR37" i="11" s="1"/>
  <c r="AR72" i="11" a="1"/>
  <c r="AR72" i="11" s="1"/>
  <c r="AR105" i="11" a="1"/>
  <c r="AR105" i="11" s="1"/>
  <c r="AR31" i="11" a="1"/>
  <c r="AR31" i="11" s="1"/>
  <c r="AR113" i="11" a="1"/>
  <c r="AR113" i="11" s="1"/>
  <c r="AR23" i="11" a="1"/>
  <c r="AR23" i="11" s="1"/>
  <c r="AS23" i="11" s="1"/>
  <c r="AR36" i="11" a="1"/>
  <c r="AR36" i="11" s="1"/>
  <c r="AR57" i="11" a="1"/>
  <c r="AR57" i="11" s="1"/>
  <c r="AR64" i="11" a="1"/>
  <c r="AR64" i="11" s="1"/>
  <c r="AR71" i="11" a="1"/>
  <c r="AR71" i="11" s="1"/>
  <c r="AR79" i="11" a="1"/>
  <c r="AR79" i="11" s="1"/>
  <c r="AR95" i="11" a="1"/>
  <c r="AR95" i="11" s="1"/>
  <c r="AR97" i="11" a="1"/>
  <c r="AR97" i="11" s="1"/>
  <c r="AR17" i="11" a="1"/>
  <c r="AR17" i="11" s="1"/>
  <c r="AR30" i="11" a="1"/>
  <c r="AR30" i="11" s="1"/>
  <c r="AR43" i="11" a="1"/>
  <c r="AR43" i="11" s="1"/>
  <c r="AR50" i="11" a="1"/>
  <c r="AR50" i="11" s="1"/>
  <c r="AR80" i="11" a="1"/>
  <c r="AR80" i="11" s="1"/>
  <c r="AR88" i="11" a="1"/>
  <c r="AR88" i="11" s="1"/>
  <c r="AR104" i="11" a="1"/>
  <c r="AR104" i="11" s="1"/>
  <c r="AS104" i="11" s="1"/>
  <c r="AR112" i="11" a="1"/>
  <c r="AR112" i="11" s="1"/>
  <c r="AR137" i="11" a="1"/>
  <c r="AR137" i="11" s="1"/>
  <c r="AR25" i="11" a="1"/>
  <c r="AR25" i="11" s="1"/>
  <c r="AS25" i="11" s="1"/>
  <c r="AR38" i="11" a="1"/>
  <c r="AR38" i="11" s="1"/>
  <c r="AR45" i="11" a="1"/>
  <c r="AR45" i="11" s="1"/>
  <c r="AR52" i="11" a="1"/>
  <c r="AR52" i="11" s="1"/>
  <c r="AS52" i="11" s="1"/>
  <c r="AR59" i="11" a="1"/>
  <c r="AR59" i="11" s="1"/>
  <c r="AS59" i="11" s="1"/>
  <c r="AR66" i="11" a="1"/>
  <c r="AR66" i="11" s="1"/>
  <c r="AR74" i="11" a="1"/>
  <c r="AR74" i="11" s="1"/>
  <c r="AR82" i="11" a="1"/>
  <c r="AR82" i="11" s="1"/>
  <c r="AS82" i="11" s="1"/>
  <c r="AR98" i="11" a="1"/>
  <c r="AR98" i="11" s="1"/>
  <c r="AR106" i="11" a="1"/>
  <c r="AR106" i="11" s="1"/>
  <c r="AR122" i="11" a="1"/>
  <c r="AR122" i="11" s="1"/>
  <c r="AS122" i="11" s="1"/>
  <c r="AR130" i="11" a="1"/>
  <c r="AR130" i="11" s="1"/>
  <c r="AS130" i="11" s="1"/>
  <c r="AR146" i="11" a="1"/>
  <c r="AR146" i="11" s="1"/>
  <c r="AR154" i="11" a="1"/>
  <c r="AR154" i="11" s="1"/>
  <c r="AR13" i="11" a="1"/>
  <c r="AR13" i="11" s="1"/>
  <c r="AR26" i="11" a="1"/>
  <c r="AR26" i="11" s="1"/>
  <c r="AR33" i="11" a="1"/>
  <c r="AR33" i="11" s="1"/>
  <c r="AR46" i="11" a="1"/>
  <c r="AR46" i="11" s="1"/>
  <c r="AR53" i="11" a="1"/>
  <c r="AR53" i="11" s="1"/>
  <c r="AR60" i="11" a="1"/>
  <c r="AR60" i="11" s="1"/>
  <c r="AR83" i="11" a="1"/>
  <c r="AR83" i="11" s="1"/>
  <c r="AR91" i="11" a="1"/>
  <c r="AR91" i="11" s="1"/>
  <c r="AS91" i="11" s="1"/>
  <c r="AR107" i="11" a="1"/>
  <c r="AR107" i="11" s="1"/>
  <c r="AR115" i="11" a="1"/>
  <c r="AR115" i="11" s="1"/>
  <c r="AR131" i="11" a="1"/>
  <c r="AR131" i="11" s="1"/>
  <c r="AR139" i="11" a="1"/>
  <c r="AR139" i="11" s="1"/>
  <c r="AR155" i="11" a="1"/>
  <c r="AR155" i="11" s="1"/>
  <c r="AR114" i="11" a="1"/>
  <c r="AR114" i="11" s="1"/>
  <c r="AS114" i="11" s="1"/>
  <c r="AR19" i="11" a="1"/>
  <c r="AR19" i="11" s="1"/>
  <c r="AV149" i="11"/>
  <c r="AW149" i="11" s="1"/>
  <c r="AV71" i="11"/>
  <c r="AW71" i="11" s="1"/>
  <c r="AV150" i="11"/>
  <c r="AW150" i="11" s="1"/>
  <c r="AV119" i="11"/>
  <c r="AW119" i="11" s="1"/>
  <c r="AW35" i="11"/>
  <c r="AV65" i="11"/>
  <c r="AW65" i="11" s="1"/>
  <c r="AV76" i="11"/>
  <c r="AW76" i="11" s="1"/>
  <c r="AX76" i="11" s="1"/>
  <c r="AV98" i="11"/>
  <c r="AW98" i="11" s="1"/>
  <c r="AV88" i="11"/>
  <c r="AW88" i="11" s="1"/>
  <c r="AW28" i="11"/>
  <c r="AX28" i="11" s="1"/>
  <c r="AW37" i="11"/>
  <c r="AW19" i="11"/>
  <c r="AV134" i="11"/>
  <c r="AW134" i="11" s="1"/>
  <c r="AV84" i="11"/>
  <c r="AW84" i="11" s="1"/>
  <c r="AV75" i="11"/>
  <c r="AW75" i="11" s="1"/>
  <c r="AV85" i="11"/>
  <c r="AW85" i="11" s="1"/>
  <c r="AV96" i="11"/>
  <c r="AW96" i="11" s="1"/>
  <c r="AV105" i="11"/>
  <c r="AW105" i="11" s="1"/>
  <c r="K163" i="11"/>
  <c r="K164" i="11" s="1"/>
  <c r="AR99" i="11" a="1"/>
  <c r="AR99" i="11" s="1"/>
  <c r="AS99" i="11" s="1"/>
  <c r="H163" i="11"/>
  <c r="H164" i="11" s="1"/>
  <c r="AN163" i="11"/>
  <c r="AN164" i="11" s="1"/>
  <c r="T163" i="11"/>
  <c r="T164" i="11" s="1"/>
  <c r="Q163" i="11"/>
  <c r="Q164" i="11" s="1"/>
  <c r="E163" i="11"/>
  <c r="E164" i="11" s="1"/>
  <c r="AM163" i="11"/>
  <c r="AM164" i="11" s="1"/>
  <c r="P163" i="11"/>
  <c r="P164" i="11" s="1"/>
  <c r="D163" i="11"/>
  <c r="D164" i="11" s="1"/>
  <c r="AL163" i="11"/>
  <c r="AL164" i="11" s="1"/>
  <c r="Z163" i="11"/>
  <c r="Z164" i="11" s="1"/>
  <c r="AH163" i="11"/>
  <c r="AH164" i="11" s="1"/>
  <c r="AR149" i="9" a="1"/>
  <c r="AR149" i="9" s="1"/>
  <c r="AR141" i="9" a="1"/>
  <c r="AR141" i="9" s="1"/>
  <c r="AR133" i="9" a="1"/>
  <c r="AR133" i="9" s="1"/>
  <c r="AR125" i="9" a="1"/>
  <c r="AR125" i="9" s="1"/>
  <c r="AR117" i="9" a="1"/>
  <c r="AR117" i="9" s="1"/>
  <c r="AR109" i="9" a="1"/>
  <c r="AR109" i="9" s="1"/>
  <c r="AR101" i="9" a="1"/>
  <c r="AR101" i="9" s="1"/>
  <c r="AR93" i="9" a="1"/>
  <c r="AR93" i="9" s="1"/>
  <c r="AR85" i="9" a="1"/>
  <c r="AR85" i="9" s="1"/>
  <c r="AR77" i="9" a="1"/>
  <c r="AR77" i="9" s="1"/>
  <c r="AR69" i="9" a="1"/>
  <c r="AR69" i="9" s="1"/>
  <c r="AR61" i="9" a="1"/>
  <c r="AR61" i="9" s="1"/>
  <c r="AR53" i="9" a="1"/>
  <c r="AR53" i="9" s="1"/>
  <c r="AR45" i="9" a="1"/>
  <c r="AR45" i="9" s="1"/>
  <c r="AR29" i="9" a="1"/>
  <c r="AR29" i="9" s="1"/>
  <c r="AR21" i="9" a="1"/>
  <c r="AR21" i="9" s="1"/>
  <c r="AR13" i="9" a="1"/>
  <c r="AR13" i="9" s="1"/>
  <c r="AR148" i="9" a="1"/>
  <c r="AR148" i="9" s="1"/>
  <c r="AR132" i="9" a="1"/>
  <c r="AR132" i="9" s="1"/>
  <c r="AR124" i="9" a="1"/>
  <c r="AR124" i="9" s="1"/>
  <c r="AR108" i="9" a="1"/>
  <c r="AR108" i="9" s="1"/>
  <c r="AR100" i="9" a="1"/>
  <c r="AR100" i="9" s="1"/>
  <c r="AR84" i="9" a="1"/>
  <c r="AR84" i="9" s="1"/>
  <c r="AR76" i="9" a="1"/>
  <c r="AR76" i="9" s="1"/>
  <c r="AR60" i="9" a="1"/>
  <c r="AR60" i="9" s="1"/>
  <c r="AR52" i="9" a="1"/>
  <c r="AR52" i="9" s="1"/>
  <c r="AR36" i="9" a="1"/>
  <c r="AR36" i="9" s="1"/>
  <c r="AR28" i="9" a="1"/>
  <c r="AR28" i="9" s="1"/>
  <c r="AR12" i="9" a="1"/>
  <c r="AR12" i="9" s="1"/>
  <c r="AR156" i="9" a="1"/>
  <c r="AR156" i="9" s="1"/>
  <c r="AR140" i="9" a="1"/>
  <c r="AR140" i="9" s="1"/>
  <c r="AR116" i="9" a="1"/>
  <c r="AR116" i="9" s="1"/>
  <c r="AR92" i="9" a="1"/>
  <c r="AR92" i="9" s="1"/>
  <c r="AR68" i="9" a="1"/>
  <c r="AR68" i="9" s="1"/>
  <c r="AR44" i="9" a="1"/>
  <c r="AR44" i="9" s="1"/>
  <c r="AR20" i="9" a="1"/>
  <c r="AR20" i="9" s="1"/>
  <c r="AR155" i="9" a="1"/>
  <c r="AR155" i="9" s="1"/>
  <c r="AR131" i="9" a="1"/>
  <c r="AR131" i="9" s="1"/>
  <c r="AR99" i="9" a="1"/>
  <c r="AR99" i="9" s="1"/>
  <c r="AR83" i="9" a="1"/>
  <c r="AR83" i="9" s="1"/>
  <c r="AR67" i="9" a="1"/>
  <c r="AR67" i="9" s="1"/>
  <c r="AR59" i="9" a="1"/>
  <c r="AR59" i="9" s="1"/>
  <c r="AR51" i="9" a="1"/>
  <c r="AR51" i="9" s="1"/>
  <c r="AR43" i="9" a="1"/>
  <c r="AR43" i="9" s="1"/>
  <c r="AR35" i="9" a="1"/>
  <c r="AR35" i="9" s="1"/>
  <c r="AR27" i="9" a="1"/>
  <c r="AR27" i="9" s="1"/>
  <c r="AR19" i="9" a="1"/>
  <c r="AR19" i="9" s="1"/>
  <c r="AR91" i="9" a="1"/>
  <c r="AR91" i="9" s="1"/>
  <c r="N163" i="9"/>
  <c r="N164" i="9" s="1"/>
  <c r="AR154" i="9" a="1"/>
  <c r="AR154" i="9" s="1"/>
  <c r="AR138" i="9" a="1"/>
  <c r="AR138" i="9" s="1"/>
  <c r="AR130" i="9" a="1"/>
  <c r="AR130" i="9" s="1"/>
  <c r="AR114" i="9" a="1"/>
  <c r="AR114" i="9" s="1"/>
  <c r="AR106" i="9" a="1"/>
  <c r="AR106" i="9" s="1"/>
  <c r="AR90" i="9" a="1"/>
  <c r="AR90" i="9" s="1"/>
  <c r="AR82" i="9" a="1"/>
  <c r="AR82" i="9" s="1"/>
  <c r="AR66" i="9" a="1"/>
  <c r="AR66" i="9" s="1"/>
  <c r="AR58" i="9" a="1"/>
  <c r="AR58" i="9" s="1"/>
  <c r="AR42" i="9" a="1"/>
  <c r="AR42" i="9" s="1"/>
  <c r="AR34" i="9" a="1"/>
  <c r="AR34" i="9" s="1"/>
  <c r="AR18" i="9" a="1"/>
  <c r="AR18" i="9" s="1"/>
  <c r="AR139" i="9" a="1"/>
  <c r="AR139" i="9" s="1"/>
  <c r="AR75" i="9" a="1"/>
  <c r="AR75" i="9" s="1"/>
  <c r="M163" i="9"/>
  <c r="M164" i="9" s="1"/>
  <c r="U163" i="9"/>
  <c r="U164" i="9" s="1"/>
  <c r="AR146" i="9" a="1"/>
  <c r="AR146" i="9" s="1"/>
  <c r="AR122" i="9" a="1"/>
  <c r="AR122" i="9" s="1"/>
  <c r="AR98" i="9" a="1"/>
  <c r="AR98" i="9" s="1"/>
  <c r="AR74" i="9" a="1"/>
  <c r="AR74" i="9" s="1"/>
  <c r="AR50" i="9" a="1"/>
  <c r="AR50" i="9" s="1"/>
  <c r="AR26" i="9" a="1"/>
  <c r="AR26" i="9" s="1"/>
  <c r="AR137" i="9" a="1"/>
  <c r="AR137" i="9" s="1"/>
  <c r="AR129" i="9" a="1"/>
  <c r="AR129" i="9" s="1"/>
  <c r="AR121" i="9" a="1"/>
  <c r="AR121" i="9" s="1"/>
  <c r="AR113" i="9" a="1"/>
  <c r="AR113" i="9" s="1"/>
  <c r="AR105" i="9" a="1"/>
  <c r="AR105" i="9" s="1"/>
  <c r="AR97" i="9" a="1"/>
  <c r="AR97" i="9" s="1"/>
  <c r="AR89" i="9" a="1"/>
  <c r="AR89" i="9" s="1"/>
  <c r="AR81" i="9" a="1"/>
  <c r="AR81" i="9" s="1"/>
  <c r="AR73" i="9" a="1"/>
  <c r="AR73" i="9" s="1"/>
  <c r="AR65" i="9" a="1"/>
  <c r="AR65" i="9" s="1"/>
  <c r="AR57" i="9" a="1"/>
  <c r="AR57" i="9" s="1"/>
  <c r="AR49" i="9" a="1"/>
  <c r="AR49" i="9" s="1"/>
  <c r="AR41" i="9" a="1"/>
  <c r="AR41" i="9" s="1"/>
  <c r="AR33" i="9" a="1"/>
  <c r="AR33" i="9" s="1"/>
  <c r="AR25" i="9" a="1"/>
  <c r="AR25" i="9" s="1"/>
  <c r="AR17" i="9" a="1"/>
  <c r="AR17" i="9" s="1"/>
  <c r="AR147" i="9" a="1"/>
  <c r="AR147" i="9" s="1"/>
  <c r="AR144" i="9" a="1"/>
  <c r="AR144" i="9" s="1"/>
  <c r="AR136" i="9" a="1"/>
  <c r="AR136" i="9" s="1"/>
  <c r="AR120" i="9" a="1"/>
  <c r="AR120" i="9" s="1"/>
  <c r="AR96" i="9" a="1"/>
  <c r="AR96" i="9" s="1"/>
  <c r="AR88" i="9" a="1"/>
  <c r="AR88" i="9" s="1"/>
  <c r="AR72" i="9" a="1"/>
  <c r="AR72" i="9" s="1"/>
  <c r="AR64" i="9" a="1"/>
  <c r="AR64" i="9" s="1"/>
  <c r="AR48" i="9" a="1"/>
  <c r="AR48" i="9" s="1"/>
  <c r="AR40" i="9" a="1"/>
  <c r="AR40" i="9" s="1"/>
  <c r="AR24" i="9" a="1"/>
  <c r="AR24" i="9" s="1"/>
  <c r="AR16" i="9" a="1"/>
  <c r="AR16" i="9" s="1"/>
  <c r="AR112" i="9" a="1"/>
  <c r="AR112" i="9" s="1"/>
  <c r="AR152" i="9" a="1"/>
  <c r="AR152" i="9" s="1"/>
  <c r="AR128" i="9" a="1"/>
  <c r="AR128" i="9" s="1"/>
  <c r="AR104" i="9" a="1"/>
  <c r="AR104" i="9" s="1"/>
  <c r="AR80" i="9" a="1"/>
  <c r="AR80" i="9" s="1"/>
  <c r="AR56" i="9" a="1"/>
  <c r="AR56" i="9" s="1"/>
  <c r="AR32" i="9" a="1"/>
  <c r="AR32" i="9" s="1"/>
  <c r="AR115" i="9" a="1"/>
  <c r="AR115" i="9" s="1"/>
  <c r="AR143" i="9" a="1"/>
  <c r="AR143" i="9" s="1"/>
  <c r="AR127" i="9" a="1"/>
  <c r="AR127" i="9" s="1"/>
  <c r="AR111" i="9" a="1"/>
  <c r="AR111" i="9" s="1"/>
  <c r="AR95" i="9" a="1"/>
  <c r="AR95" i="9" s="1"/>
  <c r="AR87" i="9" a="1"/>
  <c r="AR87" i="9" s="1"/>
  <c r="AR79" i="9" a="1"/>
  <c r="AR79" i="9" s="1"/>
  <c r="AR71" i="9" a="1"/>
  <c r="AR71" i="9" s="1"/>
  <c r="AR63" i="9" a="1"/>
  <c r="AR63" i="9" s="1"/>
  <c r="AR55" i="9" a="1"/>
  <c r="AR55" i="9" s="1"/>
  <c r="AR47" i="9" a="1"/>
  <c r="AR47" i="9" s="1"/>
  <c r="AR39" i="9" a="1"/>
  <c r="AR39" i="9" s="1"/>
  <c r="AR31" i="9" a="1"/>
  <c r="AR31" i="9" s="1"/>
  <c r="AR23" i="9" a="1"/>
  <c r="AR23" i="9" s="1"/>
  <c r="AR15" i="9" a="1"/>
  <c r="AR15" i="9" s="1"/>
  <c r="AR123" i="9" a="1"/>
  <c r="AR123" i="9" s="1"/>
  <c r="AR151" i="9" a="1"/>
  <c r="AR151" i="9" s="1"/>
  <c r="AR135" i="9" a="1"/>
  <c r="AR135" i="9" s="1"/>
  <c r="AR119" i="9" a="1"/>
  <c r="AR119" i="9" s="1"/>
  <c r="AR103" i="9" a="1"/>
  <c r="AR103" i="9" s="1"/>
  <c r="P163" i="9"/>
  <c r="P164" i="9" s="1"/>
  <c r="AR150" i="9" a="1"/>
  <c r="AR150" i="9" s="1"/>
  <c r="AR142" i="9" a="1"/>
  <c r="AR142" i="9" s="1"/>
  <c r="AR126" i="9" a="1"/>
  <c r="AR126" i="9" s="1"/>
  <c r="AR118" i="9" a="1"/>
  <c r="AR118" i="9" s="1"/>
  <c r="AR102" i="9" a="1"/>
  <c r="AR102" i="9" s="1"/>
  <c r="AR94" i="9" a="1"/>
  <c r="AR94" i="9" s="1"/>
  <c r="AR78" i="9" a="1"/>
  <c r="AR78" i="9" s="1"/>
  <c r="AR70" i="9" a="1"/>
  <c r="AR70" i="9" s="1"/>
  <c r="AR54" i="9" a="1"/>
  <c r="AR54" i="9" s="1"/>
  <c r="AR46" i="9" a="1"/>
  <c r="AR46" i="9" s="1"/>
  <c r="AR30" i="9" a="1"/>
  <c r="AR30" i="9" s="1"/>
  <c r="AR22" i="9" a="1"/>
  <c r="AR22" i="9" s="1"/>
  <c r="G163" i="9"/>
  <c r="G164" i="9" s="1"/>
  <c r="AR134" i="9" a="1"/>
  <c r="AR134" i="9" s="1"/>
  <c r="AR110" i="9" a="1"/>
  <c r="AR110" i="9" s="1"/>
  <c r="AR86" i="9" a="1"/>
  <c r="AR86" i="9" s="1"/>
  <c r="AR62" i="9" a="1"/>
  <c r="AR62" i="9" s="1"/>
  <c r="AR38" i="9" a="1"/>
  <c r="AR38" i="9" s="1"/>
  <c r="AV64" i="11"/>
  <c r="AW64" i="11" s="1"/>
  <c r="AW18" i="11"/>
  <c r="AV66" i="11"/>
  <c r="AW66" i="11" s="1"/>
  <c r="AV113" i="11"/>
  <c r="AW113" i="11" s="1"/>
  <c r="AW23" i="11"/>
  <c r="AX23" i="11" s="1"/>
  <c r="AV86" i="11"/>
  <c r="AW86" i="11" s="1"/>
  <c r="J163" i="9"/>
  <c r="J164" i="9" s="1"/>
  <c r="AE163" i="11"/>
  <c r="AE164" i="11" s="1"/>
  <c r="AO163" i="11"/>
  <c r="AO164" i="11" s="1"/>
  <c r="AC163" i="11"/>
  <c r="AC164" i="11" s="1"/>
  <c r="AB163" i="11"/>
  <c r="AB164" i="11" s="1"/>
  <c r="C163" i="11"/>
  <c r="C164" i="11" s="1"/>
  <c r="L163" i="9"/>
  <c r="L164" i="9" s="1"/>
  <c r="X167" i="9"/>
  <c r="B167" i="9"/>
  <c r="K163" i="9"/>
  <c r="K164" i="9" s="1"/>
  <c r="AF163" i="11"/>
  <c r="AF164" i="11" s="1"/>
  <c r="AQ163" i="11"/>
  <c r="AQ164" i="11" s="1"/>
  <c r="AP163" i="11"/>
  <c r="AP164" i="11" s="1"/>
  <c r="AD163" i="11"/>
  <c r="AD164" i="11" s="1"/>
  <c r="AI163" i="11"/>
  <c r="AI164" i="11" s="1"/>
  <c r="M163" i="11"/>
  <c r="M164" i="11" s="1"/>
  <c r="N163" i="11"/>
  <c r="N164" i="11" s="1"/>
  <c r="G163" i="11"/>
  <c r="G164" i="11" s="1"/>
  <c r="S163" i="11"/>
  <c r="S164" i="11" s="1"/>
  <c r="I163" i="11"/>
  <c r="I164" i="11" s="1"/>
  <c r="U163" i="11"/>
  <c r="U164" i="11" s="1"/>
  <c r="J163" i="11"/>
  <c r="J164" i="11" s="1"/>
  <c r="AJ163" i="11"/>
  <c r="AJ164" i="11" s="1"/>
  <c r="AG163" i="11"/>
  <c r="AG164" i="11" s="1"/>
  <c r="AT22" i="11"/>
  <c r="AT75" i="11"/>
  <c r="AT39" i="11"/>
  <c r="AT25" i="11"/>
  <c r="AT21" i="11"/>
  <c r="AV31" i="11" l="1"/>
  <c r="AV13" i="11"/>
  <c r="AS56" i="11"/>
  <c r="AS143" i="11"/>
  <c r="AV20" i="11"/>
  <c r="AV32" i="11"/>
  <c r="AS55" i="11"/>
  <c r="AT51" i="11"/>
  <c r="AV14" i="11"/>
  <c r="AV26" i="11"/>
  <c r="AV21" i="11"/>
  <c r="AV33" i="11"/>
  <c r="AS38" i="11"/>
  <c r="AS95" i="11"/>
  <c r="AV47" i="11"/>
  <c r="AW47" i="11" s="1"/>
  <c r="AV53" i="11"/>
  <c r="AV41" i="11"/>
  <c r="AW41" i="11" s="1"/>
  <c r="AX41" i="11" s="1"/>
  <c r="AV15" i="11"/>
  <c r="AW15" i="11" s="1"/>
  <c r="AV27" i="11"/>
  <c r="AV48" i="11"/>
  <c r="AW48" i="11" s="1"/>
  <c r="AV54" i="11"/>
  <c r="AW54" i="11" s="1"/>
  <c r="AV34" i="11"/>
  <c r="AV30" i="11"/>
  <c r="AW30" i="11" s="1"/>
  <c r="AV36" i="11"/>
  <c r="AV16" i="11"/>
  <c r="AW16" i="11" s="1"/>
  <c r="AV24" i="11"/>
  <c r="AV49" i="11"/>
  <c r="AV55" i="11"/>
  <c r="X165" i="11"/>
  <c r="AS88" i="11"/>
  <c r="AS109" i="11"/>
  <c r="AV43" i="11"/>
  <c r="AV17" i="11"/>
  <c r="AW17" i="11" s="1"/>
  <c r="X170" i="11"/>
  <c r="X171" i="11"/>
  <c r="AV68" i="11"/>
  <c r="AW68" i="11" s="1"/>
  <c r="AX68" i="11" s="1"/>
  <c r="AV109" i="11"/>
  <c r="AW109" i="11" s="1"/>
  <c r="AW50" i="11"/>
  <c r="AV142" i="11"/>
  <c r="AW142" i="11" s="1"/>
  <c r="AV97" i="11"/>
  <c r="AW97" i="11" s="1"/>
  <c r="AV122" i="11"/>
  <c r="AW122" i="11" s="1"/>
  <c r="AX122" i="11" s="1"/>
  <c r="AV91" i="11"/>
  <c r="AW91" i="11" s="1"/>
  <c r="AV112" i="11"/>
  <c r="AW112" i="11" s="1"/>
  <c r="AV136" i="11"/>
  <c r="AW136" i="11" s="1"/>
  <c r="AV129" i="11"/>
  <c r="AW129" i="11" s="1"/>
  <c r="AV58" i="11"/>
  <c r="AW58" i="11" s="1"/>
  <c r="AW42" i="11"/>
  <c r="AX42" i="11" s="1"/>
  <c r="AV61" i="11"/>
  <c r="AW61" i="11" s="1"/>
  <c r="AV156" i="11"/>
  <c r="AW156" i="11" s="1"/>
  <c r="AV147" i="11"/>
  <c r="AW147" i="11" s="1"/>
  <c r="AV140" i="11"/>
  <c r="AW140" i="11" s="1"/>
  <c r="AV126" i="11"/>
  <c r="AW126" i="11" s="1"/>
  <c r="AV72" i="11"/>
  <c r="AW72" i="11" s="1"/>
  <c r="AV83" i="11"/>
  <c r="AW83" i="11" s="1"/>
  <c r="AW51" i="11"/>
  <c r="AV133" i="11"/>
  <c r="AW133" i="11" s="1"/>
  <c r="AT53" i="11"/>
  <c r="AV92" i="11"/>
  <c r="AW92" i="11" s="1"/>
  <c r="AV106" i="11"/>
  <c r="AW106" i="11" s="1"/>
  <c r="AV124" i="11"/>
  <c r="AW124" i="11" s="1"/>
  <c r="AW55" i="11"/>
  <c r="AX55" i="11" s="1"/>
  <c r="AS106" i="11"/>
  <c r="AS64" i="11"/>
  <c r="B165" i="11"/>
  <c r="AT33" i="11"/>
  <c r="AW24" i="11"/>
  <c r="AW34" i="11"/>
  <c r="AV107" i="11"/>
  <c r="AW107" i="11" s="1"/>
  <c r="AS120" i="11"/>
  <c r="AV138" i="11"/>
  <c r="AW138" i="11" s="1"/>
  <c r="AW32" i="11"/>
  <c r="AV125" i="11"/>
  <c r="AW125" i="11" s="1"/>
  <c r="AX125" i="11" s="1"/>
  <c r="AW29" i="11"/>
  <c r="AX29" i="11" s="1"/>
  <c r="AV87" i="11"/>
  <c r="AW87" i="11" s="1"/>
  <c r="AV139" i="11"/>
  <c r="AW139" i="11" s="1"/>
  <c r="AS46" i="11"/>
  <c r="AS66" i="11"/>
  <c r="AX66" i="11" s="1"/>
  <c r="AS50" i="11"/>
  <c r="AV148" i="11"/>
  <c r="AW148" i="11" s="1"/>
  <c r="AS69" i="11"/>
  <c r="AV69" i="11"/>
  <c r="AW69" i="11" s="1"/>
  <c r="AX69" i="11" s="1"/>
  <c r="AV137" i="11"/>
  <c r="AW137" i="11" s="1"/>
  <c r="AW57" i="11"/>
  <c r="AW45" i="11"/>
  <c r="AV80" i="11"/>
  <c r="AW80" i="11" s="1"/>
  <c r="AV67" i="11"/>
  <c r="AW67" i="11" s="1"/>
  <c r="AV121" i="11"/>
  <c r="AW121" i="11" s="1"/>
  <c r="AV123" i="11"/>
  <c r="AW123" i="11" s="1"/>
  <c r="AW43" i="11"/>
  <c r="AV115" i="11"/>
  <c r="AW115" i="11" s="1"/>
  <c r="AV59" i="11"/>
  <c r="AW59" i="11" s="1"/>
  <c r="AX59" i="11" s="1"/>
  <c r="AV130" i="11"/>
  <c r="AW130" i="11" s="1"/>
  <c r="AX130" i="11" s="1"/>
  <c r="AV100" i="11"/>
  <c r="AW100" i="11" s="1"/>
  <c r="AV118" i="11"/>
  <c r="AW118" i="11" s="1"/>
  <c r="AV102" i="11"/>
  <c r="AW102" i="11" s="1"/>
  <c r="AX102" i="11" s="1"/>
  <c r="AV78" i="11"/>
  <c r="AW78" i="11" s="1"/>
  <c r="AX78" i="11" s="1"/>
  <c r="AV116" i="11"/>
  <c r="AW116" i="11" s="1"/>
  <c r="AV74" i="11"/>
  <c r="AW74" i="11" s="1"/>
  <c r="AV117" i="11"/>
  <c r="AW117" i="11" s="1"/>
  <c r="AV89" i="11"/>
  <c r="AW89" i="11" s="1"/>
  <c r="AV152" i="11"/>
  <c r="AW152" i="11" s="1"/>
  <c r="AV101" i="11"/>
  <c r="AW101" i="11" s="1"/>
  <c r="AX101" i="11" s="1"/>
  <c r="AW44" i="11"/>
  <c r="AW36" i="11"/>
  <c r="AV60" i="11"/>
  <c r="AW60" i="11" s="1"/>
  <c r="AV127" i="11"/>
  <c r="AW127" i="11" s="1"/>
  <c r="AW27" i="11"/>
  <c r="AW52" i="11"/>
  <c r="AX52" i="11" s="1"/>
  <c r="AV103" i="11"/>
  <c r="AW103" i="11" s="1"/>
  <c r="AV153" i="11"/>
  <c r="AW153" i="11" s="1"/>
  <c r="AV111" i="11"/>
  <c r="AW111" i="11" s="1"/>
  <c r="AX111" i="11" s="1"/>
  <c r="AS57" i="11"/>
  <c r="AT109" i="11"/>
  <c r="AS33" i="11"/>
  <c r="AS45" i="11"/>
  <c r="AS139" i="11"/>
  <c r="AS40" i="11"/>
  <c r="AX88" i="11"/>
  <c r="AT13" i="11"/>
  <c r="AS117" i="11"/>
  <c r="AS63" i="11"/>
  <c r="AS131" i="11"/>
  <c r="AS86" i="11"/>
  <c r="AS71" i="11"/>
  <c r="AX71" i="11" s="1"/>
  <c r="AS21" i="11"/>
  <c r="AS124" i="11"/>
  <c r="AS36" i="11"/>
  <c r="AS67" i="11"/>
  <c r="AX35" i="11"/>
  <c r="AX16" i="11"/>
  <c r="AV114" i="11"/>
  <c r="AW114" i="11" s="1"/>
  <c r="AX114" i="11" s="1"/>
  <c r="AV82" i="11"/>
  <c r="AW82" i="11" s="1"/>
  <c r="AX82" i="11" s="1"/>
  <c r="AV99" i="11"/>
  <c r="AW99" i="11" s="1"/>
  <c r="AX99" i="11" s="1"/>
  <c r="AV143" i="11"/>
  <c r="AW143" i="11" s="1"/>
  <c r="AX143" i="11" s="1"/>
  <c r="AV95" i="11"/>
  <c r="AW95" i="11" s="1"/>
  <c r="AX95" i="11" s="1"/>
  <c r="AS47" i="11"/>
  <c r="AX47" i="11" s="1"/>
  <c r="AS103" i="11"/>
  <c r="AS27" i="11"/>
  <c r="AV79" i="11"/>
  <c r="AW79" i="11" s="1"/>
  <c r="AV120" i="11"/>
  <c r="AW120" i="11" s="1"/>
  <c r="AX120" i="11" s="1"/>
  <c r="AV132" i="11"/>
  <c r="AW132" i="11" s="1"/>
  <c r="AS70" i="11"/>
  <c r="AV73" i="11"/>
  <c r="AW73" i="11" s="1"/>
  <c r="AS112" i="11"/>
  <c r="AS135" i="11"/>
  <c r="AT156" i="11"/>
  <c r="AS14" i="11"/>
  <c r="AS140" i="11"/>
  <c r="AS123" i="11"/>
  <c r="AW33" i="11"/>
  <c r="AX33" i="11" s="1"/>
  <c r="AV77" i="11"/>
  <c r="AW77" i="11" s="1"/>
  <c r="AX77" i="11" s="1"/>
  <c r="AV110" i="11"/>
  <c r="AW110" i="11" s="1"/>
  <c r="AX110" i="11" s="1"/>
  <c r="AV146" i="11"/>
  <c r="AW146" i="11" s="1"/>
  <c r="AW20" i="11"/>
  <c r="AW26" i="11"/>
  <c r="AS83" i="11"/>
  <c r="AS98" i="11"/>
  <c r="AX98" i="11" s="1"/>
  <c r="AS127" i="11"/>
  <c r="AS73" i="11"/>
  <c r="AW14" i="11"/>
  <c r="AX14" i="11" s="1"/>
  <c r="AS80" i="11"/>
  <c r="AS129" i="11"/>
  <c r="AS43" i="11"/>
  <c r="AS31" i="11"/>
  <c r="AS18" i="11"/>
  <c r="AX18" i="11" s="1"/>
  <c r="AS24" i="11"/>
  <c r="AW21" i="11"/>
  <c r="AS152" i="11"/>
  <c r="AT152" i="11"/>
  <c r="AS156" i="11"/>
  <c r="AV108" i="11"/>
  <c r="AW108" i="11" s="1"/>
  <c r="AV131" i="11"/>
  <c r="AW131" i="11" s="1"/>
  <c r="AV62" i="11"/>
  <c r="AW62" i="11" s="1"/>
  <c r="AX62" i="11" s="1"/>
  <c r="AV144" i="11"/>
  <c r="AW144" i="11" s="1"/>
  <c r="AS115" i="11"/>
  <c r="AS12" i="11"/>
  <c r="AX12" i="11" s="1"/>
  <c r="AY12" i="11" s="1"/>
  <c r="AS79" i="11"/>
  <c r="AS151" i="11"/>
  <c r="AT151" i="11"/>
  <c r="AS15" i="11"/>
  <c r="AX15" i="11" s="1"/>
  <c r="AS34" i="11"/>
  <c r="AS118" i="11"/>
  <c r="AS20" i="11"/>
  <c r="AS146" i="11"/>
  <c r="AS147" i="11"/>
  <c r="AV135" i="11"/>
  <c r="AW135" i="11" s="1"/>
  <c r="AV154" i="11"/>
  <c r="AW154" i="11" s="1"/>
  <c r="AX91" i="11"/>
  <c r="AS107" i="11"/>
  <c r="AS137" i="11"/>
  <c r="AX137" i="11" s="1"/>
  <c r="AS150" i="11"/>
  <c r="AX150" i="11" s="1"/>
  <c r="AT150" i="11"/>
  <c r="AS149" i="11"/>
  <c r="AX149" i="11" s="1"/>
  <c r="AT149" i="11"/>
  <c r="AS121" i="11"/>
  <c r="AT148" i="11"/>
  <c r="AS148" i="11"/>
  <c r="AS126" i="11"/>
  <c r="AS153" i="11"/>
  <c r="AT153" i="11"/>
  <c r="AV141" i="11"/>
  <c r="AW141" i="11" s="1"/>
  <c r="AW56" i="11"/>
  <c r="AX56" i="11" s="1"/>
  <c r="AW40" i="11"/>
  <c r="AT147" i="11"/>
  <c r="AS60" i="11"/>
  <c r="AS132" i="11"/>
  <c r="AS44" i="11"/>
  <c r="AS116" i="11"/>
  <c r="AV94" i="11"/>
  <c r="AW94" i="11" s="1"/>
  <c r="AW31" i="11"/>
  <c r="AV145" i="11"/>
  <c r="AW145" i="11" s="1"/>
  <c r="AX145" i="11" s="1"/>
  <c r="AW39" i="11"/>
  <c r="AW46" i="11"/>
  <c r="AX46" i="11" s="1"/>
  <c r="AV155" i="11"/>
  <c r="AW155" i="11" s="1"/>
  <c r="AS53" i="11"/>
  <c r="AS74" i="11"/>
  <c r="AS48" i="11"/>
  <c r="AS81" i="11"/>
  <c r="AS144" i="11"/>
  <c r="AS100" i="11"/>
  <c r="AS138" i="11"/>
  <c r="AS141" i="11"/>
  <c r="AV81" i="11"/>
  <c r="AW81" i="11" s="1"/>
  <c r="AW53" i="11"/>
  <c r="AW38" i="11"/>
  <c r="AX38" i="11" s="1"/>
  <c r="AS19" i="11"/>
  <c r="AX19" i="11" s="1"/>
  <c r="AS113" i="11"/>
  <c r="AX113" i="11" s="1"/>
  <c r="AS87" i="11"/>
  <c r="AS89" i="11"/>
  <c r="AS85" i="11"/>
  <c r="AX85" i="11" s="1"/>
  <c r="AS58" i="11"/>
  <c r="AS108" i="11"/>
  <c r="AS92" i="11"/>
  <c r="AS96" i="11"/>
  <c r="AX96" i="11" s="1"/>
  <c r="AS75" i="11"/>
  <c r="AX75" i="11" s="1"/>
  <c r="AT30" i="11"/>
  <c r="AS26" i="11"/>
  <c r="AS30" i="11"/>
  <c r="AS105" i="11"/>
  <c r="AX105" i="11" s="1"/>
  <c r="AS136" i="11"/>
  <c r="AX136" i="11" s="1"/>
  <c r="AS84" i="11"/>
  <c r="AX84" i="11" s="1"/>
  <c r="AS65" i="11"/>
  <c r="AX65" i="11" s="1"/>
  <c r="AS90" i="11"/>
  <c r="AX133" i="11"/>
  <c r="AV90" i="11"/>
  <c r="AW90" i="11" s="1"/>
  <c r="AV151" i="11"/>
  <c r="AW151" i="11" s="1"/>
  <c r="AX64" i="11"/>
  <c r="AV128" i="11"/>
  <c r="AW128" i="11" s="1"/>
  <c r="AV93" i="11"/>
  <c r="AW93" i="11" s="1"/>
  <c r="AX93" i="11" s="1"/>
  <c r="AS155" i="11"/>
  <c r="AT155" i="11"/>
  <c r="AS13" i="11"/>
  <c r="AS17" i="11"/>
  <c r="AS72" i="11"/>
  <c r="AS49" i="11"/>
  <c r="AS134" i="11"/>
  <c r="AX134" i="11" s="1"/>
  <c r="AS119" i="11"/>
  <c r="AX119" i="11" s="1"/>
  <c r="AS51" i="11"/>
  <c r="AX51" i="11" s="1"/>
  <c r="AS61" i="11"/>
  <c r="AS32" i="11"/>
  <c r="AW49" i="11"/>
  <c r="AW25" i="11"/>
  <c r="AX25" i="11" s="1"/>
  <c r="AT14" i="11"/>
  <c r="AX86" i="11"/>
  <c r="AV104" i="11"/>
  <c r="AW104" i="11" s="1"/>
  <c r="AX104" i="11" s="1"/>
  <c r="AW22" i="11"/>
  <c r="AX22" i="11" s="1"/>
  <c r="AV70" i="11"/>
  <c r="AW70" i="11" s="1"/>
  <c r="AV63" i="11"/>
  <c r="AW63" i="11" s="1"/>
  <c r="AX63" i="11" s="1"/>
  <c r="AS154" i="11"/>
  <c r="AT154" i="11"/>
  <c r="AS97" i="11"/>
  <c r="AS37" i="11"/>
  <c r="AX37" i="11" s="1"/>
  <c r="AS94" i="11"/>
  <c r="AS142" i="11"/>
  <c r="AX142" i="11" s="1"/>
  <c r="AS54" i="11"/>
  <c r="AS128" i="11"/>
  <c r="AS39" i="11"/>
  <c r="X165" i="9"/>
  <c r="AS95" i="9"/>
  <c r="AT23" i="9"/>
  <c r="AT89" i="9"/>
  <c r="AS129" i="9"/>
  <c r="AS50" i="9"/>
  <c r="AS61" i="9"/>
  <c r="AS99" i="9"/>
  <c r="AT140" i="9"/>
  <c r="AS114" i="9"/>
  <c r="AT86" i="9"/>
  <c r="AT28" i="9"/>
  <c r="AT40" i="9"/>
  <c r="AS55" i="9"/>
  <c r="AT143" i="9"/>
  <c r="AT96" i="9"/>
  <c r="AS119" i="9"/>
  <c r="AS135" i="9"/>
  <c r="AT62" i="9"/>
  <c r="AT125" i="9"/>
  <c r="AT83" i="9"/>
  <c r="AS73" i="9"/>
  <c r="AS68" i="9"/>
  <c r="AT93" i="9"/>
  <c r="B165" i="9"/>
  <c r="AS108" i="9"/>
  <c r="AT156" i="9"/>
  <c r="AS26" i="9"/>
  <c r="AS41" i="9"/>
  <c r="AT57" i="9"/>
  <c r="AT146" i="9"/>
  <c r="AS32" i="9"/>
  <c r="AT150" i="9"/>
  <c r="AS12" i="9"/>
  <c r="AT148" i="9"/>
  <c r="AS30" i="9"/>
  <c r="AT98" i="9"/>
  <c r="AT46" i="9"/>
  <c r="AT76" i="9"/>
  <c r="AT134" i="9"/>
  <c r="AT78" i="9"/>
  <c r="AT34" i="9"/>
  <c r="AS44" i="9"/>
  <c r="AS87" i="9"/>
  <c r="AT121" i="9"/>
  <c r="AS71" i="9"/>
  <c r="AT155" i="9"/>
  <c r="AT122" i="9"/>
  <c r="AS19" i="9"/>
  <c r="AT65" i="9"/>
  <c r="AS22" i="9"/>
  <c r="AT116" i="9"/>
  <c r="AT138" i="9"/>
  <c r="AS109" i="9"/>
  <c r="AS54" i="9"/>
  <c r="AS111" i="9"/>
  <c r="AT14" i="9"/>
  <c r="AS23" i="9"/>
  <c r="AS53" i="9"/>
  <c r="AT41" i="9"/>
  <c r="AT61" i="9"/>
  <c r="AS83" i="9"/>
  <c r="AT16" i="9"/>
  <c r="AS57" i="9"/>
  <c r="AT44" i="9"/>
  <c r="AV151" i="9"/>
  <c r="AW151" i="9" s="1"/>
  <c r="AV91" i="9"/>
  <c r="AW91" i="9" s="1"/>
  <c r="AV13" i="9"/>
  <c r="AW13" i="9" s="1"/>
  <c r="AV12" i="9"/>
  <c r="AV105" i="9"/>
  <c r="AW105" i="9" s="1"/>
  <c r="AV89" i="9"/>
  <c r="AW89" i="9" s="1"/>
  <c r="AV28" i="9"/>
  <c r="AW28" i="9" s="1"/>
  <c r="AV34" i="9"/>
  <c r="AW34" i="9" s="1"/>
  <c r="AV40" i="9"/>
  <c r="AW40" i="9" s="1"/>
  <c r="AV46" i="9"/>
  <c r="AW46" i="9" s="1"/>
  <c r="AV41" i="9"/>
  <c r="AW41" i="9" s="1"/>
  <c r="AV146" i="9"/>
  <c r="AW146" i="9" s="1"/>
  <c r="AV117" i="9"/>
  <c r="AW117" i="9" s="1"/>
  <c r="AV125" i="9"/>
  <c r="AW125" i="9" s="1"/>
  <c r="AV19" i="9"/>
  <c r="AW19" i="9" s="1"/>
  <c r="AV38" i="9"/>
  <c r="AW38" i="9" s="1"/>
  <c r="AV110" i="9"/>
  <c r="AW110" i="9" s="1"/>
  <c r="AV94" i="9"/>
  <c r="AW94" i="9" s="1"/>
  <c r="AV24" i="9"/>
  <c r="AW24" i="9" s="1"/>
  <c r="AV74" i="9"/>
  <c r="AW74" i="9" s="1"/>
  <c r="AV55" i="9"/>
  <c r="AW55" i="9" s="1"/>
  <c r="AV129" i="9"/>
  <c r="AW129" i="9" s="1"/>
  <c r="AV18" i="9"/>
  <c r="AW18" i="9" s="1"/>
  <c r="AV43" i="9"/>
  <c r="AW43" i="9" s="1"/>
  <c r="AV61" i="9"/>
  <c r="AW61" i="9" s="1"/>
  <c r="AT84" i="9"/>
  <c r="AT82" i="9"/>
  <c r="AS140" i="9"/>
  <c r="AT133" i="9"/>
  <c r="AS120" i="9"/>
  <c r="AT120" i="9"/>
  <c r="AT107" i="11"/>
  <c r="AT17" i="11"/>
  <c r="AT59" i="11"/>
  <c r="AT120" i="11"/>
  <c r="AT110" i="11"/>
  <c r="AT114" i="11"/>
  <c r="AT15" i="11"/>
  <c r="AT135" i="11"/>
  <c r="AT134" i="11"/>
  <c r="AT101" i="11"/>
  <c r="AT138" i="11"/>
  <c r="AT117" i="11"/>
  <c r="AT35" i="11"/>
  <c r="AT16" i="11"/>
  <c r="AT41" i="11"/>
  <c r="AT23" i="11"/>
  <c r="AT49" i="11"/>
  <c r="AT92" i="11"/>
  <c r="AT83" i="11"/>
  <c r="AT36" i="11"/>
  <c r="AT40" i="11"/>
  <c r="AT143" i="11"/>
  <c r="AT142" i="11"/>
  <c r="AT78" i="11"/>
  <c r="AT128" i="11"/>
  <c r="AT111" i="11"/>
  <c r="AT50" i="11"/>
  <c r="AT20" i="11"/>
  <c r="AT44" i="11"/>
  <c r="AT27" i="11"/>
  <c r="AT57" i="11"/>
  <c r="AT97" i="11"/>
  <c r="AT144" i="11"/>
  <c r="AT90" i="11"/>
  <c r="AT84" i="11"/>
  <c r="AT113" i="11"/>
  <c r="AT54" i="11"/>
  <c r="AT62" i="11"/>
  <c r="AT105" i="11"/>
  <c r="AT61" i="11"/>
  <c r="AT24" i="11"/>
  <c r="AT55" i="11"/>
  <c r="AT34" i="11"/>
  <c r="AT68" i="11"/>
  <c r="AT91" i="11"/>
  <c r="AT98" i="11"/>
  <c r="AT99" i="11"/>
  <c r="AT124" i="11"/>
  <c r="AT70" i="11"/>
  <c r="AT71" i="11"/>
  <c r="AT89" i="11"/>
  <c r="AT69" i="11"/>
  <c r="AT28" i="11"/>
  <c r="AT63" i="11"/>
  <c r="AT52" i="11"/>
  <c r="AT76" i="11"/>
  <c r="AT72" i="11"/>
  <c r="AT29" i="11"/>
  <c r="AT145" i="11"/>
  <c r="AT137" i="11"/>
  <c r="AT118" i="11"/>
  <c r="AT65" i="11"/>
  <c r="AT37" i="11"/>
  <c r="AT127" i="11"/>
  <c r="AT130" i="11"/>
  <c r="AT81" i="11"/>
  <c r="AT38" i="11"/>
  <c r="AT104" i="11"/>
  <c r="AT140" i="11"/>
  <c r="AT31" i="11"/>
  <c r="AT88" i="11"/>
  <c r="AT82" i="11"/>
  <c r="AT116" i="11"/>
  <c r="AT106" i="11"/>
  <c r="AT123" i="11"/>
  <c r="AT18" i="11"/>
  <c r="AT96" i="11"/>
  <c r="AT58" i="11"/>
  <c r="AT93" i="11"/>
  <c r="AT95" i="11"/>
  <c r="AT79" i="11"/>
  <c r="AT56" i="11"/>
  <c r="AT122" i="11"/>
  <c r="AT103" i="11"/>
  <c r="AT126" i="11"/>
  <c r="AT12" i="11"/>
  <c r="AT132" i="11"/>
  <c r="AT74" i="11"/>
  <c r="AT26" i="11"/>
  <c r="AT87" i="11"/>
  <c r="AT121" i="11"/>
  <c r="AT131" i="11"/>
  <c r="AT45" i="11"/>
  <c r="AT112" i="11"/>
  <c r="AT66" i="11"/>
  <c r="AT136" i="11"/>
  <c r="AT108" i="11"/>
  <c r="AT43" i="11"/>
  <c r="AT32" i="11"/>
  <c r="AT42" i="11"/>
  <c r="AT85" i="11"/>
  <c r="AT119" i="11"/>
  <c r="AT125" i="11"/>
  <c r="AT73" i="11"/>
  <c r="AT19" i="11"/>
  <c r="AT86" i="11"/>
  <c r="AT80" i="11"/>
  <c r="AT60" i="11"/>
  <c r="AT102" i="11"/>
  <c r="AT64" i="11"/>
  <c r="AT47" i="11"/>
  <c r="AT146" i="11"/>
  <c r="AT129" i="11"/>
  <c r="AT139" i="11"/>
  <c r="AT115" i="11"/>
  <c r="AT77" i="11"/>
  <c r="AT100" i="11"/>
  <c r="AT141" i="11"/>
  <c r="AT46" i="11"/>
  <c r="AT133" i="11"/>
  <c r="AT67" i="11"/>
  <c r="AT48" i="11"/>
  <c r="AX139" i="11" l="1"/>
  <c r="AX50" i="11"/>
  <c r="AX107" i="11"/>
  <c r="AX57" i="11"/>
  <c r="AX106" i="11"/>
  <c r="AX109" i="11"/>
  <c r="AX32" i="11"/>
  <c r="AX44" i="11"/>
  <c r="AX124" i="11"/>
  <c r="AX61" i="11"/>
  <c r="AX17" i="11"/>
  <c r="AX112" i="11"/>
  <c r="AW13" i="11"/>
  <c r="AX13" i="11" s="1"/>
  <c r="AY13" i="11" s="1"/>
  <c r="AX97" i="11"/>
  <c r="AX156" i="11"/>
  <c r="AX129" i="11"/>
  <c r="AX92" i="11"/>
  <c r="AX138" i="11"/>
  <c r="AX147" i="11"/>
  <c r="AX26" i="11"/>
  <c r="AX140" i="11"/>
  <c r="AX48" i="11"/>
  <c r="AX34" i="11"/>
  <c r="AX72" i="11"/>
  <c r="AX126" i="11"/>
  <c r="AX24" i="11"/>
  <c r="AX148" i="11"/>
  <c r="AX80" i="11"/>
  <c r="AX58" i="11"/>
  <c r="AX83" i="11"/>
  <c r="AX67" i="11"/>
  <c r="AX70" i="11"/>
  <c r="AX45" i="11"/>
  <c r="AX36" i="11"/>
  <c r="AX87" i="11"/>
  <c r="AX30" i="11"/>
  <c r="AX40" i="11"/>
  <c r="AX55" i="9"/>
  <c r="AX115" i="11"/>
  <c r="AX43" i="11"/>
  <c r="AX27" i="11"/>
  <c r="AX121" i="11"/>
  <c r="AX100" i="11"/>
  <c r="AX123" i="11"/>
  <c r="AX116" i="11"/>
  <c r="AX60" i="11"/>
  <c r="AX118" i="11"/>
  <c r="AX117" i="11"/>
  <c r="AX146" i="11"/>
  <c r="AX89" i="11"/>
  <c r="AX132" i="11"/>
  <c r="AX20" i="11"/>
  <c r="AY20" i="11" s="1"/>
  <c r="AX54" i="11"/>
  <c r="AX74" i="11"/>
  <c r="AX152" i="11"/>
  <c r="AX103" i="11"/>
  <c r="AX153" i="11"/>
  <c r="AX127" i="11"/>
  <c r="AX79" i="11"/>
  <c r="AX31" i="11"/>
  <c r="AX39" i="11"/>
  <c r="AX81" i="11"/>
  <c r="AX21" i="11"/>
  <c r="AY21" i="11" s="1"/>
  <c r="AX131" i="11"/>
  <c r="AX155" i="11"/>
  <c r="AX73" i="11"/>
  <c r="AX108" i="11"/>
  <c r="AX90" i="11"/>
  <c r="AX154" i="11"/>
  <c r="AX135" i="11"/>
  <c r="AX53" i="11"/>
  <c r="AX49" i="11"/>
  <c r="AX141" i="11"/>
  <c r="AX128" i="11"/>
  <c r="AX94" i="11"/>
  <c r="AX144" i="11"/>
  <c r="AX151" i="11"/>
  <c r="AV86" i="9"/>
  <c r="AW86" i="9" s="1"/>
  <c r="AV107" i="9"/>
  <c r="AW107" i="9" s="1"/>
  <c r="AV54" i="9"/>
  <c r="AW54" i="9" s="1"/>
  <c r="AX54" i="9" s="1"/>
  <c r="AV67" i="9"/>
  <c r="AW67" i="9" s="1"/>
  <c r="AV47" i="9"/>
  <c r="AW47" i="9" s="1"/>
  <c r="AV30" i="9"/>
  <c r="AW30" i="9" s="1"/>
  <c r="AX30" i="9" s="1"/>
  <c r="AV141" i="9"/>
  <c r="AW141" i="9" s="1"/>
  <c r="AV33" i="9"/>
  <c r="AW33" i="9" s="1"/>
  <c r="AV120" i="9"/>
  <c r="AW120" i="9" s="1"/>
  <c r="AX120" i="9" s="1"/>
  <c r="AV52" i="9"/>
  <c r="AW52" i="9" s="1"/>
  <c r="AV113" i="9"/>
  <c r="AW113" i="9" s="1"/>
  <c r="AV49" i="9"/>
  <c r="AW49" i="9" s="1"/>
  <c r="AV76" i="9"/>
  <c r="AW76" i="9" s="1"/>
  <c r="AV138" i="9"/>
  <c r="AW138" i="9" s="1"/>
  <c r="AV72" i="9"/>
  <c r="AW72" i="9" s="1"/>
  <c r="AV139" i="9"/>
  <c r="AW139" i="9" s="1"/>
  <c r="AV50" i="9"/>
  <c r="AW50" i="9" s="1"/>
  <c r="AX50" i="9" s="1"/>
  <c r="AV81" i="9"/>
  <c r="AW81" i="9" s="1"/>
  <c r="AX129" i="9"/>
  <c r="AV21" i="9"/>
  <c r="AW21" i="9" s="1"/>
  <c r="AV88" i="9"/>
  <c r="AW88" i="9" s="1"/>
  <c r="AV136" i="9"/>
  <c r="AW136" i="9" s="1"/>
  <c r="AV57" i="9"/>
  <c r="AW57" i="9" s="1"/>
  <c r="AX57" i="9" s="1"/>
  <c r="AV96" i="9"/>
  <c r="AW96" i="9" s="1"/>
  <c r="AV36" i="9"/>
  <c r="AW36" i="9" s="1"/>
  <c r="AV84" i="9"/>
  <c r="AW84" i="9" s="1"/>
  <c r="AV77" i="9"/>
  <c r="AW77" i="9" s="1"/>
  <c r="AV148" i="9"/>
  <c r="AW148" i="9" s="1"/>
  <c r="AV155" i="9"/>
  <c r="AW155" i="9" s="1"/>
  <c r="AV73" i="9"/>
  <c r="AW73" i="9" s="1"/>
  <c r="AX73" i="9" s="1"/>
  <c r="AV121" i="9"/>
  <c r="AW121" i="9" s="1"/>
  <c r="AV93" i="9"/>
  <c r="AW93" i="9" s="1"/>
  <c r="AV134" i="9"/>
  <c r="AW134" i="9" s="1"/>
  <c r="AV115" i="9"/>
  <c r="AW115" i="9" s="1"/>
  <c r="AV90" i="9"/>
  <c r="AW90" i="9" s="1"/>
  <c r="AV23" i="9"/>
  <c r="AW23" i="9" s="1"/>
  <c r="AX23" i="9" s="1"/>
  <c r="AV137" i="9"/>
  <c r="AW137" i="9" s="1"/>
  <c r="AV132" i="9"/>
  <c r="AW132" i="9" s="1"/>
  <c r="AV31" i="9"/>
  <c r="AW31" i="9" s="1"/>
  <c r="AV130" i="9"/>
  <c r="AW130" i="9" s="1"/>
  <c r="AV25" i="9"/>
  <c r="AW25" i="9" s="1"/>
  <c r="AV15" i="9"/>
  <c r="AW15" i="9" s="1"/>
  <c r="AV144" i="9"/>
  <c r="AW144" i="9" s="1"/>
  <c r="AV103" i="9"/>
  <c r="AW103" i="9" s="1"/>
  <c r="AV82" i="9"/>
  <c r="AW82" i="9" s="1"/>
  <c r="AV118" i="9"/>
  <c r="AW118" i="9" s="1"/>
  <c r="AV100" i="9"/>
  <c r="AW100" i="9" s="1"/>
  <c r="AV126" i="9"/>
  <c r="AW126" i="9" s="1"/>
  <c r="AV64" i="9"/>
  <c r="AW64" i="9" s="1"/>
  <c r="AV142" i="9"/>
  <c r="AW142" i="9" s="1"/>
  <c r="AV60" i="9"/>
  <c r="AW60" i="9" s="1"/>
  <c r="AV42" i="9"/>
  <c r="AW42" i="9" s="1"/>
  <c r="AV70" i="9"/>
  <c r="AW70" i="9" s="1"/>
  <c r="AV109" i="9"/>
  <c r="AW109" i="9" s="1"/>
  <c r="AX109" i="9" s="1"/>
  <c r="AS98" i="9"/>
  <c r="AT47" i="9"/>
  <c r="AT85" i="9"/>
  <c r="AT111" i="9"/>
  <c r="AS97" i="9"/>
  <c r="AT108" i="9"/>
  <c r="AT105" i="9"/>
  <c r="AT102" i="9"/>
  <c r="AT72" i="9"/>
  <c r="AS67" i="9"/>
  <c r="AT12" i="9"/>
  <c r="AS125" i="9"/>
  <c r="AX125" i="9" s="1"/>
  <c r="AT101" i="9"/>
  <c r="AT130" i="9"/>
  <c r="AT26" i="9"/>
  <c r="AT79" i="9"/>
  <c r="AT32" i="9"/>
  <c r="AS85" i="9"/>
  <c r="AS82" i="9"/>
  <c r="AS132" i="9"/>
  <c r="AT17" i="9"/>
  <c r="AS38" i="9"/>
  <c r="AX38" i="9" s="1"/>
  <c r="AT151" i="9"/>
  <c r="AS15" i="9"/>
  <c r="AT136" i="9"/>
  <c r="AT114" i="9"/>
  <c r="AT29" i="9"/>
  <c r="AS48" i="9"/>
  <c r="AT69" i="9"/>
  <c r="AS117" i="9"/>
  <c r="AX117" i="9" s="1"/>
  <c r="AS144" i="9"/>
  <c r="AS133" i="9"/>
  <c r="AS25" i="9"/>
  <c r="AS155" i="9"/>
  <c r="AT21" i="9"/>
  <c r="AT91" i="9"/>
  <c r="AT94" i="9"/>
  <c r="AT117" i="9"/>
  <c r="AT97" i="9"/>
  <c r="AS72" i="9"/>
  <c r="AS29" i="9"/>
  <c r="AS28" i="9"/>
  <c r="AX28" i="9" s="1"/>
  <c r="AT141" i="9"/>
  <c r="AS156" i="9"/>
  <c r="AT106" i="9"/>
  <c r="AT119" i="9"/>
  <c r="AT92" i="9"/>
  <c r="AT81" i="9"/>
  <c r="AS110" i="9"/>
  <c r="AX110" i="9" s="1"/>
  <c r="AT124" i="9"/>
  <c r="AS93" i="9"/>
  <c r="AT68" i="9"/>
  <c r="AT22" i="9"/>
  <c r="AS128" i="9"/>
  <c r="AT154" i="9"/>
  <c r="AT131" i="9"/>
  <c r="AS123" i="9"/>
  <c r="AS100" i="9"/>
  <c r="AS118" i="9"/>
  <c r="AS96" i="9"/>
  <c r="AT15" i="9"/>
  <c r="AS152" i="9"/>
  <c r="AT118" i="9"/>
  <c r="AS145" i="9"/>
  <c r="AS84" i="9"/>
  <c r="AT145" i="9"/>
  <c r="AS94" i="9"/>
  <c r="AX94" i="9" s="1"/>
  <c r="AT30" i="9"/>
  <c r="AS139" i="9"/>
  <c r="AS86" i="9"/>
  <c r="AS116" i="9"/>
  <c r="AT112" i="9"/>
  <c r="AT67" i="9"/>
  <c r="AT115" i="9"/>
  <c r="AT144" i="9"/>
  <c r="AT109" i="9"/>
  <c r="AS143" i="9"/>
  <c r="AS59" i="9"/>
  <c r="AS42" i="9"/>
  <c r="AT95" i="9"/>
  <c r="AT104" i="9"/>
  <c r="AS33" i="9"/>
  <c r="AT110" i="9"/>
  <c r="AS77" i="9"/>
  <c r="AS105" i="9"/>
  <c r="AX105" i="9" s="1"/>
  <c r="AS13" i="9"/>
  <c r="AX13" i="9" s="1"/>
  <c r="AS102" i="9"/>
  <c r="AS101" i="9"/>
  <c r="AS78" i="9"/>
  <c r="AS69" i="9"/>
  <c r="AT137" i="9"/>
  <c r="AS79" i="9"/>
  <c r="AT60" i="9"/>
  <c r="AS39" i="9"/>
  <c r="AS112" i="9"/>
  <c r="AT126" i="9"/>
  <c r="AS147" i="9"/>
  <c r="AT90" i="9"/>
  <c r="AT54" i="9"/>
  <c r="AS122" i="9"/>
  <c r="AS136" i="9"/>
  <c r="AS153" i="9"/>
  <c r="AS127" i="9"/>
  <c r="AT66" i="9"/>
  <c r="AS90" i="9"/>
  <c r="AT88" i="9"/>
  <c r="AS80" i="9"/>
  <c r="AT153" i="9"/>
  <c r="AT99" i="9"/>
  <c r="AS126" i="9"/>
  <c r="AT100" i="9"/>
  <c r="AT20" i="9"/>
  <c r="AS62" i="9"/>
  <c r="AS47" i="9"/>
  <c r="AT73" i="9"/>
  <c r="AT48" i="9"/>
  <c r="AT135" i="9"/>
  <c r="AS52" i="9"/>
  <c r="AT52" i="9"/>
  <c r="AS60" i="9"/>
  <c r="AT53" i="9"/>
  <c r="AS24" i="9"/>
  <c r="AX24" i="9" s="1"/>
  <c r="AT24" i="9"/>
  <c r="AS31" i="9"/>
  <c r="AT31" i="9"/>
  <c r="AT128" i="9"/>
  <c r="AS18" i="9"/>
  <c r="AX18" i="9" s="1"/>
  <c r="AT18" i="9"/>
  <c r="AS138" i="9"/>
  <c r="AT123" i="9"/>
  <c r="AS43" i="9"/>
  <c r="AX43" i="9" s="1"/>
  <c r="AT42" i="9"/>
  <c r="AT50" i="9"/>
  <c r="AT51" i="9"/>
  <c r="AS88" i="9"/>
  <c r="AS154" i="9"/>
  <c r="AT80" i="9"/>
  <c r="AS149" i="9"/>
  <c r="AS141" i="9"/>
  <c r="AT55" i="9"/>
  <c r="AS20" i="9"/>
  <c r="AS49" i="9"/>
  <c r="AT19" i="9"/>
  <c r="AT87" i="9"/>
  <c r="AS103" i="9"/>
  <c r="AT35" i="9"/>
  <c r="AS35" i="9"/>
  <c r="AS36" i="9"/>
  <c r="AT36" i="9"/>
  <c r="AT63" i="9"/>
  <c r="AT149" i="9"/>
  <c r="AS63" i="9"/>
  <c r="AS75" i="9"/>
  <c r="AT75" i="9"/>
  <c r="AS113" i="9"/>
  <c r="AS121" i="9"/>
  <c r="AS148" i="9"/>
  <c r="AX148" i="9" s="1"/>
  <c r="AT139" i="9"/>
  <c r="AT70" i="9"/>
  <c r="AS70" i="9"/>
  <c r="AT147" i="9"/>
  <c r="AT129" i="9"/>
  <c r="AT113" i="9"/>
  <c r="AT132" i="9"/>
  <c r="AS142" i="9"/>
  <c r="AS146" i="9"/>
  <c r="AX146" i="9" s="1"/>
  <c r="AS130" i="9"/>
  <c r="AS131" i="9"/>
  <c r="AS104" i="9"/>
  <c r="AS17" i="9"/>
  <c r="AS65" i="9"/>
  <c r="AS64" i="9"/>
  <c r="AS46" i="9"/>
  <c r="AX46" i="9" s="1"/>
  <c r="AT71" i="9"/>
  <c r="AS91" i="9"/>
  <c r="AX91" i="9" s="1"/>
  <c r="AS27" i="9"/>
  <c r="AT27" i="9"/>
  <c r="AS137" i="9"/>
  <c r="AS92" i="9"/>
  <c r="AS81" i="9"/>
  <c r="AS134" i="9"/>
  <c r="AS150" i="9"/>
  <c r="AT142" i="9"/>
  <c r="AS115" i="9"/>
  <c r="AS58" i="9"/>
  <c r="AT38" i="9"/>
  <c r="AT33" i="9"/>
  <c r="AT49" i="9"/>
  <c r="AS51" i="9"/>
  <c r="AT37" i="9"/>
  <c r="AS37" i="9"/>
  <c r="AS14" i="9"/>
  <c r="AS40" i="9"/>
  <c r="AX40" i="9" s="1"/>
  <c r="AS16" i="9"/>
  <c r="AS89" i="9"/>
  <c r="AX89" i="9" s="1"/>
  <c r="AS107" i="9"/>
  <c r="AT107" i="9"/>
  <c r="AT152" i="9"/>
  <c r="AS74" i="9"/>
  <c r="AX74" i="9" s="1"/>
  <c r="AT56" i="9"/>
  <c r="AS45" i="9"/>
  <c r="AT45" i="9"/>
  <c r="AT64" i="9"/>
  <c r="AS106" i="9"/>
  <c r="AT103" i="9"/>
  <c r="AS34" i="9"/>
  <c r="AX34" i="9" s="1"/>
  <c r="AS66" i="9"/>
  <c r="AT74" i="9"/>
  <c r="AS76" i="9"/>
  <c r="AT59" i="9"/>
  <c r="AT127" i="9"/>
  <c r="AT77" i="9"/>
  <c r="AS124" i="9"/>
  <c r="AT13" i="9"/>
  <c r="AS56" i="9"/>
  <c r="AS151" i="9"/>
  <c r="AX151" i="9" s="1"/>
  <c r="AT39" i="9"/>
  <c r="AS21" i="9"/>
  <c r="AT43" i="9"/>
  <c r="AT25" i="9"/>
  <c r="AX19" i="9"/>
  <c r="AX61" i="9"/>
  <c r="AX41" i="9"/>
  <c r="AV44" i="9"/>
  <c r="AW44" i="9" s="1"/>
  <c r="AX44" i="9" s="1"/>
  <c r="AV69" i="9"/>
  <c r="AW69" i="9" s="1"/>
  <c r="AV59" i="9"/>
  <c r="AW59" i="9" s="1"/>
  <c r="AX59" i="9" s="1"/>
  <c r="AV95" i="9"/>
  <c r="AW95" i="9" s="1"/>
  <c r="AX95" i="9" s="1"/>
  <c r="AV143" i="9"/>
  <c r="AW143" i="9" s="1"/>
  <c r="AV68" i="9"/>
  <c r="AW68" i="9" s="1"/>
  <c r="AX68" i="9" s="1"/>
  <c r="AW58" i="9"/>
  <c r="AX58" i="9" s="1"/>
  <c r="AV37" i="9"/>
  <c r="AW37" i="9" s="1"/>
  <c r="AV48" i="9"/>
  <c r="AW48" i="9" s="1"/>
  <c r="AV32" i="9"/>
  <c r="AW32" i="9" s="1"/>
  <c r="AX32" i="9" s="1"/>
  <c r="AV56" i="9"/>
  <c r="AW56" i="9" s="1"/>
  <c r="AV133" i="9"/>
  <c r="AW133" i="9" s="1"/>
  <c r="AV22" i="9"/>
  <c r="AW22" i="9" s="1"/>
  <c r="AX22" i="9" s="1"/>
  <c r="AV102" i="9"/>
  <c r="AW102" i="9" s="1"/>
  <c r="AV78" i="9"/>
  <c r="AW78" i="9" s="1"/>
  <c r="AV92" i="9"/>
  <c r="AW92" i="9" s="1"/>
  <c r="AX92" i="9" s="1"/>
  <c r="AV140" i="9"/>
  <c r="AW140" i="9" s="1"/>
  <c r="AX140" i="9" s="1"/>
  <c r="AV99" i="9"/>
  <c r="AW99" i="9" s="1"/>
  <c r="AX99" i="9" s="1"/>
  <c r="AV147" i="9"/>
  <c r="AW147" i="9" s="1"/>
  <c r="AV62" i="9"/>
  <c r="AW62" i="9" s="1"/>
  <c r="AV66" i="9"/>
  <c r="AW66" i="9" s="1"/>
  <c r="AV51" i="9"/>
  <c r="AW51" i="9" s="1"/>
  <c r="AV108" i="9"/>
  <c r="AW108" i="9" s="1"/>
  <c r="AX108" i="9" s="1"/>
  <c r="AV156" i="9"/>
  <c r="AW156" i="9" s="1"/>
  <c r="AV104" i="9"/>
  <c r="AW104" i="9" s="1"/>
  <c r="AV145" i="9"/>
  <c r="AW145" i="9" s="1"/>
  <c r="AV85" i="9"/>
  <c r="AW85" i="9" s="1"/>
  <c r="AV106" i="9"/>
  <c r="AW106" i="9" s="1"/>
  <c r="AV53" i="9"/>
  <c r="AW53" i="9" s="1"/>
  <c r="AX53" i="9" s="1"/>
  <c r="AV45" i="9"/>
  <c r="AW45" i="9" s="1"/>
  <c r="AV112" i="9"/>
  <c r="AW112" i="9" s="1"/>
  <c r="AV119" i="9"/>
  <c r="AW119" i="9" s="1"/>
  <c r="AX119" i="9" s="1"/>
  <c r="AV122" i="9"/>
  <c r="AW122" i="9" s="1"/>
  <c r="AV16" i="9"/>
  <c r="AW16" i="9" s="1"/>
  <c r="AV150" i="9"/>
  <c r="AW150" i="9" s="1"/>
  <c r="AV39" i="9"/>
  <c r="AW39" i="9" s="1"/>
  <c r="AV116" i="9"/>
  <c r="AW116" i="9" s="1"/>
  <c r="AV17" i="9"/>
  <c r="AW17" i="9" s="1"/>
  <c r="AV123" i="9"/>
  <c r="AW123" i="9" s="1"/>
  <c r="AV97" i="9"/>
  <c r="AW97" i="9" s="1"/>
  <c r="AV98" i="9"/>
  <c r="AW98" i="9" s="1"/>
  <c r="AV153" i="9"/>
  <c r="AW153" i="9" s="1"/>
  <c r="AV79" i="9"/>
  <c r="AW79" i="9" s="1"/>
  <c r="AV127" i="9"/>
  <c r="AW127" i="9" s="1"/>
  <c r="AV111" i="9"/>
  <c r="AW111" i="9" s="1"/>
  <c r="AX111" i="9" s="1"/>
  <c r="AV101" i="9"/>
  <c r="AW101" i="9" s="1"/>
  <c r="AV35" i="9"/>
  <c r="AW35" i="9" s="1"/>
  <c r="AV80" i="9"/>
  <c r="AW80" i="9" s="1"/>
  <c r="AV27" i="9"/>
  <c r="AW27" i="9" s="1"/>
  <c r="AX27" i="9" s="1"/>
  <c r="AV124" i="9"/>
  <c r="AW124" i="9" s="1"/>
  <c r="AV83" i="9"/>
  <c r="AW83" i="9" s="1"/>
  <c r="AX83" i="9" s="1"/>
  <c r="AV131" i="9"/>
  <c r="AW131" i="9" s="1"/>
  <c r="AV149" i="9"/>
  <c r="AW149" i="9" s="1"/>
  <c r="AV26" i="9"/>
  <c r="AW26" i="9" s="1"/>
  <c r="AX26" i="9" s="1"/>
  <c r="AV65" i="9"/>
  <c r="AW65" i="9" s="1"/>
  <c r="AV152" i="9"/>
  <c r="AW152" i="9" s="1"/>
  <c r="AV75" i="9"/>
  <c r="AW75" i="9" s="1"/>
  <c r="AV63" i="9"/>
  <c r="AW63" i="9" s="1"/>
  <c r="AV154" i="9"/>
  <c r="AW154" i="9" s="1"/>
  <c r="AV114" i="9"/>
  <c r="AW114" i="9" s="1"/>
  <c r="AX114" i="9" s="1"/>
  <c r="AV29" i="9"/>
  <c r="AW29" i="9" s="1"/>
  <c r="AV14" i="9"/>
  <c r="AW14" i="9" s="1"/>
  <c r="AV71" i="9"/>
  <c r="AW71" i="9" s="1"/>
  <c r="AX71" i="9" s="1"/>
  <c r="AV20" i="9"/>
  <c r="AW20" i="9" s="1"/>
  <c r="AV128" i="9"/>
  <c r="AW128" i="9" s="1"/>
  <c r="AV87" i="9"/>
  <c r="AW87" i="9" s="1"/>
  <c r="AX87" i="9" s="1"/>
  <c r="AV135" i="9"/>
  <c r="AW135" i="9" s="1"/>
  <c r="AX135" i="9" s="1"/>
  <c r="AW12" i="9"/>
  <c r="AX12" i="9" s="1"/>
  <c r="AX67" i="9" l="1"/>
  <c r="AX107" i="9"/>
  <c r="AX76" i="9"/>
  <c r="AX86" i="9"/>
  <c r="AX134" i="9"/>
  <c r="AX103" i="9"/>
  <c r="AX98" i="9"/>
  <c r="AX20" i="9"/>
  <c r="AX81" i="9"/>
  <c r="AX21" i="9"/>
  <c r="AX93" i="9"/>
  <c r="AX112" i="9"/>
  <c r="AX118" i="9"/>
  <c r="AX159" i="11"/>
  <c r="AX147" i="9"/>
  <c r="AX150" i="9"/>
  <c r="AX60" i="9"/>
  <c r="AX144" i="9"/>
  <c r="AX77" i="9"/>
  <c r="AX115" i="9"/>
  <c r="AX70" i="9"/>
  <c r="AX136" i="9"/>
  <c r="AX96" i="9"/>
  <c r="AX49" i="9"/>
  <c r="AX122" i="9"/>
  <c r="AX88" i="9"/>
  <c r="AX15" i="9"/>
  <c r="AX16" i="9"/>
  <c r="AX130" i="9"/>
  <c r="AX154" i="9"/>
  <c r="AX31" i="9"/>
  <c r="AX85" i="9"/>
  <c r="AX152" i="9"/>
  <c r="AX48" i="9"/>
  <c r="AX132" i="9"/>
  <c r="AX97" i="9"/>
  <c r="AX62" i="9"/>
  <c r="AX37" i="9"/>
  <c r="AX47" i="9"/>
  <c r="AX139" i="9"/>
  <c r="AX104" i="9"/>
  <c r="AX121" i="9"/>
  <c r="AX36" i="9"/>
  <c r="AX72" i="9"/>
  <c r="AX137" i="9"/>
  <c r="AX64" i="9"/>
  <c r="AX84" i="9"/>
  <c r="AX145" i="9"/>
  <c r="AX142" i="9"/>
  <c r="AX52" i="9"/>
  <c r="AX116" i="9"/>
  <c r="AX138" i="9"/>
  <c r="AX33" i="9"/>
  <c r="AX113" i="9"/>
  <c r="AX141" i="9"/>
  <c r="AX124" i="9"/>
  <c r="AX126" i="9"/>
  <c r="AX90" i="9"/>
  <c r="AX100" i="9"/>
  <c r="AX155" i="9"/>
  <c r="AX123" i="9"/>
  <c r="AX25" i="9"/>
  <c r="AX149" i="9"/>
  <c r="AX156" i="9"/>
  <c r="AX133" i="9"/>
  <c r="AX42" i="9"/>
  <c r="AX82" i="9"/>
  <c r="AX127" i="9"/>
  <c r="AX79" i="9"/>
  <c r="AX153" i="9"/>
  <c r="AX69" i="9"/>
  <c r="AX128" i="9"/>
  <c r="AX14" i="9"/>
  <c r="AX78" i="9"/>
  <c r="AX102" i="9"/>
  <c r="AX101" i="9"/>
  <c r="AX66" i="9"/>
  <c r="AX75" i="9"/>
  <c r="AX29" i="9"/>
  <c r="AX143" i="9"/>
  <c r="AX39" i="9"/>
  <c r="AX131" i="9"/>
  <c r="AX63" i="9"/>
  <c r="AX80" i="9"/>
  <c r="AX35" i="9"/>
  <c r="AX51" i="9"/>
  <c r="AX65" i="9"/>
  <c r="AX45" i="9"/>
  <c r="AX17" i="9"/>
  <c r="AX106" i="9"/>
  <c r="AX56" i="9"/>
  <c r="AX158" i="9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<sst xmlns="http://schemas.openxmlformats.org/spreadsheetml/2006/main" count="416" uniqueCount="133">
  <si>
    <t>SMCI.OQ</t>
  </si>
  <si>
    <t>SPG.N</t>
  </si>
  <si>
    <t>FCX.N</t>
  </si>
  <si>
    <t>MRNA.OQ</t>
  </si>
  <si>
    <t>EL.N</t>
  </si>
  <si>
    <t>NULL</t>
  </si>
  <si>
    <t>SNPS.O</t>
  </si>
  <si>
    <t>RR.L</t>
  </si>
  <si>
    <t>HLN.L</t>
  </si>
  <si>
    <t>URW.PA</t>
  </si>
  <si>
    <t>ALLN.S</t>
  </si>
  <si>
    <t>ORSTED.CO</t>
  </si>
  <si>
    <t>.SP500</t>
  </si>
  <si>
    <t>.STOXX</t>
  </si>
  <si>
    <t>DATE</t>
  </si>
  <si>
    <t>S&amp;P500</t>
  </si>
  <si>
    <t>STOXX</t>
  </si>
  <si>
    <t>L/S Fund</t>
  </si>
  <si>
    <t xml:space="preserve">Amount </t>
  </si>
  <si>
    <t>Weights</t>
  </si>
  <si>
    <t>Date</t>
  </si>
  <si>
    <t>STOXX  Long Performance</t>
  </si>
  <si>
    <t>STOXX600 Long Change Daily</t>
  </si>
  <si>
    <t>STOXX Long Change Percentage Daily</t>
  </si>
  <si>
    <t>STOXX  Short Performance Treated as LONG</t>
  </si>
  <si>
    <t>STOXX600 Short Portfolio Daily</t>
  </si>
  <si>
    <t>EURO SHORT CORRECTLY</t>
  </si>
  <si>
    <t>EURO Daily</t>
  </si>
  <si>
    <t>Performance</t>
  </si>
  <si>
    <t>Performance %</t>
  </si>
  <si>
    <t>Invested Amounts</t>
  </si>
  <si>
    <t>Our current holdings</t>
  </si>
  <si>
    <t>Profit/Loss Performance</t>
  </si>
  <si>
    <t>Total Performance</t>
  </si>
  <si>
    <t>Total Invested</t>
  </si>
  <si>
    <t>Total Performance of EU</t>
  </si>
  <si>
    <t>US LONG Performance</t>
  </si>
  <si>
    <t>US LONG Change Daily</t>
  </si>
  <si>
    <t>US LONG Change Percentage Daily</t>
  </si>
  <si>
    <t>US  SHORT Performance Treated as LONG</t>
  </si>
  <si>
    <t>US Short Portfolio Daily Treated as LONG</t>
  </si>
  <si>
    <t>US SHORT CORRECTLY</t>
  </si>
  <si>
    <t>US Daily</t>
  </si>
  <si>
    <t>Total Performance US EUR</t>
  </si>
  <si>
    <t>US DATE</t>
  </si>
  <si>
    <t>EU DATE</t>
  </si>
  <si>
    <t>US DAILY</t>
  </si>
  <si>
    <t>EU DAILY</t>
  </si>
  <si>
    <t>TOTAL DAILY RETURNS</t>
  </si>
  <si>
    <t>Total Daily</t>
  </si>
  <si>
    <t>Performance (EUR)</t>
  </si>
  <si>
    <t>TODAY/FIRST DAY</t>
  </si>
  <si>
    <t>Daily returns</t>
  </si>
  <si>
    <t>Sharpe Ratio</t>
  </si>
  <si>
    <t xml:space="preserve">Total </t>
  </si>
  <si>
    <t xml:space="preserve">-   € </t>
  </si>
  <si>
    <t>FBK.MI</t>
  </si>
  <si>
    <t>REDE.MC</t>
  </si>
  <si>
    <t>EVOG.ST</t>
  </si>
  <si>
    <t>EQTAB.ST</t>
  </si>
  <si>
    <t>PRY.MI</t>
  </si>
  <si>
    <t>CCL.L</t>
  </si>
  <si>
    <t>STERV.HE</t>
  </si>
  <si>
    <t>HEM.ST</t>
  </si>
  <si>
    <t>NESTE.HE</t>
  </si>
  <si>
    <t>LAGRb.ST</t>
  </si>
  <si>
    <t>LIFCOb.ST</t>
  </si>
  <si>
    <t>SAGAb.ST</t>
  </si>
  <si>
    <t>SSABb.ST</t>
  </si>
  <si>
    <t>HAGG.DE</t>
  </si>
  <si>
    <t>BALDb.ST</t>
  </si>
  <si>
    <t>MYCR.ST</t>
  </si>
  <si>
    <t>VALMT.HE</t>
  </si>
  <si>
    <t>R3NK.DE</t>
  </si>
  <si>
    <t>DNP.WA</t>
  </si>
  <si>
    <t>SYENS.BR</t>
  </si>
  <si>
    <t>RKT.L</t>
  </si>
  <si>
    <t>GALD.S</t>
  </si>
  <si>
    <t>DTGGe.DE</t>
  </si>
  <si>
    <t>RIO.L</t>
  </si>
  <si>
    <t>HWDN.L</t>
  </si>
  <si>
    <t>PHP.L</t>
  </si>
  <si>
    <t>INF.L</t>
  </si>
  <si>
    <t>ITRK.L</t>
  </si>
  <si>
    <t>HSBA.L</t>
  </si>
  <si>
    <t>KPN.AS</t>
  </si>
  <si>
    <t>MOBN.S</t>
  </si>
  <si>
    <t>SCMN.S</t>
  </si>
  <si>
    <t>WISEa.L</t>
  </si>
  <si>
    <t>ULVR.L</t>
  </si>
  <si>
    <t>NG.L</t>
  </si>
  <si>
    <t>BARC.L</t>
  </si>
  <si>
    <t>APP.OQ</t>
  </si>
  <si>
    <t>EPAM.N</t>
  </si>
  <si>
    <t>LULU.OQ</t>
  </si>
  <si>
    <t>EXR.N</t>
  </si>
  <si>
    <t>ERIE.OQ</t>
  </si>
  <si>
    <t>ACGL.OQ</t>
  </si>
  <si>
    <t>TPL.N</t>
  </si>
  <si>
    <t>BLDR.N</t>
  </si>
  <si>
    <t>SW.N</t>
  </si>
  <si>
    <t>HII.N</t>
  </si>
  <si>
    <t>DXCM.OQ</t>
  </si>
  <si>
    <t>REGN.OQ</t>
  </si>
  <si>
    <t>AIZ.N</t>
  </si>
  <si>
    <t>DECK.N</t>
  </si>
  <si>
    <t>NEE.N</t>
  </si>
  <si>
    <t>MOH.N</t>
  </si>
  <si>
    <t>SBAC.OQ</t>
  </si>
  <si>
    <t>ODFL.OQ</t>
  </si>
  <si>
    <t>EXPD.N</t>
  </si>
  <si>
    <t>SYY.N</t>
  </si>
  <si>
    <t>HST.OQ</t>
  </si>
  <si>
    <t>PLTR.OQ</t>
  </si>
  <si>
    <t>AXP.N</t>
  </si>
  <si>
    <t>JNJ.N</t>
  </si>
  <si>
    <t>L.N</t>
  </si>
  <si>
    <t>OXY.N</t>
  </si>
  <si>
    <t>OMC.N</t>
  </si>
  <si>
    <t>WYNN.OQ</t>
  </si>
  <si>
    <t>MGM.N</t>
  </si>
  <si>
    <t>MAR.OQ</t>
  </si>
  <si>
    <t>WFC.N</t>
  </si>
  <si>
    <t>DTE.N</t>
  </si>
  <si>
    <t>MCHP.OQ</t>
  </si>
  <si>
    <t>BRKb.N</t>
  </si>
  <si>
    <t>COP.N</t>
  </si>
  <si>
    <t>EUR USD</t>
  </si>
  <si>
    <t>Total Performance US USD</t>
  </si>
  <si>
    <t>US Daily EUR</t>
  </si>
  <si>
    <t>EUR=</t>
  </si>
  <si>
    <t>US DAILY EUR</t>
  </si>
  <si>
    <t>TOT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</si>
</sst>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[$-F800]dddd\,\ mmmm\ dd\,\ yyyy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ptos Narrow"/>
    </font>
    <font>
      <sz val="12"/>
      <color rgb="FFFF0000"/>
      <name val="Aptos Narrow"/>
    </font>
    <font>
      <sz val="12"/>
      <color rgb="FF00B0F0"/>
      <name val="Calibri"/>
      <family val="2"/>
      <scheme val="minor"/>
    </font>
    <font>
      <sz val="12"/>
      <color theme="5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0" fillId="0" borderId="0" xfId="0" quotePrefix="1"/>
    <xf numFmtId="14" fontId="0" fillId="0" borderId="0" xfId="0" applyNumberFormat="1"/>
    <xf numFmtId="0" fontId="1" fillId="0" borderId="0" xfId="0" applyFont="1"/>
    <xf numFmtId="10" fontId="2" fillId="2" borderId="0" xfId="0" applyNumberFormat="1" applyFont="1" applyFill="1"/>
    <xf numFmtId="0" fontId="0" fillId="3" borderId="0" xfId="0" applyFill="1"/>
    <xf numFmtId="164" fontId="0" fillId="0" borderId="0" xfId="0" applyNumberFormat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2" fontId="2" fillId="0" borderId="0" xfId="0" applyNumberFormat="1" applyFont="1"/>
    <xf numFmtId="2" fontId="2" fillId="4" borderId="0" xfId="0" applyNumberFormat="1" applyFont="1" applyFill="1"/>
    <xf numFmtId="2" fontId="4" fillId="0" borderId="0" xfId="0" applyNumberFormat="1" applyFont="1"/>
    <xf numFmtId="2" fontId="5" fillId="0" borderId="0" xfId="0" applyNumberFormat="1" applyFont="1"/>
    <xf numFmtId="0" fontId="0" fillId="0" borderId="0" xfId="0" quotePrefix="1" applyAlignment="1">
      <alignment horizontal="center"/>
    </xf>
    <xf numFmtId="14" fontId="1" fillId="0" borderId="0" xfId="0" applyNumberFormat="1" applyFont="1" applyAlignment="1">
      <alignment horizontal="center"/>
    </xf>
    <xf numFmtId="2" fontId="0" fillId="0" borderId="0" xfId="0" applyNumberFormat="1"/>
    <xf numFmtId="0" fontId="0" fillId="5" borderId="0" xfId="0" applyFill="1"/>
    <xf numFmtId="165" fontId="4" fillId="0" borderId="0" xfId="0" applyNumberFormat="1" applyFont="1" applyAlignment="1">
      <alignment horizontal="left"/>
    </xf>
    <xf numFmtId="14" fontId="4" fillId="0" borderId="0" xfId="0" applyNumberFormat="1" applyFont="1"/>
    <xf numFmtId="14" fontId="2" fillId="0" borderId="0" xfId="0" applyNumberFormat="1" applyFont="1"/>
    <xf numFmtId="14" fontId="2" fillId="4" borderId="0" xfId="0" applyNumberFormat="1" applyFont="1" applyFill="1"/>
    <xf numFmtId="0" fontId="4" fillId="0" borderId="0" xfId="0" applyFont="1" applyAlignment="1">
      <alignment horizontal="left"/>
    </xf>
    <xf numFmtId="0" fontId="8" fillId="0" borderId="0" xfId="0" applyFont="1"/>
    <xf numFmtId="0" fontId="9" fillId="6" borderId="0" xfId="0" applyFont="1" applyFill="1"/>
    <xf numFmtId="0" fontId="10" fillId="0" borderId="0" xfId="0" applyFont="1"/>
    <xf numFmtId="14" fontId="0" fillId="0" borderId="0" xfId="0" quotePrefix="1" applyNumberFormat="1"/>
    <xf numFmtId="10" fontId="11" fillId="0" borderId="0" xfId="0" applyNumberFormat="1" applyFont="1"/>
    <xf numFmtId="10" fontId="12" fillId="0" borderId="0" xfId="0" applyNumberFormat="1" applyFont="1"/>
    <xf numFmtId="10" fontId="13" fillId="7" borderId="0" xfId="1" applyNumberFormat="1" applyFont="1" applyFill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'S&amp;P500 and STOXX PERFOMRMANCE'!$N$1</c:f>
              <c:strCache>
                <c:ptCount val="1"/>
                <c:pt idx="0">
                  <c:v>S&amp;P500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'S&amp;P500 and STOXX PERFOMRMANCE'!$M$2:$M$150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'S&amp;P500 and STOXX PERFOMRMANCE'!$N$2:$N$150</c:f>
              <c:numCache>
                <c:formatCode>General</c:formatCode>
                <c:ptCount val="149"/>
                <c:pt idx="0">
                  <c:v>1</c:v>
                </c:pt>
                <c:pt idx="1">
                  <c:v>1.0089846107904419</c:v>
                </c:pt>
                <c:pt idx="2">
                  <c:v>1.0156562312358011</c:v>
                </c:pt>
                <c:pt idx="3">
                  <c:v>1.0253063804797511</c:v>
                </c:pt>
                <c:pt idx="4">
                  <c:v>1.0400421428855946</c:v>
                </c:pt>
                <c:pt idx="5">
                  <c:v>1.0316652900424002</c:v>
                </c:pt>
                <c:pt idx="6">
                  <c:v>1.0188628655913812</c:v>
                </c:pt>
                <c:pt idx="7">
                  <c:v>1.0295394638217119</c:v>
                </c:pt>
                <c:pt idx="8">
                  <c:v>1.0421553710099567</c:v>
                </c:pt>
                <c:pt idx="9">
                  <c:v>1.0395670803388468</c:v>
                </c:pt>
                <c:pt idx="10">
                  <c:v>1.0889022922793454</c:v>
                </c:pt>
                <c:pt idx="11">
                  <c:v>1.0872746512743983</c:v>
                </c:pt>
                <c:pt idx="12">
                  <c:v>1.0893625433586183</c:v>
                </c:pt>
                <c:pt idx="13">
                  <c:v>1.0925913968384167</c:v>
                </c:pt>
                <c:pt idx="14">
                  <c:v>1.1026207877535905</c:v>
                </c:pt>
                <c:pt idx="15">
                  <c:v>1.0958272510207516</c:v>
                </c:pt>
                <c:pt idx="16">
                  <c:v>1.0877095647133996</c:v>
                </c:pt>
                <c:pt idx="17">
                  <c:v>1.0657159161272947</c:v>
                </c:pt>
                <c:pt idx="18">
                  <c:v>1.0698632261198817</c:v>
                </c:pt>
                <c:pt idx="19">
                  <c:v>1.0548340769204843</c:v>
                </c:pt>
                <c:pt idx="20">
                  <c:v>1.0798410046908948</c:v>
                </c:pt>
                <c:pt idx="21">
                  <c:v>1.0772435716765485</c:v>
                </c:pt>
                <c:pt idx="22">
                  <c:v>1.0740535648127709</c:v>
                </c:pt>
                <c:pt idx="23">
                  <c:v>1.0762367174170262</c:v>
                </c:pt>
                <c:pt idx="24">
                  <c:v>1.071774463903959</c:v>
                </c:pt>
                <c:pt idx="25">
                  <c:v>1.084724500758971</c:v>
                </c:pt>
                <c:pt idx="26">
                  <c:v>1.0803403695267841</c:v>
                </c:pt>
                <c:pt idx="27">
                  <c:v>1.0720993604778966</c:v>
                </c:pt>
                <c:pt idx="28">
                  <c:v>1.0878671490844349</c:v>
                </c:pt>
                <c:pt idx="29">
                  <c:v>1.0864005276293727</c:v>
                </c:pt>
                <c:pt idx="30">
                  <c:v>1.0920689048692438</c:v>
                </c:pt>
                <c:pt idx="31">
                  <c:v>1.083002397585453</c:v>
                </c:pt>
                <c:pt idx="32">
                  <c:v>1.0781248598594906</c:v>
                </c:pt>
                <c:pt idx="33">
                  <c:v>1.0688103826859916</c:v>
                </c:pt>
                <c:pt idx="34">
                  <c:v>1.0780144835627756</c:v>
                </c:pt>
                <c:pt idx="35">
                  <c:v>1.07664849760131</c:v>
                </c:pt>
                <c:pt idx="36">
                  <c:v>1.0763153020493044</c:v>
                </c:pt>
                <c:pt idx="37">
                  <c:v>1.0763153020493044</c:v>
                </c:pt>
                <c:pt idx="38">
                  <c:v>1.069952198742254</c:v>
                </c:pt>
                <c:pt idx="39">
                  <c:v>1.0752031074652355</c:v>
                </c:pt>
                <c:pt idx="40">
                  <c:v>1.0841528494727979</c:v>
                </c:pt>
                <c:pt idx="41">
                  <c:v>1.0794174301876454</c:v>
                </c:pt>
                <c:pt idx="42">
                  <c:v>1.0843445127320115</c:v>
                </c:pt>
                <c:pt idx="43">
                  <c:v>1.0881554265969331</c:v>
                </c:pt>
                <c:pt idx="44">
                  <c:v>1.0875456394879861</c:v>
                </c:pt>
                <c:pt idx="45">
                  <c:v>1.0845867379011895</c:v>
                </c:pt>
                <c:pt idx="46">
                  <c:v>1.0903768862619538</c:v>
                </c:pt>
                <c:pt idx="47">
                  <c:v>1.1034000710575063</c:v>
                </c:pt>
                <c:pt idx="48">
                  <c:v>1.1034000710575063</c:v>
                </c:pt>
                <c:pt idx="49">
                  <c:v>1.0993057853636055</c:v>
                </c:pt>
                <c:pt idx="50">
                  <c:v>1.0969251549188674</c:v>
                </c:pt>
                <c:pt idx="51">
                  <c:v>1.1040537642498518</c:v>
                </c:pt>
                <c:pt idx="52">
                  <c:v>1.1088750016439948</c:v>
                </c:pt>
                <c:pt idx="53">
                  <c:v>1.1062655337936669</c:v>
                </c:pt>
                <c:pt idx="54">
                  <c:v>1.1102833184230336</c:v>
                </c:pt>
                <c:pt idx="55">
                  <c:v>1.1119909423663812</c:v>
                </c:pt>
                <c:pt idx="56">
                  <c:v>1.1121908386926354</c:v>
                </c:pt>
                <c:pt idx="57">
                  <c:v>1.1219282812246221</c:v>
                </c:pt>
                <c:pt idx="58">
                  <c:v>1.1189385302367041</c:v>
                </c:pt>
                <c:pt idx="59">
                  <c:v>1.1137951155879768</c:v>
                </c:pt>
                <c:pt idx="60">
                  <c:v>1.1090063039839289</c:v>
                </c:pt>
                <c:pt idx="61">
                  <c:v>1.1160540235071215</c:v>
                </c:pt>
                <c:pt idx="62">
                  <c:v>1.1183441833400272</c:v>
                </c:pt>
                <c:pt idx="63">
                  <c:v>1.1241358855497574</c:v>
                </c:pt>
                <c:pt idx="64">
                  <c:v>1.1390773242064669</c:v>
                </c:pt>
                <c:pt idx="65">
                  <c:v>1.1399448854915994</c:v>
                </c:pt>
                <c:pt idx="66">
                  <c:v>1.1525975336834804</c:v>
                </c:pt>
                <c:pt idx="67">
                  <c:v>1.147226775624085</c:v>
                </c:pt>
                <c:pt idx="68">
                  <c:v>1.1124102973302215</c:v>
                </c:pt>
                <c:pt idx="69">
                  <c:v>1.1301644045027783</c:v>
                </c:pt>
                <c:pt idx="70">
                  <c:v>1.1242976562724982</c:v>
                </c:pt>
                <c:pt idx="71">
                  <c:v>1.1242262589887566</c:v>
                </c:pt>
                <c:pt idx="72">
                  <c:v>1.1227531412569054</c:v>
                </c:pt>
                <c:pt idx="73">
                  <c:v>1.1340308468811549</c:v>
                </c:pt>
                <c:pt idx="74">
                  <c:v>1.1336282258199799</c:v>
                </c:pt>
                <c:pt idx="75">
                  <c:v>1.1406974214653987</c:v>
                </c:pt>
                <c:pt idx="76">
                  <c:v>1.1413500064563233</c:v>
                </c:pt>
                <c:pt idx="77">
                  <c:v>1.147373276363842</c:v>
                </c:pt>
                <c:pt idx="78">
                  <c:v>1.1390664192067024</c:v>
                </c:pt>
                <c:pt idx="79">
                  <c:v>1.1425624348032353</c:v>
                </c:pt>
                <c:pt idx="80">
                  <c:v>1.1372342660820516</c:v>
                </c:pt>
                <c:pt idx="81">
                  <c:v>1.1339927113172192</c:v>
                </c:pt>
                <c:pt idx="82">
                  <c:v>1.1339263618615991</c:v>
                </c:pt>
                <c:pt idx="83">
                  <c:v>1.1403392297666346</c:v>
                </c:pt>
                <c:pt idx="84">
                  <c:v>1.144944654312176</c:v>
                </c:pt>
                <c:pt idx="85">
                  <c:v>1.1473128223133673</c:v>
                </c:pt>
                <c:pt idx="86">
                  <c:v>1.1505528311732782</c:v>
                </c:pt>
                <c:pt idx="87">
                  <c:v>1.1497384037880378</c:v>
                </c:pt>
                <c:pt idx="88">
                  <c:v>1.1421825866634276</c:v>
                </c:pt>
                <c:pt idx="89">
                  <c:v>1.1421825866634276</c:v>
                </c:pt>
                <c:pt idx="90">
                  <c:v>1.1387552663313112</c:v>
                </c:pt>
                <c:pt idx="91">
                  <c:v>1.1423118158631054</c:v>
                </c:pt>
                <c:pt idx="92">
                  <c:v>1.1530283902473795</c:v>
                </c:pt>
                <c:pt idx="93">
                  <c:v>1.1427097890249596</c:v>
                </c:pt>
                <c:pt idx="94">
                  <c:v>1.140743911036064</c:v>
                </c:pt>
                <c:pt idx="95">
                  <c:v>1.1492717785607101</c:v>
                </c:pt>
                <c:pt idx="96">
                  <c:v>1.1539829121130796</c:v>
                </c:pt>
                <c:pt idx="97">
                  <c:v>1.1598150787892456</c:v>
                </c:pt>
                <c:pt idx="98">
                  <c:v>1.1592541571676389</c:v>
                </c:pt>
                <c:pt idx="99">
                  <c:v>1.1620322525774593</c:v>
                </c:pt>
                <c:pt idx="100">
                  <c:v>1.1501630770764046</c:v>
                </c:pt>
                <c:pt idx="101">
                  <c:v>1.1543103548695421</c:v>
                </c:pt>
                <c:pt idx="102">
                  <c:v>1.1623877200606321</c:v>
                </c:pt>
                <c:pt idx="103">
                  <c:v>1.1722519576861572</c:v>
                </c:pt>
                <c:pt idx="104">
                  <c:v>1.171627581211425</c:v>
                </c:pt>
                <c:pt idx="105">
                  <c:v>1.1639016295931683</c:v>
                </c:pt>
                <c:pt idx="106">
                  <c:v>1.1683091338129306</c:v>
                </c:pt>
                <c:pt idx="107">
                  <c:v>1.1696324406258873</c:v>
                </c:pt>
                <c:pt idx="108">
                  <c:v>1.1729122882430569</c:v>
                </c:pt>
                <c:pt idx="109">
                  <c:v>1.1735954908502149</c:v>
                </c:pt>
                <c:pt idx="110">
                  <c:v>1.1775954261997028</c:v>
                </c:pt>
                <c:pt idx="111">
                  <c:v>1.1820020256680857</c:v>
                </c:pt>
                <c:pt idx="112">
                  <c:v>1.1842436724345633</c:v>
                </c:pt>
                <c:pt idx="113">
                  <c:v>1.1816026605056014</c:v>
                </c:pt>
                <c:pt idx="114">
                  <c:v>1.1891422031887549</c:v>
                </c:pt>
                <c:pt idx="115">
                  <c:v>1.1901020516764755</c:v>
                </c:pt>
                <c:pt idx="116">
                  <c:v>1.2000229782324012</c:v>
                </c:pt>
                <c:pt idx="117">
                  <c:v>1.2032421685155537</c:v>
                </c:pt>
                <c:pt idx="118">
                  <c:v>1.1650710132680271</c:v>
                </c:pt>
                <c:pt idx="119">
                  <c:v>1.1883576315382556</c:v>
                </c:pt>
                <c:pt idx="120">
                  <c:v>1.18272404939641</c:v>
                </c:pt>
                <c:pt idx="121">
                  <c:v>1.1832963386340081</c:v>
                </c:pt>
                <c:pt idx="122">
                  <c:v>1.1717274045260531</c:v>
                </c:pt>
                <c:pt idx="123">
                  <c:v>1.1815507231763609</c:v>
                </c:pt>
                <c:pt idx="124">
                  <c:v>1.1952866910938653</c:v>
                </c:pt>
                <c:pt idx="125">
                  <c:v>1.1996537346735785</c:v>
                </c:pt>
                <c:pt idx="126">
                  <c:v>1.19201903597312</c:v>
                </c:pt>
                <c:pt idx="127">
                  <c:v>1.1982407181889199</c:v>
                </c:pt>
                <c:pt idx="128">
                  <c:v>1.2068830444198997</c:v>
                </c:pt>
                <c:pt idx="129">
                  <c:v>1.2198255133358766</c:v>
                </c:pt>
                <c:pt idx="130">
                  <c:v>1.2218764645697042</c:v>
                </c:pt>
                <c:pt idx="131">
                  <c:v>1.2271893231805233</c:v>
                </c:pt>
                <c:pt idx="132">
                  <c:v>1.2186145094534599</c:v>
                </c:pt>
                <c:pt idx="133">
                  <c:v>1.2250825890362507</c:v>
                </c:pt>
                <c:pt idx="134">
                  <c:v>1.2289029306524231</c:v>
                </c:pt>
                <c:pt idx="135">
                  <c:v>1.2182845377735985</c:v>
                </c:pt>
                <c:pt idx="136">
                  <c:v>1.2217812282608671</c:v>
                </c:pt>
                <c:pt idx="137">
                  <c:v>1.2022656771935061</c:v>
                </c:pt>
                <c:pt idx="138">
                  <c:v>1.2019064266973609</c:v>
                </c:pt>
                <c:pt idx="139">
                  <c:v>1.2213624231039748</c:v>
                </c:pt>
                <c:pt idx="140">
                  <c:v>1.2213662829522749</c:v>
                </c:pt>
                <c:pt idx="141">
                  <c:v>1.2208600648242522</c:v>
                </c:pt>
                <c:pt idx="142">
                  <c:v>1.1966244974563194</c:v>
                </c:pt>
                <c:pt idx="143">
                  <c:v>1.1971652419042524</c:v>
                </c:pt>
                <c:pt idx="144">
                  <c:v>1.1892565477134982</c:v>
                </c:pt>
                <c:pt idx="145">
                  <c:v>1.1805582375083841</c:v>
                </c:pt>
                <c:pt idx="146">
                  <c:v>1.1894076868201766</c:v>
                </c:pt>
                <c:pt idx="147">
                  <c:v>1.1718111636042658</c:v>
                </c:pt>
                <c:pt idx="148">
                  <c:v>1.1718111636042658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E0-4DDF-A7AF-39DB53C5F638}"/>
            </c:ext>
          </c:extLst>
        </c:ser>
        <c:ser>
          <c:idx val="1"/>
          <c:order val="1"/>
          <c:tx>
            <c:strRef>
              <c:f>'S&amp;P500 and STOXX PERFOMRMANCE'!$O$1</c:f>
              <c:strCache>
                <c:ptCount val="1"/>
                <c:pt idx="0">
                  <c:v>STOXX</c:v>
                </c:pt>
              </c:strCache>
            </c:strRef>
          </c:tx>
          <c:spPr>
            <a:ln w="19050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'S&amp;P500 and STOXX PERFOMRMANCE'!$M$2:$M$150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'S&amp;P500 and STOXX PERFOMRMANCE'!$O$2:$O$150</c:f>
              <c:numCache>
                <c:formatCode>General</c:formatCode>
                <c:ptCount val="149"/>
                <c:pt idx="0">
                  <c:v>1</c:v>
                </c:pt>
                <c:pt idx="1">
                  <c:v>1.003631567881649</c:v>
                </c:pt>
                <c:pt idx="2">
                  <c:v>1.0081996980064603</c:v>
                </c:pt>
                <c:pt idx="3">
                  <c:v>1.0084290601884591</c:v>
                </c:pt>
                <c:pt idx="4">
                  <c:v>1.0253062940805442</c:v>
                </c:pt>
                <c:pt idx="5">
                  <c:v>1.0269882834152027</c:v>
                </c:pt>
                <c:pt idx="6">
                  <c:v>1.0251533859592117</c:v>
                </c:pt>
                <c:pt idx="7">
                  <c:v>1.0196486935912383</c:v>
                </c:pt>
                <c:pt idx="8">
                  <c:v>1.0237772128672182</c:v>
                </c:pt>
                <c:pt idx="9">
                  <c:v>1.0282306619010302</c:v>
                </c:pt>
                <c:pt idx="10">
                  <c:v>1.0407117873048031</c:v>
                </c:pt>
                <c:pt idx="11">
                  <c:v>1.0420115063361302</c:v>
                </c:pt>
                <c:pt idx="12">
                  <c:v>1.0395458628796421</c:v>
                </c:pt>
                <c:pt idx="13">
                  <c:v>1.0454137120357805</c:v>
                </c:pt>
                <c:pt idx="14">
                  <c:v>1.049828934039259</c:v>
                </c:pt>
                <c:pt idx="15">
                  <c:v>1.0512051071312525</c:v>
                </c:pt>
                <c:pt idx="16">
                  <c:v>1.0589269672585484</c:v>
                </c:pt>
                <c:pt idx="17">
                  <c:v>1.058544696955217</c:v>
                </c:pt>
                <c:pt idx="18">
                  <c:v>1.051759399071083</c:v>
                </c:pt>
                <c:pt idx="19">
                  <c:v>1.0419350522754638</c:v>
                </c:pt>
                <c:pt idx="20">
                  <c:v>1.0556776696802308</c:v>
                </c:pt>
                <c:pt idx="21">
                  <c:v>1.049198188038762</c:v>
                </c:pt>
                <c:pt idx="22">
                  <c:v>1.0471912689462717</c:v>
                </c:pt>
                <c:pt idx="23">
                  <c:v>1.048701236644431</c:v>
                </c:pt>
                <c:pt idx="24">
                  <c:v>1.047267723006938</c:v>
                </c:pt>
                <c:pt idx="25">
                  <c:v>1.0482616257956001</c:v>
                </c:pt>
                <c:pt idx="26">
                  <c:v>1.0531929127085762</c:v>
                </c:pt>
                <c:pt idx="27">
                  <c:v>1.0548366750129015</c:v>
                </c:pt>
                <c:pt idx="28">
                  <c:v>1.0582006536822186</c:v>
                </c:pt>
                <c:pt idx="29">
                  <c:v>1.0574361130755556</c:v>
                </c:pt>
                <c:pt idx="30">
                  <c:v>1.0572067508935568</c:v>
                </c:pt>
                <c:pt idx="31">
                  <c:v>1.0543779506489037</c:v>
                </c:pt>
                <c:pt idx="32">
                  <c:v>1.0509375179189204</c:v>
                </c:pt>
                <c:pt idx="33">
                  <c:v>1.041571895487299</c:v>
                </c:pt>
                <c:pt idx="34">
                  <c:v>1.0453372579751141</c:v>
                </c:pt>
                <c:pt idx="35">
                  <c:v>1.036449473422657</c:v>
                </c:pt>
                <c:pt idx="36">
                  <c:v>1.0327605649955083</c:v>
                </c:pt>
                <c:pt idx="37">
                  <c:v>1.0327605649955083</c:v>
                </c:pt>
                <c:pt idx="38">
                  <c:v>1.0254974292322099</c:v>
                </c:pt>
                <c:pt idx="39">
                  <c:v>1.0226304019572239</c:v>
                </c:pt>
                <c:pt idx="40">
                  <c:v>1.0340029434813356</c:v>
                </c:pt>
                <c:pt idx="41">
                  <c:v>1.0263575374147058</c:v>
                </c:pt>
                <c:pt idx="42">
                  <c:v>1.0273132131730345</c:v>
                </c:pt>
                <c:pt idx="43">
                  <c:v>1.0390680250004778</c:v>
                </c:pt>
                <c:pt idx="44">
                  <c:v>1.034748370572832</c:v>
                </c:pt>
                <c:pt idx="45">
                  <c:v>1.0326076568741756</c:v>
                </c:pt>
                <c:pt idx="46">
                  <c:v>1.0344425543301667</c:v>
                </c:pt>
                <c:pt idx="47">
                  <c:v>1.0393165006976433</c:v>
                </c:pt>
                <c:pt idx="48">
                  <c:v>1.0393165006976433</c:v>
                </c:pt>
                <c:pt idx="49">
                  <c:v>1.0388195493033123</c:v>
                </c:pt>
                <c:pt idx="50">
                  <c:v>1.0430436361551252</c:v>
                </c:pt>
                <c:pt idx="51">
                  <c:v>1.0511668801009193</c:v>
                </c:pt>
                <c:pt idx="52">
                  <c:v>1.0568435941053917</c:v>
                </c:pt>
                <c:pt idx="53">
                  <c:v>1.0461591391272769</c:v>
                </c:pt>
                <c:pt idx="54">
                  <c:v>1.0454901660964466</c:v>
                </c:pt>
                <c:pt idx="55">
                  <c:v>1.0415910090024656</c:v>
                </c:pt>
                <c:pt idx="56">
                  <c:v>1.0356467057856611</c:v>
                </c:pt>
                <c:pt idx="57">
                  <c:v>1.045566620157113</c:v>
                </c:pt>
                <c:pt idx="58">
                  <c:v>1.0455092796116132</c:v>
                </c:pt>
                <c:pt idx="59">
                  <c:v>1.0447065119746173</c:v>
                </c:pt>
                <c:pt idx="60">
                  <c:v>1.0404250845773046</c:v>
                </c:pt>
                <c:pt idx="61">
                  <c:v>1.0516638314952502</c:v>
                </c:pt>
                <c:pt idx="62">
                  <c:v>1.0542059290124044</c:v>
                </c:pt>
                <c:pt idx="63">
                  <c:v>1.0511477665857527</c:v>
                </c:pt>
                <c:pt idx="64">
                  <c:v>1.0488732582809304</c:v>
                </c:pt>
                <c:pt idx="65">
                  <c:v>1.0519314207075823</c:v>
                </c:pt>
                <c:pt idx="66">
                  <c:v>1.0517020585255834</c:v>
                </c:pt>
                <c:pt idx="67">
                  <c:v>1.0438081767617882</c:v>
                </c:pt>
                <c:pt idx="68">
                  <c:v>1.0240830291098835</c:v>
                </c:pt>
                <c:pt idx="69">
                  <c:v>1.0332766299050058</c:v>
                </c:pt>
                <c:pt idx="70">
                  <c:v>1.0348057111183315</c:v>
                </c:pt>
                <c:pt idx="71">
                  <c:v>1.0341749651178349</c:v>
                </c:pt>
                <c:pt idx="72">
                  <c:v>1.0436934956707886</c:v>
                </c:pt>
                <c:pt idx="73">
                  <c:v>1.0456621877329459</c:v>
                </c:pt>
                <c:pt idx="74">
                  <c:v>1.0450505552476155</c:v>
                </c:pt>
                <c:pt idx="75">
                  <c:v>1.0472103824614383</c:v>
                </c:pt>
                <c:pt idx="76">
                  <c:v>1.0528679829507444</c:v>
                </c:pt>
                <c:pt idx="77">
                  <c:v>1.0586402645310498</c:v>
                </c:pt>
                <c:pt idx="78">
                  <c:v>1.0580477455608859</c:v>
                </c:pt>
                <c:pt idx="79">
                  <c:v>1.0589078537433818</c:v>
                </c:pt>
                <c:pt idx="80">
                  <c:v>1.06617098950668</c:v>
                </c:pt>
                <c:pt idx="81">
                  <c:v>1.0686175194480017</c:v>
                </c:pt>
                <c:pt idx="82">
                  <c:v>1.0685792924176685</c:v>
                </c:pt>
                <c:pt idx="83">
                  <c:v>1.0728416062998145</c:v>
                </c:pt>
                <c:pt idx="84">
                  <c:v>1.0681014545385041</c:v>
                </c:pt>
                <c:pt idx="85">
                  <c:v>1.0592710105315468</c:v>
                </c:pt>
                <c:pt idx="86">
                  <c:v>1.0603413673808748</c:v>
                </c:pt>
                <c:pt idx="87">
                  <c:v>1.0582579942277182</c:v>
                </c:pt>
                <c:pt idx="88">
                  <c:v>1.0515109233739175</c:v>
                </c:pt>
                <c:pt idx="89">
                  <c:v>1.0515109233739175</c:v>
                </c:pt>
                <c:pt idx="90">
                  <c:v>1.0381888033028153</c:v>
                </c:pt>
                <c:pt idx="91">
                  <c:v>1.0450887822779487</c:v>
                </c:pt>
                <c:pt idx="92">
                  <c:v>1.0514153557980848</c:v>
                </c:pt>
                <c:pt idx="93">
                  <c:v>1.0497333664634263</c:v>
                </c:pt>
                <c:pt idx="94">
                  <c:v>1.0551424912555667</c:v>
                </c:pt>
                <c:pt idx="95">
                  <c:v>1.0558114642863967</c:v>
                </c:pt>
                <c:pt idx="96">
                  <c:v>1.055620329134731</c:v>
                </c:pt>
                <c:pt idx="97">
                  <c:v>1.0614308377453696</c:v>
                </c:pt>
                <c:pt idx="98">
                  <c:v>1.0604942755022075</c:v>
                </c:pt>
                <c:pt idx="99">
                  <c:v>1.0649286110208527</c:v>
                </c:pt>
                <c:pt idx="100">
                  <c:v>1.0527533018597448</c:v>
                </c:pt>
                <c:pt idx="101">
                  <c:v>1.0524474856170798</c:v>
                </c:pt>
                <c:pt idx="102">
                  <c:v>1.0608192052600391</c:v>
                </c:pt>
                <c:pt idx="103">
                  <c:v>1.0591181024102141</c:v>
                </c:pt>
                <c:pt idx="104">
                  <c:v>1.0577419293182209</c:v>
                </c:pt>
                <c:pt idx="105">
                  <c:v>1.0607045241690398</c:v>
                </c:pt>
                <c:pt idx="106">
                  <c:v>1.0586593780462163</c:v>
                </c:pt>
                <c:pt idx="107">
                  <c:v>1.0516638314952502</c:v>
                </c:pt>
                <c:pt idx="108">
                  <c:v>1.0598826430168771</c:v>
                </c:pt>
                <c:pt idx="109">
                  <c:v>1.061813108048701</c:v>
                </c:pt>
                <c:pt idx="110">
                  <c:v>1.0668781895678432</c:v>
                </c:pt>
                <c:pt idx="111">
                  <c:v>1.0791872933351172</c:v>
                </c:pt>
                <c:pt idx="112">
                  <c:v>1.0848831208547562</c:v>
                </c:pt>
                <c:pt idx="113">
                  <c:v>1.09033047267723</c:v>
                </c:pt>
                <c:pt idx="114">
                  <c:v>1.0899290888587319</c:v>
                </c:pt>
                <c:pt idx="115">
                  <c:v>1.0880750778875741</c:v>
                </c:pt>
                <c:pt idx="116">
                  <c:v>1.0967143867428657</c:v>
                </c:pt>
                <c:pt idx="117">
                  <c:v>1.0919742349815553</c:v>
                </c:pt>
                <c:pt idx="118">
                  <c:v>1.0783080716374547</c:v>
                </c:pt>
                <c:pt idx="119">
                  <c:v>1.0830291098835985</c:v>
                </c:pt>
                <c:pt idx="120">
                  <c:v>1.0790343852137845</c:v>
                </c:pt>
                <c:pt idx="121">
                  <c:v>1.0852080506125881</c:v>
                </c:pt>
                <c:pt idx="122">
                  <c:v>1.0926432080123853</c:v>
                </c:pt>
                <c:pt idx="123">
                  <c:v>1.0822836827921023</c:v>
                </c:pt>
                <c:pt idx="124">
                  <c:v>1.0934842026797147</c:v>
                </c:pt>
                <c:pt idx="125">
                  <c:v>1.0957778244997036</c:v>
                </c:pt>
                <c:pt idx="126">
                  <c:v>1.0938473594678795</c:v>
                </c:pt>
                <c:pt idx="127">
                  <c:v>1.0979376517135264</c:v>
                </c:pt>
                <c:pt idx="128">
                  <c:v>1.1004797492306808</c:v>
                </c:pt>
                <c:pt idx="129">
                  <c:v>1.1029071656568359</c:v>
                </c:pt>
                <c:pt idx="130">
                  <c:v>1.1004797492306808</c:v>
                </c:pt>
                <c:pt idx="131">
                  <c:v>1.0997916626846842</c:v>
                </c:pt>
                <c:pt idx="132">
                  <c:v>1.0987021923201896</c:v>
                </c:pt>
                <c:pt idx="133">
                  <c:v>1.0930828188612167</c:v>
                </c:pt>
                <c:pt idx="134">
                  <c:v>1.0938282459527131</c:v>
                </c:pt>
                <c:pt idx="135">
                  <c:v>1.0905789483743955</c:v>
                </c:pt>
                <c:pt idx="136">
                  <c:v>1.0931019323763831</c:v>
                </c:pt>
                <c:pt idx="137">
                  <c:v>1.0854565263097535</c:v>
                </c:pt>
                <c:pt idx="138">
                  <c:v>1.0795122230929488</c:v>
                </c:pt>
                <c:pt idx="139">
                  <c:v>1.0948603757717081</c:v>
                </c:pt>
                <c:pt idx="140">
                  <c:v>1.1088323553584738</c:v>
                </c:pt>
                <c:pt idx="141">
                  <c:v>1.1166688965767693</c:v>
                </c:pt>
                <c:pt idx="142">
                  <c:v>1.1098644851774688</c:v>
                </c:pt>
                <c:pt idx="143">
                  <c:v>1.0986639652898562</c:v>
                </c:pt>
                <c:pt idx="144">
                  <c:v>1.0926814350427185</c:v>
                </c:pt>
                <c:pt idx="145">
                  <c:v>1.0739119631491427</c:v>
                </c:pt>
                <c:pt idx="146">
                  <c:v>1.0736252604216441</c:v>
                </c:pt>
                <c:pt idx="147">
                  <c:v>1.0778875743037901</c:v>
                </c:pt>
                <c:pt idx="148">
                  <c:v>1.0743706875131405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E0-4DDF-A7AF-39DB53C5F638}"/>
            </c:ext>
          </c:extLst>
        </c:ser>
        <c:ser>
          <c:idx val="2"/>
          <c:order val="2"/>
          <c:tx>
            <c:strRef>
              <c:f>'S&amp;P500 and STOXX PERFOMRMANCE'!$P$1</c:f>
              <c:strCache>
                <c:ptCount val="1"/>
                <c:pt idx="0">
                  <c:v>L/S Fund</c:v>
                </c:pt>
              </c:strCache>
            </c:strRef>
          </c:tx>
          <c:spPr>
            <a:ln w="1905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'S&amp;P500 and STOXX PERFOMRMANCE'!$M$2:$M$150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'S&amp;P500 and STOXX PERFOMRMANCE'!$P$2:$P$150</c:f>
              <c:numCache>
                <c:formatCode>General</c:formatCode>
                <c:ptCount val="149"/>
                <c:pt idx="0">
                  <c:v>1</c:v>
                </c:pt>
                <c:pt idx="1">
                  <c:v>0.99788386596624978</c:v>
                </c:pt>
                <c:pt idx="2">
                  <c:v>0.9826644045284233</c:v>
                </c:pt>
                <c:pt idx="3">
                  <c:v>0.98118698826264183</c:v>
                </c:pt>
                <c:pt idx="4">
                  <c:v>0.9918788569264918</c:v>
                </c:pt>
                <c:pt idx="5">
                  <c:v>0.99607989222916982</c:v>
                </c:pt>
                <c:pt idx="6">
                  <c:v>0.99383103118717353</c:v>
                </c:pt>
                <c:pt idx="7">
                  <c:v>0.99022201802807186</c:v>
                </c:pt>
                <c:pt idx="8">
                  <c:v>0.99283465338276533</c:v>
                </c:pt>
                <c:pt idx="9">
                  <c:v>1.004264183709102</c:v>
                </c:pt>
                <c:pt idx="10">
                  <c:v>0.99742439022902585</c:v>
                </c:pt>
                <c:pt idx="11">
                  <c:v>1.0043448627517775</c:v>
                </c:pt>
                <c:pt idx="12">
                  <c:v>1.0106639563133295</c:v>
                </c:pt>
                <c:pt idx="13">
                  <c:v>1.0090737752553822</c:v>
                </c:pt>
                <c:pt idx="14">
                  <c:v>1.0100547096555859</c:v>
                </c:pt>
                <c:pt idx="15">
                  <c:v>1.017002809288942</c:v>
                </c:pt>
                <c:pt idx="16">
                  <c:v>1.0093913768374452</c:v>
                </c:pt>
                <c:pt idx="17">
                  <c:v>1.0114347958630143</c:v>
                </c:pt>
                <c:pt idx="18">
                  <c:v>1.0197990106738377</c:v>
                </c:pt>
                <c:pt idx="19">
                  <c:v>1.021808279286275</c:v>
                </c:pt>
                <c:pt idx="20">
                  <c:v>1.0335822218443547</c:v>
                </c:pt>
                <c:pt idx="21">
                  <c:v>1.0383825189005067</c:v>
                </c:pt>
                <c:pt idx="22">
                  <c:v>1.0333234667012452</c:v>
                </c:pt>
                <c:pt idx="23">
                  <c:v>1.0335631846596627</c:v>
                </c:pt>
                <c:pt idx="24">
                  <c:v>1.0458770568186775</c:v>
                </c:pt>
                <c:pt idx="25">
                  <c:v>1.0477314779674098</c:v>
                </c:pt>
                <c:pt idx="26">
                  <c:v>1.0379179407592698</c:v>
                </c:pt>
                <c:pt idx="27">
                  <c:v>1.0496460169567663</c:v>
                </c:pt>
                <c:pt idx="28">
                  <c:v>1.0529729627322788</c:v>
                </c:pt>
                <c:pt idx="29">
                  <c:v>1.048953781055334</c:v>
                </c:pt>
                <c:pt idx="30">
                  <c:v>1.0297791501053362</c:v>
                </c:pt>
                <c:pt idx="31">
                  <c:v>1.0343832402902635</c:v>
                </c:pt>
                <c:pt idx="32">
                  <c:v>1.0370969849702039</c:v>
                </c:pt>
                <c:pt idx="33">
                  <c:v>1.0385286376736331</c:v>
                </c:pt>
                <c:pt idx="34">
                  <c:v>1.0494637477104549</c:v>
                </c:pt>
                <c:pt idx="35">
                  <c:v>1.0444562080090145</c:v>
                </c:pt>
                <c:pt idx="36">
                  <c:v>1.0512980307204283</c:v>
                </c:pt>
                <c:pt idx="37">
                  <c:v>1.0460842300332067</c:v>
                </c:pt>
                <c:pt idx="38">
                  <c:v>1.0533586660279077</c:v>
                </c:pt>
                <c:pt idx="39">
                  <c:v>1.042317138399091</c:v>
                </c:pt>
                <c:pt idx="40">
                  <c:v>1.0545768989169402</c:v>
                </c:pt>
                <c:pt idx="41">
                  <c:v>1.064414398528335</c:v>
                </c:pt>
                <c:pt idx="42">
                  <c:v>1.0781776087389299</c:v>
                </c:pt>
                <c:pt idx="43">
                  <c:v>1.0800267897420575</c:v>
                </c:pt>
                <c:pt idx="44">
                  <c:v>1.094583989825892</c:v>
                </c:pt>
                <c:pt idx="45">
                  <c:v>1.0658502273274044</c:v>
                </c:pt>
                <c:pt idx="46">
                  <c:v>1.0726144188661297</c:v>
                </c:pt>
                <c:pt idx="47">
                  <c:v>1.0801060543234036</c:v>
                </c:pt>
                <c:pt idx="48">
                  <c:v>1.0795117500810802</c:v>
                </c:pt>
                <c:pt idx="49">
                  <c:v>1.0912311102788932</c:v>
                </c:pt>
                <c:pt idx="50">
                  <c:v>1.0883109115300456</c:v>
                </c:pt>
                <c:pt idx="51">
                  <c:v>1.0925397821710607</c:v>
                </c:pt>
                <c:pt idx="52">
                  <c:v>1.086340402394868</c:v>
                </c:pt>
                <c:pt idx="53">
                  <c:v>1.0887278214888338</c:v>
                </c:pt>
                <c:pt idx="54">
                  <c:v>1.1031898212635673</c:v>
                </c:pt>
                <c:pt idx="55">
                  <c:v>1.104143377538904</c:v>
                </c:pt>
                <c:pt idx="56">
                  <c:v>1.1036038833721722</c:v>
                </c:pt>
                <c:pt idx="57">
                  <c:v>1.114557109465363</c:v>
                </c:pt>
                <c:pt idx="58">
                  <c:v>1.1178500619961969</c:v>
                </c:pt>
                <c:pt idx="59">
                  <c:v>1.113369756133995</c:v>
                </c:pt>
                <c:pt idx="60">
                  <c:v>1.1088914891335122</c:v>
                </c:pt>
                <c:pt idx="61">
                  <c:v>1.1165126367055136</c:v>
                </c:pt>
                <c:pt idx="62">
                  <c:v>1.1255343093519998</c:v>
                </c:pt>
                <c:pt idx="63">
                  <c:v>1.1297235965325305</c:v>
                </c:pt>
                <c:pt idx="64">
                  <c:v>1.1335428277224167</c:v>
                </c:pt>
                <c:pt idx="65">
                  <c:v>1.1448186922896917</c:v>
                </c:pt>
                <c:pt idx="66">
                  <c:v>1.1557305926427872</c:v>
                </c:pt>
                <c:pt idx="67">
                  <c:v>1.152030994041962</c:v>
                </c:pt>
                <c:pt idx="68">
                  <c:v>1.148991818736987</c:v>
                </c:pt>
                <c:pt idx="69">
                  <c:v>1.143205327636879</c:v>
                </c:pt>
                <c:pt idx="70">
                  <c:v>1.1371469358048858</c:v>
                </c:pt>
                <c:pt idx="71">
                  <c:v>1.1444730094935465</c:v>
                </c:pt>
                <c:pt idx="72">
                  <c:v>1.1457390867440567</c:v>
                </c:pt>
                <c:pt idx="73">
                  <c:v>1.1424374708569685</c:v>
                </c:pt>
                <c:pt idx="74">
                  <c:v>1.1631212147994205</c:v>
                </c:pt>
                <c:pt idx="75">
                  <c:v>1.1734838705176813</c:v>
                </c:pt>
                <c:pt idx="76">
                  <c:v>1.1622811629603484</c:v>
                </c:pt>
                <c:pt idx="77">
                  <c:v>1.1707898040032008</c:v>
                </c:pt>
                <c:pt idx="78">
                  <c:v>1.1684210852403156</c:v>
                </c:pt>
                <c:pt idx="79">
                  <c:v>1.1771976012125787</c:v>
                </c:pt>
                <c:pt idx="80">
                  <c:v>1.1640630139934169</c:v>
                </c:pt>
                <c:pt idx="81">
                  <c:v>1.1552917574917136</c:v>
                </c:pt>
                <c:pt idx="82">
                  <c:v>1.1626725710177721</c:v>
                </c:pt>
                <c:pt idx="83">
                  <c:v>1.1565764627088324</c:v>
                </c:pt>
                <c:pt idx="84">
                  <c:v>1.1601045125714526</c:v>
                </c:pt>
                <c:pt idx="85">
                  <c:v>1.1727379777303188</c:v>
                </c:pt>
                <c:pt idx="86">
                  <c:v>1.1616207716462719</c:v>
                </c:pt>
                <c:pt idx="87">
                  <c:v>1.164603500088971</c:v>
                </c:pt>
                <c:pt idx="88">
                  <c:v>1.1657744024739611</c:v>
                </c:pt>
                <c:pt idx="89">
                  <c:v>1.171701396286069</c:v>
                </c:pt>
                <c:pt idx="90">
                  <c:v>1.1681163263285812</c:v>
                </c:pt>
                <c:pt idx="91">
                  <c:v>1.1693314039012277</c:v>
                </c:pt>
                <c:pt idx="92">
                  <c:v>1.1701453637036126</c:v>
                </c:pt>
                <c:pt idx="93">
                  <c:v>1.1599885637262839</c:v>
                </c:pt>
                <c:pt idx="94">
                  <c:v>1.1636531146614904</c:v>
                </c:pt>
                <c:pt idx="95">
                  <c:v>1.170827660761151</c:v>
                </c:pt>
                <c:pt idx="96">
                  <c:v>1.2011363940627398</c:v>
                </c:pt>
                <c:pt idx="97">
                  <c:v>1.2031763321273561</c:v>
                </c:pt>
                <c:pt idx="98">
                  <c:v>1.2095577432796758</c:v>
                </c:pt>
                <c:pt idx="99">
                  <c:v>1.2150529424827838</c:v>
                </c:pt>
                <c:pt idx="100">
                  <c:v>1.2016557274466273</c:v>
                </c:pt>
                <c:pt idx="101">
                  <c:v>1.1900241015059276</c:v>
                </c:pt>
                <c:pt idx="102">
                  <c:v>1.1891542855753545</c:v>
                </c:pt>
                <c:pt idx="103">
                  <c:v>1.197067487640074</c:v>
                </c:pt>
                <c:pt idx="104">
                  <c:v>1.1976570767732653</c:v>
                </c:pt>
                <c:pt idx="105">
                  <c:v>1.1986686053725015</c:v>
                </c:pt>
                <c:pt idx="106">
                  <c:v>1.2092418186213367</c:v>
                </c:pt>
                <c:pt idx="107">
                  <c:v>1.2060944513157608</c:v>
                </c:pt>
                <c:pt idx="108">
                  <c:v>1.2152309984281873</c:v>
                </c:pt>
                <c:pt idx="109">
                  <c:v>1.2059696679118412</c:v>
                </c:pt>
                <c:pt idx="110">
                  <c:v>1.2083433230080454</c:v>
                </c:pt>
                <c:pt idx="111">
                  <c:v>1.214353156028571</c:v>
                </c:pt>
                <c:pt idx="112">
                  <c:v>1.2169672330673862</c:v>
                </c:pt>
                <c:pt idx="113">
                  <c:v>1.2129223554733461</c:v>
                </c:pt>
                <c:pt idx="114">
                  <c:v>1.2182004824813584</c:v>
                </c:pt>
                <c:pt idx="115">
                  <c:v>1.212034023641664</c:v>
                </c:pt>
                <c:pt idx="116">
                  <c:v>1.2189372030457846</c:v>
                </c:pt>
                <c:pt idx="117">
                  <c:v>1.2225317451441637</c:v>
                </c:pt>
                <c:pt idx="118">
                  <c:v>1.2143898836005791</c:v>
                </c:pt>
                <c:pt idx="119">
                  <c:v>1.2151235611886169</c:v>
                </c:pt>
                <c:pt idx="120">
                  <c:v>1.2178052088568434</c:v>
                </c:pt>
                <c:pt idx="121">
                  <c:v>1.2093668723648616</c:v>
                </c:pt>
                <c:pt idx="122">
                  <c:v>1.1988524727126599</c:v>
                </c:pt>
                <c:pt idx="123">
                  <c:v>1.1776102001015509</c:v>
                </c:pt>
                <c:pt idx="124">
                  <c:v>1.1965560630315906</c:v>
                </c:pt>
                <c:pt idx="125">
                  <c:v>1.1892051948010853</c:v>
                </c:pt>
                <c:pt idx="126">
                  <c:v>1.1762231797959759</c:v>
                </c:pt>
                <c:pt idx="127">
                  <c:v>1.1687652887822815</c:v>
                </c:pt>
                <c:pt idx="128">
                  <c:v>1.172543133089673</c:v>
                </c:pt>
                <c:pt idx="129">
                  <c:v>1.1820542128829798</c:v>
                </c:pt>
                <c:pt idx="130">
                  <c:v>1.1787661064433979</c:v>
                </c:pt>
                <c:pt idx="131">
                  <c:v>1.1941530814579482</c:v>
                </c:pt>
                <c:pt idx="132">
                  <c:v>1.2027460211917782</c:v>
                </c:pt>
                <c:pt idx="133">
                  <c:v>1.2171877066856496</c:v>
                </c:pt>
                <c:pt idx="134">
                  <c:v>1.2302417702412078</c:v>
                </c:pt>
                <c:pt idx="135">
                  <c:v>1.209189401861259</c:v>
                </c:pt>
                <c:pt idx="136">
                  <c:v>1.201541311753124</c:v>
                </c:pt>
                <c:pt idx="137">
                  <c:v>1.2089774535328499</c:v>
                </c:pt>
                <c:pt idx="138">
                  <c:v>1.2113870375271625</c:v>
                </c:pt>
                <c:pt idx="139">
                  <c:v>1.2260109506998436</c:v>
                </c:pt>
                <c:pt idx="140">
                  <c:v>1.2245067044887066</c:v>
                </c:pt>
                <c:pt idx="141">
                  <c:v>1.225636632865901</c:v>
                </c:pt>
                <c:pt idx="142">
                  <c:v>1.2090697491997999</c:v>
                </c:pt>
                <c:pt idx="143">
                  <c:v>1.220080611480471</c:v>
                </c:pt>
                <c:pt idx="144">
                  <c:v>1.2210829961346137</c:v>
                </c:pt>
                <c:pt idx="145">
                  <c:v>1.2171876305177147</c:v>
                </c:pt>
                <c:pt idx="146">
                  <c:v>1.2277489068064049</c:v>
                </c:pt>
                <c:pt idx="147">
                  <c:v>1.2158425355356564</c:v>
                </c:pt>
                <c:pt idx="148">
                  <c:v>1.1942726804327675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5E0-4DDF-A7AF-39DB53C5F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586959"/>
        <c:axId val="1420586479"/>
      </c:lineChart>
      <c:dateAx>
        <c:axId val="1420586959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86479"/>
        <c:crosses val="autoZero"/>
        <c:auto val="1"/>
        <c:lblOffset val="100"/>
        <c:baseTimeUnit val="days"/>
      </c:dateAx>
      <c:valAx>
        <c:axId val="1420586479"/>
        <c:scaling>
          <c:orientation val="minMax"/>
          <c:max val="1.25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586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'Worst Performer'!$B$1</c:f>
              <c:strCache>
                <c:ptCount val="1"/>
                <c:pt idx="0">
                  <c:v>EL.N</c:v>
                </c:pt>
              </c:strCache>
            </c:strRef>
          </c:tx>
          <c:spPr>
            <a:ln w="28575" cap="rnd">
              <a:solidFill>
                <a:srgbClr val="20376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'Worst Performer'!$A$2:$A$147</c:f>
              <c:numCache>
                <c:formatCode>m/d/yy</c:formatCode>
                <c:ptCount val="146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45828</c:v>
                </c:pt>
                <c:pt idx="38">
                  <c:v>45831</c:v>
                </c:pt>
                <c:pt idx="39">
                  <c:v>45832</c:v>
                </c:pt>
                <c:pt idx="40">
                  <c:v>45833</c:v>
                </c:pt>
                <c:pt idx="41">
                  <c:v>45834</c:v>
                </c:pt>
                <c:pt idx="42">
                  <c:v>45835</c:v>
                </c:pt>
                <c:pt idx="43">
                  <c:v>45838</c:v>
                </c:pt>
                <c:pt idx="44">
                  <c:v>45839</c:v>
                </c:pt>
                <c:pt idx="45">
                  <c:v>45840</c:v>
                </c:pt>
                <c:pt idx="46">
                  <c:v>45841</c:v>
                </c:pt>
                <c:pt idx="47">
                  <c:v>45845</c:v>
                </c:pt>
                <c:pt idx="48">
                  <c:v>45846</c:v>
                </c:pt>
                <c:pt idx="49">
                  <c:v>45847</c:v>
                </c:pt>
                <c:pt idx="50">
                  <c:v>45848</c:v>
                </c:pt>
                <c:pt idx="51">
                  <c:v>45849</c:v>
                </c:pt>
                <c:pt idx="52">
                  <c:v>45852</c:v>
                </c:pt>
                <c:pt idx="53">
                  <c:v>45853</c:v>
                </c:pt>
                <c:pt idx="54">
                  <c:v>45854</c:v>
                </c:pt>
                <c:pt idx="55">
                  <c:v>45855</c:v>
                </c:pt>
                <c:pt idx="56">
                  <c:v>45856</c:v>
                </c:pt>
                <c:pt idx="57">
                  <c:v>45859</c:v>
                </c:pt>
                <c:pt idx="58">
                  <c:v>45860</c:v>
                </c:pt>
                <c:pt idx="59">
                  <c:v>45861</c:v>
                </c:pt>
                <c:pt idx="60">
                  <c:v>45862</c:v>
                </c:pt>
                <c:pt idx="61">
                  <c:v>45863</c:v>
                </c:pt>
                <c:pt idx="62">
                  <c:v>45866</c:v>
                </c:pt>
                <c:pt idx="63">
                  <c:v>45867</c:v>
                </c:pt>
                <c:pt idx="64">
                  <c:v>45868</c:v>
                </c:pt>
                <c:pt idx="65">
                  <c:v>45869</c:v>
                </c:pt>
                <c:pt idx="66">
                  <c:v>45870</c:v>
                </c:pt>
                <c:pt idx="67">
                  <c:v>45873</c:v>
                </c:pt>
                <c:pt idx="68">
                  <c:v>45874</c:v>
                </c:pt>
                <c:pt idx="69">
                  <c:v>45875</c:v>
                </c:pt>
                <c:pt idx="70">
                  <c:v>45876</c:v>
                </c:pt>
                <c:pt idx="71">
                  <c:v>45877</c:v>
                </c:pt>
                <c:pt idx="72">
                  <c:v>45880</c:v>
                </c:pt>
                <c:pt idx="73">
                  <c:v>45881</c:v>
                </c:pt>
                <c:pt idx="74">
                  <c:v>45882</c:v>
                </c:pt>
                <c:pt idx="75">
                  <c:v>45883</c:v>
                </c:pt>
                <c:pt idx="76">
                  <c:v>45884</c:v>
                </c:pt>
                <c:pt idx="77">
                  <c:v>45887</c:v>
                </c:pt>
                <c:pt idx="78">
                  <c:v>45888</c:v>
                </c:pt>
                <c:pt idx="79">
                  <c:v>45889</c:v>
                </c:pt>
                <c:pt idx="80">
                  <c:v>45890</c:v>
                </c:pt>
                <c:pt idx="81">
                  <c:v>45891</c:v>
                </c:pt>
                <c:pt idx="82">
                  <c:v>45894</c:v>
                </c:pt>
                <c:pt idx="83">
                  <c:v>45895</c:v>
                </c:pt>
                <c:pt idx="84">
                  <c:v>45896</c:v>
                </c:pt>
                <c:pt idx="85">
                  <c:v>45897</c:v>
                </c:pt>
                <c:pt idx="86">
                  <c:v>45898</c:v>
                </c:pt>
                <c:pt idx="87">
                  <c:v>45902</c:v>
                </c:pt>
                <c:pt idx="88">
                  <c:v>45903</c:v>
                </c:pt>
                <c:pt idx="89">
                  <c:v>45904</c:v>
                </c:pt>
                <c:pt idx="90">
                  <c:v>45905</c:v>
                </c:pt>
                <c:pt idx="91">
                  <c:v>45908</c:v>
                </c:pt>
                <c:pt idx="92">
                  <c:v>45909</c:v>
                </c:pt>
                <c:pt idx="93">
                  <c:v>45910</c:v>
                </c:pt>
                <c:pt idx="94">
                  <c:v>45911</c:v>
                </c:pt>
                <c:pt idx="95">
                  <c:v>45912</c:v>
                </c:pt>
                <c:pt idx="96">
                  <c:v>45915</c:v>
                </c:pt>
                <c:pt idx="97">
                  <c:v>45916</c:v>
                </c:pt>
                <c:pt idx="98">
                  <c:v>45917</c:v>
                </c:pt>
                <c:pt idx="99">
                  <c:v>45918</c:v>
                </c:pt>
                <c:pt idx="100">
                  <c:v>45919</c:v>
                </c:pt>
                <c:pt idx="101">
                  <c:v>45922</c:v>
                </c:pt>
                <c:pt idx="102">
                  <c:v>45923</c:v>
                </c:pt>
                <c:pt idx="103">
                  <c:v>45924</c:v>
                </c:pt>
                <c:pt idx="104">
                  <c:v>45925</c:v>
                </c:pt>
                <c:pt idx="105">
                  <c:v>45926</c:v>
                </c:pt>
                <c:pt idx="106">
                  <c:v>45929</c:v>
                </c:pt>
                <c:pt idx="107">
                  <c:v>45930</c:v>
                </c:pt>
                <c:pt idx="108">
                  <c:v>45931</c:v>
                </c:pt>
                <c:pt idx="109">
                  <c:v>45932</c:v>
                </c:pt>
                <c:pt idx="110">
                  <c:v>45933</c:v>
                </c:pt>
                <c:pt idx="111">
                  <c:v>45936</c:v>
                </c:pt>
                <c:pt idx="112">
                  <c:v>45937</c:v>
                </c:pt>
                <c:pt idx="113">
                  <c:v>45938</c:v>
                </c:pt>
                <c:pt idx="114">
                  <c:v>45939</c:v>
                </c:pt>
                <c:pt idx="115">
                  <c:v>45940</c:v>
                </c:pt>
                <c:pt idx="116">
                  <c:v>45943</c:v>
                </c:pt>
                <c:pt idx="117">
                  <c:v>45944</c:v>
                </c:pt>
                <c:pt idx="118">
                  <c:v>45945</c:v>
                </c:pt>
                <c:pt idx="119">
                  <c:v>45946</c:v>
                </c:pt>
                <c:pt idx="120">
                  <c:v>45947</c:v>
                </c:pt>
                <c:pt idx="121">
                  <c:v>45950</c:v>
                </c:pt>
                <c:pt idx="122">
                  <c:v>45951</c:v>
                </c:pt>
                <c:pt idx="123">
                  <c:v>45952</c:v>
                </c:pt>
                <c:pt idx="124">
                  <c:v>45953</c:v>
                </c:pt>
                <c:pt idx="125">
                  <c:v>45954</c:v>
                </c:pt>
                <c:pt idx="126">
                  <c:v>45957</c:v>
                </c:pt>
                <c:pt idx="127">
                  <c:v>45958</c:v>
                </c:pt>
                <c:pt idx="128">
                  <c:v>45959</c:v>
                </c:pt>
                <c:pt idx="129">
                  <c:v>45960</c:v>
                </c:pt>
                <c:pt idx="130">
                  <c:v>45961</c:v>
                </c:pt>
                <c:pt idx="131">
                  <c:v>45964</c:v>
                </c:pt>
                <c:pt idx="132">
                  <c:v>45965</c:v>
                </c:pt>
                <c:pt idx="133">
                  <c:v>45966</c:v>
                </c:pt>
                <c:pt idx="134">
                  <c:v>45967</c:v>
                </c:pt>
                <c:pt idx="135">
                  <c:v>45968</c:v>
                </c:pt>
                <c:pt idx="136">
                  <c:v>45971</c:v>
                </c:pt>
                <c:pt idx="137">
                  <c:v>45972</c:v>
                </c:pt>
                <c:pt idx="138">
                  <c:v>45973</c:v>
                </c:pt>
                <c:pt idx="139">
                  <c:v>45974</c:v>
                </c:pt>
                <c:pt idx="140">
                  <c:v>45975</c:v>
                </c:pt>
                <c:pt idx="141">
                  <c:v>45978</c:v>
                </c:pt>
                <c:pt idx="142">
                  <c:v>45979</c:v>
                </c:pt>
                <c:pt idx="143">
                  <c:v>45980</c:v>
                </c:pt>
                <c:pt idx="144">
                  <c:v>45981</c:v>
                </c:pt>
                <c:pt idx="145">
                  <c:v>45982</c:v>
                </c:pt>
              </c:numCache>
            </c:numRef>
          </c:cat>
          <c:val>
            <c:numRef>
              <c:f>'Worst Performer'!$B$2:$B$147</c:f>
              <c:numCache>
                <c:formatCode>General</c:formatCode>
                <c:ptCount val="146"/>
                <c:pt idx="0">
                  <c:v>51.781801199999997</c:v>
                </c:pt>
                <c:pt idx="1">
                  <c:v>52.3408765</c:v>
                </c:pt>
                <c:pt idx="2">
                  <c:v>52.935685999999997</c:v>
                </c:pt>
                <c:pt idx="3">
                  <c:v>52.156517399999998</c:v>
                </c:pt>
                <c:pt idx="4">
                  <c:v>52.5809365</c:v>
                </c:pt>
                <c:pt idx="5">
                  <c:v>50.998722000000001</c:v>
                </c:pt>
                <c:pt idx="6">
                  <c:v>51.486499799999997</c:v>
                </c:pt>
                <c:pt idx="7">
                  <c:v>52.446877800000003</c:v>
                </c:pt>
                <c:pt idx="8">
                  <c:v>54.547080399999999</c:v>
                </c:pt>
                <c:pt idx="9">
                  <c:v>54.228038699999999</c:v>
                </c:pt>
                <c:pt idx="10">
                  <c:v>58.952105600000003</c:v>
                </c:pt>
                <c:pt idx="11">
                  <c:v>58.547632399999998</c:v>
                </c:pt>
                <c:pt idx="12">
                  <c:v>57.373962300000002</c:v>
                </c:pt>
                <c:pt idx="13">
                  <c:v>56.913976300000002</c:v>
                </c:pt>
                <c:pt idx="14">
                  <c:v>58.380589399999998</c:v>
                </c:pt>
                <c:pt idx="15">
                  <c:v>58.130132000000003</c:v>
                </c:pt>
                <c:pt idx="16">
                  <c:v>58.571329599999999</c:v>
                </c:pt>
                <c:pt idx="17">
                  <c:v>56.192045399999998</c:v>
                </c:pt>
                <c:pt idx="18">
                  <c:v>57.109618400000002</c:v>
                </c:pt>
                <c:pt idx="19">
                  <c:v>56.0452893</c:v>
                </c:pt>
                <c:pt idx="20">
                  <c:v>59.198556199999999</c:v>
                </c:pt>
                <c:pt idx="21">
                  <c:v>58.687386600000004</c:v>
                </c:pt>
                <c:pt idx="22">
                  <c:v>60.390458099999996</c:v>
                </c:pt>
                <c:pt idx="23">
                  <c:v>58.993552600000001</c:v>
                </c:pt>
                <c:pt idx="24">
                  <c:v>58.255432499999998</c:v>
                </c:pt>
                <c:pt idx="25">
                  <c:v>60.624624300000001</c:v>
                </c:pt>
                <c:pt idx="26">
                  <c:v>60.287508699999997</c:v>
                </c:pt>
                <c:pt idx="27">
                  <c:v>58.939158999999997</c:v>
                </c:pt>
                <c:pt idx="28">
                  <c:v>60.083919000000002</c:v>
                </c:pt>
                <c:pt idx="29">
                  <c:v>60.420540000000003</c:v>
                </c:pt>
                <c:pt idx="30">
                  <c:v>61.682797800000003</c:v>
                </c:pt>
                <c:pt idx="31">
                  <c:v>60.816623</c:v>
                </c:pt>
                <c:pt idx="32">
                  <c:v>60.424466700000004</c:v>
                </c:pt>
                <c:pt idx="33">
                  <c:v>58.266901500000003</c:v>
                </c:pt>
                <c:pt idx="34">
                  <c:v>64.518858199999997</c:v>
                </c:pt>
                <c:pt idx="35">
                  <c:v>65.154056400000002</c:v>
                </c:pt>
                <c:pt idx="36">
                  <c:v>65.093075200000001</c:v>
                </c:pt>
                <c:pt idx="37">
                  <c:v>65.257401000000002</c:v>
                </c:pt>
                <c:pt idx="38">
                  <c:v>68.098083799999998</c:v>
                </c:pt>
                <c:pt idx="39">
                  <c:v>66.376263499999993</c:v>
                </c:pt>
                <c:pt idx="40">
                  <c:v>66.523987599999998</c:v>
                </c:pt>
                <c:pt idx="41">
                  <c:v>67.5524731</c:v>
                </c:pt>
                <c:pt idx="42">
                  <c:v>68.342398799999998</c:v>
                </c:pt>
                <c:pt idx="43">
                  <c:v>68.555567999999994</c:v>
                </c:pt>
                <c:pt idx="44">
                  <c:v>72.096681000000004</c:v>
                </c:pt>
                <c:pt idx="45">
                  <c:v>75.080408000000006</c:v>
                </c:pt>
                <c:pt idx="46">
                  <c:v>75.467893599999996</c:v>
                </c:pt>
                <c:pt idx="47">
                  <c:v>73.280960100000001</c:v>
                </c:pt>
                <c:pt idx="48">
                  <c:v>72.978402000000003</c:v>
                </c:pt>
                <c:pt idx="49">
                  <c:v>73.906045199999994</c:v>
                </c:pt>
                <c:pt idx="50">
                  <c:v>78.717870000000005</c:v>
                </c:pt>
                <c:pt idx="51">
                  <c:v>77.919850800000006</c:v>
                </c:pt>
                <c:pt idx="52">
                  <c:v>76.815361899999999</c:v>
                </c:pt>
                <c:pt idx="53">
                  <c:v>74.230254000000002</c:v>
                </c:pt>
                <c:pt idx="54">
                  <c:v>74.265119999999996</c:v>
                </c:pt>
                <c:pt idx="55">
                  <c:v>74.652806400000003</c:v>
                </c:pt>
                <c:pt idx="56">
                  <c:v>75.019786199999999</c:v>
                </c:pt>
                <c:pt idx="57">
                  <c:v>73.570222799999996</c:v>
                </c:pt>
                <c:pt idx="58">
                  <c:v>75.725650000000002</c:v>
                </c:pt>
                <c:pt idx="59">
                  <c:v>76.193921599999996</c:v>
                </c:pt>
                <c:pt idx="60">
                  <c:v>73.821312899999995</c:v>
                </c:pt>
                <c:pt idx="61">
                  <c:v>77.001816000000005</c:v>
                </c:pt>
                <c:pt idx="62">
                  <c:v>79.841059200000004</c:v>
                </c:pt>
                <c:pt idx="63">
                  <c:v>79.168852000000001</c:v>
                </c:pt>
                <c:pt idx="64">
                  <c:v>82.129517399999997</c:v>
                </c:pt>
                <c:pt idx="65">
                  <c:v>81.769573600000001</c:v>
                </c:pt>
                <c:pt idx="66">
                  <c:v>78.591190400000002</c:v>
                </c:pt>
                <c:pt idx="67">
                  <c:v>79.947749999999999</c:v>
                </c:pt>
                <c:pt idx="68">
                  <c:v>78.555789200000007</c:v>
                </c:pt>
                <c:pt idx="69">
                  <c:v>77.322556500000005</c:v>
                </c:pt>
                <c:pt idx="70">
                  <c:v>78.200169399999993</c:v>
                </c:pt>
                <c:pt idx="71">
                  <c:v>77.919034199999999</c:v>
                </c:pt>
                <c:pt idx="72">
                  <c:v>76.752214199999997</c:v>
                </c:pt>
                <c:pt idx="73">
                  <c:v>78.557556000000005</c:v>
                </c:pt>
                <c:pt idx="74">
                  <c:v>81.391096599999997</c:v>
                </c:pt>
                <c:pt idx="75">
                  <c:v>76.850070000000002</c:v>
                </c:pt>
                <c:pt idx="76">
                  <c:v>77.772072399999999</c:v>
                </c:pt>
                <c:pt idx="77">
                  <c:v>77.821346199999994</c:v>
                </c:pt>
                <c:pt idx="78">
                  <c:v>77.167774199999997</c:v>
                </c:pt>
                <c:pt idx="79">
                  <c:v>74.303031000000004</c:v>
                </c:pt>
                <c:pt idx="80">
                  <c:v>75.588324</c:v>
                </c:pt>
                <c:pt idx="81">
                  <c:v>77.874840300000002</c:v>
                </c:pt>
                <c:pt idx="82">
                  <c:v>76.329536399999995</c:v>
                </c:pt>
                <c:pt idx="83">
                  <c:v>77.151787200000001</c:v>
                </c:pt>
                <c:pt idx="84">
                  <c:v>79.582551300000006</c:v>
                </c:pt>
                <c:pt idx="85">
                  <c:v>78.556955400000007</c:v>
                </c:pt>
                <c:pt idx="86">
                  <c:v>78.508955099999994</c:v>
                </c:pt>
                <c:pt idx="87">
                  <c:v>78.011307500000001</c:v>
                </c:pt>
                <c:pt idx="88">
                  <c:v>78.835490800000002</c:v>
                </c:pt>
                <c:pt idx="89">
                  <c:v>75.079162400000001</c:v>
                </c:pt>
                <c:pt idx="90">
                  <c:v>76.128631999999996</c:v>
                </c:pt>
                <c:pt idx="91">
                  <c:v>75.540270000000007</c:v>
                </c:pt>
                <c:pt idx="92">
                  <c:v>75.772862000000003</c:v>
                </c:pt>
                <c:pt idx="93">
                  <c:v>74.7710103</c:v>
                </c:pt>
                <c:pt idx="94">
                  <c:v>73.988163</c:v>
                </c:pt>
                <c:pt idx="95">
                  <c:v>71.294894999999997</c:v>
                </c:pt>
                <c:pt idx="96">
                  <c:v>74.319716</c:v>
                </c:pt>
                <c:pt idx="97">
                  <c:v>74.599344799999997</c:v>
                </c:pt>
                <c:pt idx="98">
                  <c:v>74.644722000000002</c:v>
                </c:pt>
                <c:pt idx="99">
                  <c:v>74.664479999999998</c:v>
                </c:pt>
                <c:pt idx="100">
                  <c:v>74.761700000000005</c:v>
                </c:pt>
                <c:pt idx="101">
                  <c:v>73.944743700000004</c:v>
                </c:pt>
                <c:pt idx="102">
                  <c:v>74.2444536</c:v>
                </c:pt>
                <c:pt idx="103">
                  <c:v>72.702013300000004</c:v>
                </c:pt>
                <c:pt idx="104">
                  <c:v>72.002107300000006</c:v>
                </c:pt>
                <c:pt idx="105">
                  <c:v>74.062235799999996</c:v>
                </c:pt>
                <c:pt idx="106">
                  <c:v>76.017194399999994</c:v>
                </c:pt>
                <c:pt idx="107">
                  <c:v>75.104675999999998</c:v>
                </c:pt>
                <c:pt idx="108">
                  <c:v>73.493257999999997</c:v>
                </c:pt>
                <c:pt idx="109">
                  <c:v>75.781173600000002</c:v>
                </c:pt>
                <c:pt idx="110">
                  <c:v>74.968394399999994</c:v>
                </c:pt>
                <c:pt idx="111">
                  <c:v>75.719186399999998</c:v>
                </c:pt>
                <c:pt idx="112">
                  <c:v>79.519440000000003</c:v>
                </c:pt>
                <c:pt idx="113">
                  <c:v>82.367006399999994</c:v>
                </c:pt>
                <c:pt idx="114">
                  <c:v>81.268075100000004</c:v>
                </c:pt>
                <c:pt idx="115">
                  <c:v>75.442984499999994</c:v>
                </c:pt>
                <c:pt idx="116">
                  <c:v>80.169093000000004</c:v>
                </c:pt>
                <c:pt idx="117">
                  <c:v>81.861500000000007</c:v>
                </c:pt>
                <c:pt idx="118">
                  <c:v>81.804538199999996</c:v>
                </c:pt>
                <c:pt idx="119">
                  <c:v>82.826920000000001</c:v>
                </c:pt>
                <c:pt idx="120">
                  <c:v>86.499474000000006</c:v>
                </c:pt>
                <c:pt idx="121">
                  <c:v>88.075957200000005</c:v>
                </c:pt>
                <c:pt idx="122">
                  <c:v>84.963158800000002</c:v>
                </c:pt>
                <c:pt idx="123">
                  <c:v>84.952977899999993</c:v>
                </c:pt>
                <c:pt idx="124">
                  <c:v>85.641986900000006</c:v>
                </c:pt>
                <c:pt idx="125">
                  <c:v>87.880075199999993</c:v>
                </c:pt>
                <c:pt idx="126">
                  <c:v>86.284089399999999</c:v>
                </c:pt>
                <c:pt idx="127">
                  <c:v>84.772621200000003</c:v>
                </c:pt>
                <c:pt idx="128">
                  <c:v>83.937950400000005</c:v>
                </c:pt>
                <c:pt idx="129">
                  <c:v>84.401414799999998</c:v>
                </c:pt>
                <c:pt idx="130">
                  <c:v>83.83023</c:v>
                </c:pt>
                <c:pt idx="131">
                  <c:v>80.960582500000001</c:v>
                </c:pt>
                <c:pt idx="132">
                  <c:v>80.891978399999999</c:v>
                </c:pt>
                <c:pt idx="133">
                  <c:v>79.271072500000002</c:v>
                </c:pt>
                <c:pt idx="134">
                  <c:v>76.0201134</c:v>
                </c:pt>
                <c:pt idx="135">
                  <c:v>75.87567</c:v>
                </c:pt>
                <c:pt idx="136">
                  <c:v>77.561320499999994</c:v>
                </c:pt>
                <c:pt idx="137">
                  <c:v>78.445790400000007</c:v>
                </c:pt>
                <c:pt idx="138">
                  <c:v>79.373346600000005</c:v>
                </c:pt>
                <c:pt idx="139">
                  <c:v>77.310518400000007</c:v>
                </c:pt>
                <c:pt idx="140">
                  <c:v>75.886826200000002</c:v>
                </c:pt>
                <c:pt idx="141">
                  <c:v>74.279312899999994</c:v>
                </c:pt>
                <c:pt idx="142">
                  <c:v>76.051257800000002</c:v>
                </c:pt>
                <c:pt idx="143">
                  <c:v>74.471083500000006</c:v>
                </c:pt>
                <c:pt idx="144">
                  <c:v>75.136773300000002</c:v>
                </c:pt>
                <c:pt idx="145">
                  <c:v>78.098827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EA-47BA-B1F6-831B94A031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6805383"/>
        <c:axId val="2096807431"/>
      </c:lineChart>
      <c:dateAx>
        <c:axId val="2096805383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07431"/>
        <c:crosses val="autoZero"/>
        <c:auto val="0"/>
        <c:lblOffset val="100"/>
        <c:baseTimeUnit val="days"/>
        <c:majorUnit val="1"/>
        <c:majorTimeUnit val="months"/>
      </c:dateAx>
      <c:valAx>
        <c:axId val="2096807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05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HISTORICAL!$B$1:$B$2</c:f>
              <c:strCache>
                <c:ptCount val="2"/>
                <c:pt idx="0">
                  <c:v>Performance (EUR)</c:v>
                </c:pt>
                <c:pt idx="1">
                  <c:v>-   € </c:v>
                </c:pt>
              </c:strCache>
            </c:strRef>
          </c:tx>
          <c:spPr>
            <a:ln>
              <a:solidFill>
                <a:srgbClr val="002060"/>
              </a:solidFill>
            </a:ln>
          </c:spPr>
          <c:marker>
            <c:symbol val="none"/>
          </c:marker>
          <c:cat>
            <c:numRef>
              <c:f>HISTORICAL!$A$3:$A$1119</c:f>
              <c:numCache>
                <c:formatCode>m/d/yy</c:formatCode>
                <c:ptCount val="1117"/>
                <c:pt idx="0">
                  <c:v>44522</c:v>
                </c:pt>
                <c:pt idx="1">
                  <c:v>44523</c:v>
                </c:pt>
                <c:pt idx="2">
                  <c:v>44524</c:v>
                </c:pt>
                <c:pt idx="3">
                  <c:v>44525</c:v>
                </c:pt>
                <c:pt idx="4">
                  <c:v>44526</c:v>
                </c:pt>
                <c:pt idx="5">
                  <c:v>44527</c:v>
                </c:pt>
                <c:pt idx="6">
                  <c:v>44528</c:v>
                </c:pt>
                <c:pt idx="7">
                  <c:v>44529</c:v>
                </c:pt>
                <c:pt idx="8">
                  <c:v>44530</c:v>
                </c:pt>
                <c:pt idx="9">
                  <c:v>44531</c:v>
                </c:pt>
                <c:pt idx="10">
                  <c:v>44532</c:v>
                </c:pt>
                <c:pt idx="11">
                  <c:v>44533</c:v>
                </c:pt>
                <c:pt idx="12">
                  <c:v>44534</c:v>
                </c:pt>
                <c:pt idx="13">
                  <c:v>44535</c:v>
                </c:pt>
                <c:pt idx="14">
                  <c:v>44536</c:v>
                </c:pt>
                <c:pt idx="15">
                  <c:v>44537</c:v>
                </c:pt>
                <c:pt idx="16">
                  <c:v>44538</c:v>
                </c:pt>
                <c:pt idx="17">
                  <c:v>44539</c:v>
                </c:pt>
                <c:pt idx="18">
                  <c:v>44540</c:v>
                </c:pt>
                <c:pt idx="19">
                  <c:v>44541</c:v>
                </c:pt>
                <c:pt idx="20">
                  <c:v>44542</c:v>
                </c:pt>
                <c:pt idx="21">
                  <c:v>44543</c:v>
                </c:pt>
                <c:pt idx="22">
                  <c:v>44544</c:v>
                </c:pt>
                <c:pt idx="23">
                  <c:v>44545</c:v>
                </c:pt>
                <c:pt idx="24">
                  <c:v>44546</c:v>
                </c:pt>
                <c:pt idx="25">
                  <c:v>44547</c:v>
                </c:pt>
                <c:pt idx="26">
                  <c:v>44548</c:v>
                </c:pt>
                <c:pt idx="27">
                  <c:v>44549</c:v>
                </c:pt>
                <c:pt idx="28">
                  <c:v>44550</c:v>
                </c:pt>
                <c:pt idx="29">
                  <c:v>44551</c:v>
                </c:pt>
                <c:pt idx="30">
                  <c:v>44552</c:v>
                </c:pt>
                <c:pt idx="31">
                  <c:v>44553</c:v>
                </c:pt>
                <c:pt idx="32">
                  <c:v>44554</c:v>
                </c:pt>
                <c:pt idx="33">
                  <c:v>44555</c:v>
                </c:pt>
                <c:pt idx="34">
                  <c:v>44556</c:v>
                </c:pt>
                <c:pt idx="35">
                  <c:v>44557</c:v>
                </c:pt>
                <c:pt idx="36">
                  <c:v>44558</c:v>
                </c:pt>
                <c:pt idx="37">
                  <c:v>44559</c:v>
                </c:pt>
                <c:pt idx="38">
                  <c:v>44560</c:v>
                </c:pt>
                <c:pt idx="39">
                  <c:v>44561</c:v>
                </c:pt>
                <c:pt idx="40">
                  <c:v>44562</c:v>
                </c:pt>
                <c:pt idx="41">
                  <c:v>44563</c:v>
                </c:pt>
                <c:pt idx="42">
                  <c:v>44564</c:v>
                </c:pt>
                <c:pt idx="43">
                  <c:v>44565</c:v>
                </c:pt>
                <c:pt idx="44">
                  <c:v>44566</c:v>
                </c:pt>
                <c:pt idx="45">
                  <c:v>44567</c:v>
                </c:pt>
                <c:pt idx="46">
                  <c:v>44568</c:v>
                </c:pt>
                <c:pt idx="47">
                  <c:v>44569</c:v>
                </c:pt>
                <c:pt idx="48">
                  <c:v>44570</c:v>
                </c:pt>
                <c:pt idx="49">
                  <c:v>44571</c:v>
                </c:pt>
                <c:pt idx="50">
                  <c:v>44572</c:v>
                </c:pt>
                <c:pt idx="51">
                  <c:v>44573</c:v>
                </c:pt>
                <c:pt idx="52">
                  <c:v>44574</c:v>
                </c:pt>
                <c:pt idx="53">
                  <c:v>44575</c:v>
                </c:pt>
                <c:pt idx="54">
                  <c:v>44576</c:v>
                </c:pt>
                <c:pt idx="55">
                  <c:v>44577</c:v>
                </c:pt>
                <c:pt idx="56">
                  <c:v>44578</c:v>
                </c:pt>
                <c:pt idx="57">
                  <c:v>44579</c:v>
                </c:pt>
                <c:pt idx="58">
                  <c:v>44580</c:v>
                </c:pt>
                <c:pt idx="59">
                  <c:v>44581</c:v>
                </c:pt>
                <c:pt idx="60">
                  <c:v>44582</c:v>
                </c:pt>
                <c:pt idx="61">
                  <c:v>44583</c:v>
                </c:pt>
                <c:pt idx="62">
                  <c:v>44584</c:v>
                </c:pt>
                <c:pt idx="63">
                  <c:v>44585</c:v>
                </c:pt>
                <c:pt idx="64">
                  <c:v>44586</c:v>
                </c:pt>
                <c:pt idx="65">
                  <c:v>44587</c:v>
                </c:pt>
                <c:pt idx="66">
                  <c:v>44588</c:v>
                </c:pt>
                <c:pt idx="67">
                  <c:v>44589</c:v>
                </c:pt>
                <c:pt idx="68">
                  <c:v>44590</c:v>
                </c:pt>
                <c:pt idx="69">
                  <c:v>44591</c:v>
                </c:pt>
                <c:pt idx="70">
                  <c:v>44592</c:v>
                </c:pt>
                <c:pt idx="71">
                  <c:v>44593</c:v>
                </c:pt>
                <c:pt idx="72">
                  <c:v>44594</c:v>
                </c:pt>
                <c:pt idx="73">
                  <c:v>44595</c:v>
                </c:pt>
                <c:pt idx="74">
                  <c:v>44596</c:v>
                </c:pt>
                <c:pt idx="75">
                  <c:v>44597</c:v>
                </c:pt>
                <c:pt idx="76">
                  <c:v>44598</c:v>
                </c:pt>
                <c:pt idx="77">
                  <c:v>44599</c:v>
                </c:pt>
                <c:pt idx="78">
                  <c:v>44600</c:v>
                </c:pt>
                <c:pt idx="79">
                  <c:v>44601</c:v>
                </c:pt>
                <c:pt idx="80">
                  <c:v>44602</c:v>
                </c:pt>
                <c:pt idx="81">
                  <c:v>44603</c:v>
                </c:pt>
                <c:pt idx="82">
                  <c:v>44604</c:v>
                </c:pt>
                <c:pt idx="83">
                  <c:v>44605</c:v>
                </c:pt>
                <c:pt idx="84">
                  <c:v>44606</c:v>
                </c:pt>
                <c:pt idx="85">
                  <c:v>44607</c:v>
                </c:pt>
                <c:pt idx="86">
                  <c:v>44608</c:v>
                </c:pt>
                <c:pt idx="87">
                  <c:v>44609</c:v>
                </c:pt>
                <c:pt idx="88">
                  <c:v>44610</c:v>
                </c:pt>
                <c:pt idx="89">
                  <c:v>44611</c:v>
                </c:pt>
                <c:pt idx="90">
                  <c:v>44612</c:v>
                </c:pt>
                <c:pt idx="91">
                  <c:v>44613</c:v>
                </c:pt>
                <c:pt idx="92">
                  <c:v>44614</c:v>
                </c:pt>
                <c:pt idx="93">
                  <c:v>44615</c:v>
                </c:pt>
                <c:pt idx="94">
                  <c:v>44616</c:v>
                </c:pt>
                <c:pt idx="95">
                  <c:v>44617</c:v>
                </c:pt>
                <c:pt idx="96">
                  <c:v>44618</c:v>
                </c:pt>
                <c:pt idx="97">
                  <c:v>44619</c:v>
                </c:pt>
                <c:pt idx="98">
                  <c:v>44620</c:v>
                </c:pt>
                <c:pt idx="99">
                  <c:v>44621</c:v>
                </c:pt>
                <c:pt idx="100">
                  <c:v>44622</c:v>
                </c:pt>
                <c:pt idx="101">
                  <c:v>44623</c:v>
                </c:pt>
                <c:pt idx="102">
                  <c:v>44624</c:v>
                </c:pt>
                <c:pt idx="103">
                  <c:v>44625</c:v>
                </c:pt>
                <c:pt idx="104">
                  <c:v>44626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44632</c:v>
                </c:pt>
                <c:pt idx="111">
                  <c:v>44633</c:v>
                </c:pt>
                <c:pt idx="112">
                  <c:v>44634</c:v>
                </c:pt>
                <c:pt idx="113">
                  <c:v>44635</c:v>
                </c:pt>
                <c:pt idx="114">
                  <c:v>44636</c:v>
                </c:pt>
                <c:pt idx="115">
                  <c:v>44637</c:v>
                </c:pt>
                <c:pt idx="116">
                  <c:v>44638</c:v>
                </c:pt>
                <c:pt idx="117">
                  <c:v>44639</c:v>
                </c:pt>
                <c:pt idx="118">
                  <c:v>44640</c:v>
                </c:pt>
                <c:pt idx="119">
                  <c:v>44641</c:v>
                </c:pt>
                <c:pt idx="120">
                  <c:v>44642</c:v>
                </c:pt>
                <c:pt idx="121">
                  <c:v>44643</c:v>
                </c:pt>
                <c:pt idx="122">
                  <c:v>44644</c:v>
                </c:pt>
                <c:pt idx="123">
                  <c:v>44645</c:v>
                </c:pt>
                <c:pt idx="124">
                  <c:v>44646</c:v>
                </c:pt>
                <c:pt idx="125">
                  <c:v>44647</c:v>
                </c:pt>
                <c:pt idx="126">
                  <c:v>44648</c:v>
                </c:pt>
                <c:pt idx="127">
                  <c:v>44649</c:v>
                </c:pt>
                <c:pt idx="128">
                  <c:v>44650</c:v>
                </c:pt>
                <c:pt idx="129">
                  <c:v>44651</c:v>
                </c:pt>
                <c:pt idx="130">
                  <c:v>44652</c:v>
                </c:pt>
                <c:pt idx="131">
                  <c:v>44653</c:v>
                </c:pt>
                <c:pt idx="132">
                  <c:v>44654</c:v>
                </c:pt>
                <c:pt idx="133">
                  <c:v>44655</c:v>
                </c:pt>
                <c:pt idx="134">
                  <c:v>44656</c:v>
                </c:pt>
                <c:pt idx="135">
                  <c:v>44657</c:v>
                </c:pt>
                <c:pt idx="136">
                  <c:v>44658</c:v>
                </c:pt>
                <c:pt idx="137">
                  <c:v>44659</c:v>
                </c:pt>
                <c:pt idx="138">
                  <c:v>44660</c:v>
                </c:pt>
                <c:pt idx="139">
                  <c:v>44661</c:v>
                </c:pt>
                <c:pt idx="140">
                  <c:v>44662</c:v>
                </c:pt>
                <c:pt idx="141">
                  <c:v>44663</c:v>
                </c:pt>
                <c:pt idx="142">
                  <c:v>44664</c:v>
                </c:pt>
                <c:pt idx="143">
                  <c:v>44665</c:v>
                </c:pt>
                <c:pt idx="144">
                  <c:v>44666</c:v>
                </c:pt>
                <c:pt idx="145">
                  <c:v>44667</c:v>
                </c:pt>
                <c:pt idx="146">
                  <c:v>44668</c:v>
                </c:pt>
                <c:pt idx="147">
                  <c:v>44669</c:v>
                </c:pt>
                <c:pt idx="148">
                  <c:v>44670</c:v>
                </c:pt>
                <c:pt idx="149">
                  <c:v>44671</c:v>
                </c:pt>
                <c:pt idx="150">
                  <c:v>44672</c:v>
                </c:pt>
                <c:pt idx="151">
                  <c:v>44673</c:v>
                </c:pt>
                <c:pt idx="152">
                  <c:v>44674</c:v>
                </c:pt>
                <c:pt idx="153">
                  <c:v>44675</c:v>
                </c:pt>
                <c:pt idx="154">
                  <c:v>44676</c:v>
                </c:pt>
                <c:pt idx="155">
                  <c:v>44677</c:v>
                </c:pt>
                <c:pt idx="156">
                  <c:v>44678</c:v>
                </c:pt>
                <c:pt idx="157">
                  <c:v>44679</c:v>
                </c:pt>
                <c:pt idx="158">
                  <c:v>44680</c:v>
                </c:pt>
                <c:pt idx="159">
                  <c:v>44683</c:v>
                </c:pt>
                <c:pt idx="160">
                  <c:v>44684</c:v>
                </c:pt>
                <c:pt idx="161">
                  <c:v>44685</c:v>
                </c:pt>
                <c:pt idx="162">
                  <c:v>44686</c:v>
                </c:pt>
                <c:pt idx="163">
                  <c:v>44687</c:v>
                </c:pt>
                <c:pt idx="164">
                  <c:v>44690</c:v>
                </c:pt>
                <c:pt idx="165">
                  <c:v>44691</c:v>
                </c:pt>
                <c:pt idx="166">
                  <c:v>44692</c:v>
                </c:pt>
                <c:pt idx="167">
                  <c:v>44693</c:v>
                </c:pt>
                <c:pt idx="168">
                  <c:v>44694</c:v>
                </c:pt>
                <c:pt idx="169">
                  <c:v>44697</c:v>
                </c:pt>
                <c:pt idx="170">
                  <c:v>44698</c:v>
                </c:pt>
                <c:pt idx="171">
                  <c:v>44699</c:v>
                </c:pt>
                <c:pt idx="172">
                  <c:v>44700</c:v>
                </c:pt>
                <c:pt idx="173">
                  <c:v>44701</c:v>
                </c:pt>
                <c:pt idx="174">
                  <c:v>44704</c:v>
                </c:pt>
                <c:pt idx="175">
                  <c:v>44705</c:v>
                </c:pt>
                <c:pt idx="176">
                  <c:v>44706</c:v>
                </c:pt>
                <c:pt idx="177">
                  <c:v>44707</c:v>
                </c:pt>
                <c:pt idx="178">
                  <c:v>44708</c:v>
                </c:pt>
                <c:pt idx="179">
                  <c:v>44711</c:v>
                </c:pt>
                <c:pt idx="180">
                  <c:v>44712</c:v>
                </c:pt>
                <c:pt idx="181">
                  <c:v>44713</c:v>
                </c:pt>
                <c:pt idx="182">
                  <c:v>44714</c:v>
                </c:pt>
                <c:pt idx="183">
                  <c:v>44715</c:v>
                </c:pt>
                <c:pt idx="184">
                  <c:v>44718</c:v>
                </c:pt>
                <c:pt idx="185">
                  <c:v>44719</c:v>
                </c:pt>
                <c:pt idx="186">
                  <c:v>44720</c:v>
                </c:pt>
                <c:pt idx="187">
                  <c:v>44721</c:v>
                </c:pt>
                <c:pt idx="188">
                  <c:v>44722</c:v>
                </c:pt>
                <c:pt idx="189">
                  <c:v>44725</c:v>
                </c:pt>
                <c:pt idx="190">
                  <c:v>44726</c:v>
                </c:pt>
                <c:pt idx="191">
                  <c:v>44727</c:v>
                </c:pt>
                <c:pt idx="192">
                  <c:v>44728</c:v>
                </c:pt>
                <c:pt idx="193">
                  <c:v>44729</c:v>
                </c:pt>
                <c:pt idx="194">
                  <c:v>44732</c:v>
                </c:pt>
                <c:pt idx="195">
                  <c:v>44733</c:v>
                </c:pt>
                <c:pt idx="196">
                  <c:v>44734</c:v>
                </c:pt>
                <c:pt idx="197">
                  <c:v>44735</c:v>
                </c:pt>
                <c:pt idx="198">
                  <c:v>44736</c:v>
                </c:pt>
                <c:pt idx="199">
                  <c:v>44739</c:v>
                </c:pt>
                <c:pt idx="200">
                  <c:v>44740</c:v>
                </c:pt>
                <c:pt idx="201">
                  <c:v>44741</c:v>
                </c:pt>
                <c:pt idx="202">
                  <c:v>44742</c:v>
                </c:pt>
                <c:pt idx="203">
                  <c:v>44743</c:v>
                </c:pt>
                <c:pt idx="204">
                  <c:v>44746</c:v>
                </c:pt>
                <c:pt idx="205">
                  <c:v>44747</c:v>
                </c:pt>
                <c:pt idx="206">
                  <c:v>44748</c:v>
                </c:pt>
                <c:pt idx="207">
                  <c:v>44749</c:v>
                </c:pt>
                <c:pt idx="208">
                  <c:v>44750</c:v>
                </c:pt>
                <c:pt idx="209">
                  <c:v>44753</c:v>
                </c:pt>
                <c:pt idx="210">
                  <c:v>44754</c:v>
                </c:pt>
                <c:pt idx="211">
                  <c:v>44755</c:v>
                </c:pt>
                <c:pt idx="212">
                  <c:v>44756</c:v>
                </c:pt>
                <c:pt idx="213">
                  <c:v>44757</c:v>
                </c:pt>
                <c:pt idx="214">
                  <c:v>44760</c:v>
                </c:pt>
                <c:pt idx="215">
                  <c:v>44761</c:v>
                </c:pt>
                <c:pt idx="216">
                  <c:v>44762</c:v>
                </c:pt>
                <c:pt idx="217">
                  <c:v>44763</c:v>
                </c:pt>
                <c:pt idx="218">
                  <c:v>44764</c:v>
                </c:pt>
                <c:pt idx="219">
                  <c:v>44767</c:v>
                </c:pt>
                <c:pt idx="220">
                  <c:v>44768</c:v>
                </c:pt>
                <c:pt idx="221">
                  <c:v>44769</c:v>
                </c:pt>
                <c:pt idx="222">
                  <c:v>44770</c:v>
                </c:pt>
                <c:pt idx="223">
                  <c:v>44771</c:v>
                </c:pt>
                <c:pt idx="224">
                  <c:v>44774</c:v>
                </c:pt>
                <c:pt idx="225">
                  <c:v>44775</c:v>
                </c:pt>
                <c:pt idx="226">
                  <c:v>44776</c:v>
                </c:pt>
                <c:pt idx="227">
                  <c:v>44777</c:v>
                </c:pt>
                <c:pt idx="228">
                  <c:v>44778</c:v>
                </c:pt>
                <c:pt idx="229">
                  <c:v>44781</c:v>
                </c:pt>
                <c:pt idx="230">
                  <c:v>44782</c:v>
                </c:pt>
                <c:pt idx="231">
                  <c:v>44783</c:v>
                </c:pt>
                <c:pt idx="232">
                  <c:v>44784</c:v>
                </c:pt>
                <c:pt idx="233">
                  <c:v>44785</c:v>
                </c:pt>
                <c:pt idx="234">
                  <c:v>44788</c:v>
                </c:pt>
                <c:pt idx="235">
                  <c:v>44789</c:v>
                </c:pt>
                <c:pt idx="236">
                  <c:v>44790</c:v>
                </c:pt>
                <c:pt idx="237">
                  <c:v>44791</c:v>
                </c:pt>
                <c:pt idx="238">
                  <c:v>44792</c:v>
                </c:pt>
                <c:pt idx="239">
                  <c:v>44795</c:v>
                </c:pt>
                <c:pt idx="240">
                  <c:v>44796</c:v>
                </c:pt>
                <c:pt idx="241">
                  <c:v>44797</c:v>
                </c:pt>
                <c:pt idx="242">
                  <c:v>44798</c:v>
                </c:pt>
                <c:pt idx="243">
                  <c:v>44799</c:v>
                </c:pt>
                <c:pt idx="244">
                  <c:v>44802</c:v>
                </c:pt>
                <c:pt idx="245">
                  <c:v>44803</c:v>
                </c:pt>
                <c:pt idx="246">
                  <c:v>44804</c:v>
                </c:pt>
                <c:pt idx="247">
                  <c:v>44805</c:v>
                </c:pt>
                <c:pt idx="248">
                  <c:v>44806</c:v>
                </c:pt>
                <c:pt idx="249">
                  <c:v>44809</c:v>
                </c:pt>
                <c:pt idx="250">
                  <c:v>44810</c:v>
                </c:pt>
                <c:pt idx="251">
                  <c:v>44811</c:v>
                </c:pt>
                <c:pt idx="252">
                  <c:v>44812</c:v>
                </c:pt>
                <c:pt idx="253">
                  <c:v>44813</c:v>
                </c:pt>
                <c:pt idx="254">
                  <c:v>44816</c:v>
                </c:pt>
                <c:pt idx="255">
                  <c:v>44817</c:v>
                </c:pt>
                <c:pt idx="256">
                  <c:v>44818</c:v>
                </c:pt>
                <c:pt idx="257">
                  <c:v>44819</c:v>
                </c:pt>
                <c:pt idx="258">
                  <c:v>44820</c:v>
                </c:pt>
                <c:pt idx="259">
                  <c:v>44823</c:v>
                </c:pt>
                <c:pt idx="260">
                  <c:v>44824</c:v>
                </c:pt>
                <c:pt idx="261">
                  <c:v>44825</c:v>
                </c:pt>
                <c:pt idx="262">
                  <c:v>44826</c:v>
                </c:pt>
                <c:pt idx="263">
                  <c:v>44827</c:v>
                </c:pt>
                <c:pt idx="264">
                  <c:v>44830</c:v>
                </c:pt>
                <c:pt idx="265">
                  <c:v>44831</c:v>
                </c:pt>
                <c:pt idx="266">
                  <c:v>44832</c:v>
                </c:pt>
                <c:pt idx="267">
                  <c:v>44833</c:v>
                </c:pt>
                <c:pt idx="268">
                  <c:v>44834</c:v>
                </c:pt>
                <c:pt idx="269">
                  <c:v>44837</c:v>
                </c:pt>
                <c:pt idx="270">
                  <c:v>44838</c:v>
                </c:pt>
                <c:pt idx="271">
                  <c:v>44839</c:v>
                </c:pt>
                <c:pt idx="272">
                  <c:v>44840</c:v>
                </c:pt>
                <c:pt idx="273">
                  <c:v>44841</c:v>
                </c:pt>
                <c:pt idx="274">
                  <c:v>44844</c:v>
                </c:pt>
                <c:pt idx="275">
                  <c:v>44845</c:v>
                </c:pt>
                <c:pt idx="276">
                  <c:v>44846</c:v>
                </c:pt>
                <c:pt idx="277">
                  <c:v>44847</c:v>
                </c:pt>
                <c:pt idx="278">
                  <c:v>44848</c:v>
                </c:pt>
                <c:pt idx="279">
                  <c:v>44851</c:v>
                </c:pt>
                <c:pt idx="280">
                  <c:v>44852</c:v>
                </c:pt>
                <c:pt idx="281">
                  <c:v>44853</c:v>
                </c:pt>
                <c:pt idx="282">
                  <c:v>44854</c:v>
                </c:pt>
                <c:pt idx="283">
                  <c:v>44855</c:v>
                </c:pt>
                <c:pt idx="284">
                  <c:v>44858</c:v>
                </c:pt>
                <c:pt idx="285">
                  <c:v>44859</c:v>
                </c:pt>
                <c:pt idx="286">
                  <c:v>44860</c:v>
                </c:pt>
                <c:pt idx="287">
                  <c:v>44861</c:v>
                </c:pt>
                <c:pt idx="288">
                  <c:v>44862</c:v>
                </c:pt>
                <c:pt idx="289">
                  <c:v>44865</c:v>
                </c:pt>
                <c:pt idx="290">
                  <c:v>44866</c:v>
                </c:pt>
                <c:pt idx="291">
                  <c:v>44867</c:v>
                </c:pt>
                <c:pt idx="292">
                  <c:v>44868</c:v>
                </c:pt>
                <c:pt idx="293">
                  <c:v>44869</c:v>
                </c:pt>
                <c:pt idx="294">
                  <c:v>44872</c:v>
                </c:pt>
                <c:pt idx="295">
                  <c:v>44873</c:v>
                </c:pt>
                <c:pt idx="296">
                  <c:v>44874</c:v>
                </c:pt>
                <c:pt idx="297">
                  <c:v>44875</c:v>
                </c:pt>
                <c:pt idx="298">
                  <c:v>44876</c:v>
                </c:pt>
                <c:pt idx="299">
                  <c:v>44879</c:v>
                </c:pt>
                <c:pt idx="300">
                  <c:v>44880</c:v>
                </c:pt>
                <c:pt idx="301">
                  <c:v>44881</c:v>
                </c:pt>
                <c:pt idx="302">
                  <c:v>44882</c:v>
                </c:pt>
                <c:pt idx="303">
                  <c:v>44883</c:v>
                </c:pt>
                <c:pt idx="304">
                  <c:v>44886</c:v>
                </c:pt>
                <c:pt idx="305">
                  <c:v>44887</c:v>
                </c:pt>
                <c:pt idx="306">
                  <c:v>44888</c:v>
                </c:pt>
                <c:pt idx="307">
                  <c:v>44889</c:v>
                </c:pt>
                <c:pt idx="308">
                  <c:v>44890</c:v>
                </c:pt>
                <c:pt idx="309">
                  <c:v>44893</c:v>
                </c:pt>
                <c:pt idx="310">
                  <c:v>44894</c:v>
                </c:pt>
                <c:pt idx="311">
                  <c:v>44895</c:v>
                </c:pt>
                <c:pt idx="312">
                  <c:v>44896</c:v>
                </c:pt>
                <c:pt idx="313">
                  <c:v>44897</c:v>
                </c:pt>
                <c:pt idx="314">
                  <c:v>44900</c:v>
                </c:pt>
                <c:pt idx="315">
                  <c:v>44901</c:v>
                </c:pt>
                <c:pt idx="316">
                  <c:v>44902</c:v>
                </c:pt>
                <c:pt idx="317">
                  <c:v>44903</c:v>
                </c:pt>
                <c:pt idx="318">
                  <c:v>44904</c:v>
                </c:pt>
                <c:pt idx="319">
                  <c:v>44907</c:v>
                </c:pt>
                <c:pt idx="320">
                  <c:v>44908</c:v>
                </c:pt>
                <c:pt idx="321">
                  <c:v>44909</c:v>
                </c:pt>
                <c:pt idx="322">
                  <c:v>44910</c:v>
                </c:pt>
                <c:pt idx="323">
                  <c:v>44911</c:v>
                </c:pt>
                <c:pt idx="324">
                  <c:v>44914</c:v>
                </c:pt>
                <c:pt idx="325">
                  <c:v>44915</c:v>
                </c:pt>
                <c:pt idx="326">
                  <c:v>44916</c:v>
                </c:pt>
                <c:pt idx="327">
                  <c:v>44917</c:v>
                </c:pt>
                <c:pt idx="328">
                  <c:v>44918</c:v>
                </c:pt>
                <c:pt idx="329">
                  <c:v>44921</c:v>
                </c:pt>
                <c:pt idx="330">
                  <c:v>44922</c:v>
                </c:pt>
                <c:pt idx="331">
                  <c:v>44923</c:v>
                </c:pt>
                <c:pt idx="332">
                  <c:v>44924</c:v>
                </c:pt>
                <c:pt idx="333">
                  <c:v>44925</c:v>
                </c:pt>
                <c:pt idx="334">
                  <c:v>44928</c:v>
                </c:pt>
                <c:pt idx="335">
                  <c:v>44929</c:v>
                </c:pt>
                <c:pt idx="336">
                  <c:v>44930</c:v>
                </c:pt>
                <c:pt idx="337">
                  <c:v>44931</c:v>
                </c:pt>
                <c:pt idx="338">
                  <c:v>44932</c:v>
                </c:pt>
                <c:pt idx="339">
                  <c:v>44935</c:v>
                </c:pt>
                <c:pt idx="340">
                  <c:v>44936</c:v>
                </c:pt>
                <c:pt idx="341">
                  <c:v>44937</c:v>
                </c:pt>
                <c:pt idx="342">
                  <c:v>44938</c:v>
                </c:pt>
                <c:pt idx="343">
                  <c:v>44939</c:v>
                </c:pt>
                <c:pt idx="344">
                  <c:v>44942</c:v>
                </c:pt>
                <c:pt idx="345">
                  <c:v>44943</c:v>
                </c:pt>
                <c:pt idx="346">
                  <c:v>44944</c:v>
                </c:pt>
                <c:pt idx="347">
                  <c:v>44945</c:v>
                </c:pt>
                <c:pt idx="348">
                  <c:v>44946</c:v>
                </c:pt>
                <c:pt idx="349">
                  <c:v>44949</c:v>
                </c:pt>
                <c:pt idx="350">
                  <c:v>44950</c:v>
                </c:pt>
                <c:pt idx="351">
                  <c:v>44951</c:v>
                </c:pt>
                <c:pt idx="352">
                  <c:v>44952</c:v>
                </c:pt>
                <c:pt idx="353">
                  <c:v>44953</c:v>
                </c:pt>
                <c:pt idx="354">
                  <c:v>44956</c:v>
                </c:pt>
                <c:pt idx="355">
                  <c:v>44957</c:v>
                </c:pt>
                <c:pt idx="356">
                  <c:v>44958</c:v>
                </c:pt>
                <c:pt idx="357">
                  <c:v>44959</c:v>
                </c:pt>
                <c:pt idx="358">
                  <c:v>44960</c:v>
                </c:pt>
                <c:pt idx="359">
                  <c:v>44963</c:v>
                </c:pt>
                <c:pt idx="360">
                  <c:v>44964</c:v>
                </c:pt>
                <c:pt idx="361">
                  <c:v>44965</c:v>
                </c:pt>
                <c:pt idx="362">
                  <c:v>44966</c:v>
                </c:pt>
                <c:pt idx="363">
                  <c:v>44967</c:v>
                </c:pt>
                <c:pt idx="364">
                  <c:v>44970</c:v>
                </c:pt>
                <c:pt idx="365">
                  <c:v>44971</c:v>
                </c:pt>
                <c:pt idx="366">
                  <c:v>44972</c:v>
                </c:pt>
                <c:pt idx="367">
                  <c:v>44973</c:v>
                </c:pt>
                <c:pt idx="368">
                  <c:v>44974</c:v>
                </c:pt>
                <c:pt idx="369">
                  <c:v>44977</c:v>
                </c:pt>
                <c:pt idx="370">
                  <c:v>44978</c:v>
                </c:pt>
                <c:pt idx="371">
                  <c:v>44979</c:v>
                </c:pt>
                <c:pt idx="372">
                  <c:v>44980</c:v>
                </c:pt>
                <c:pt idx="373">
                  <c:v>44981</c:v>
                </c:pt>
                <c:pt idx="374">
                  <c:v>44984</c:v>
                </c:pt>
                <c:pt idx="375">
                  <c:v>44985</c:v>
                </c:pt>
                <c:pt idx="376">
                  <c:v>44986</c:v>
                </c:pt>
                <c:pt idx="377">
                  <c:v>44987</c:v>
                </c:pt>
                <c:pt idx="378">
                  <c:v>44988</c:v>
                </c:pt>
                <c:pt idx="379">
                  <c:v>44991</c:v>
                </c:pt>
                <c:pt idx="380">
                  <c:v>44992</c:v>
                </c:pt>
                <c:pt idx="381">
                  <c:v>44993</c:v>
                </c:pt>
                <c:pt idx="382">
                  <c:v>44994</c:v>
                </c:pt>
                <c:pt idx="383">
                  <c:v>44995</c:v>
                </c:pt>
                <c:pt idx="384">
                  <c:v>44998</c:v>
                </c:pt>
                <c:pt idx="385">
                  <c:v>44999</c:v>
                </c:pt>
                <c:pt idx="386">
                  <c:v>45000</c:v>
                </c:pt>
                <c:pt idx="387">
                  <c:v>45001</c:v>
                </c:pt>
                <c:pt idx="388">
                  <c:v>45002</c:v>
                </c:pt>
                <c:pt idx="389">
                  <c:v>45005</c:v>
                </c:pt>
                <c:pt idx="390">
                  <c:v>45006</c:v>
                </c:pt>
                <c:pt idx="391">
                  <c:v>45007</c:v>
                </c:pt>
                <c:pt idx="392">
                  <c:v>45008</c:v>
                </c:pt>
                <c:pt idx="393">
                  <c:v>45009</c:v>
                </c:pt>
                <c:pt idx="394">
                  <c:v>45012</c:v>
                </c:pt>
                <c:pt idx="395">
                  <c:v>45013</c:v>
                </c:pt>
                <c:pt idx="396">
                  <c:v>45014</c:v>
                </c:pt>
                <c:pt idx="397">
                  <c:v>45015</c:v>
                </c:pt>
                <c:pt idx="398">
                  <c:v>45016</c:v>
                </c:pt>
                <c:pt idx="399">
                  <c:v>45019</c:v>
                </c:pt>
                <c:pt idx="400">
                  <c:v>45020</c:v>
                </c:pt>
                <c:pt idx="401">
                  <c:v>45021</c:v>
                </c:pt>
                <c:pt idx="402">
                  <c:v>45022</c:v>
                </c:pt>
                <c:pt idx="403">
                  <c:v>45023</c:v>
                </c:pt>
                <c:pt idx="404">
                  <c:v>45026</c:v>
                </c:pt>
                <c:pt idx="405">
                  <c:v>45027</c:v>
                </c:pt>
                <c:pt idx="406">
                  <c:v>45028</c:v>
                </c:pt>
                <c:pt idx="407">
                  <c:v>45029</c:v>
                </c:pt>
                <c:pt idx="408">
                  <c:v>45030</c:v>
                </c:pt>
                <c:pt idx="409">
                  <c:v>45033</c:v>
                </c:pt>
                <c:pt idx="410">
                  <c:v>45034</c:v>
                </c:pt>
                <c:pt idx="411">
                  <c:v>45035</c:v>
                </c:pt>
                <c:pt idx="412">
                  <c:v>45036</c:v>
                </c:pt>
                <c:pt idx="413">
                  <c:v>45037</c:v>
                </c:pt>
                <c:pt idx="414">
                  <c:v>45040</c:v>
                </c:pt>
                <c:pt idx="415">
                  <c:v>45041</c:v>
                </c:pt>
                <c:pt idx="416">
                  <c:v>45042</c:v>
                </c:pt>
                <c:pt idx="417">
                  <c:v>45043</c:v>
                </c:pt>
                <c:pt idx="418">
                  <c:v>45044</c:v>
                </c:pt>
                <c:pt idx="419">
                  <c:v>45047</c:v>
                </c:pt>
                <c:pt idx="420">
                  <c:v>45048</c:v>
                </c:pt>
                <c:pt idx="421">
                  <c:v>45049</c:v>
                </c:pt>
                <c:pt idx="422">
                  <c:v>45050</c:v>
                </c:pt>
                <c:pt idx="423">
                  <c:v>45051</c:v>
                </c:pt>
                <c:pt idx="424">
                  <c:v>45054</c:v>
                </c:pt>
                <c:pt idx="425">
                  <c:v>45055</c:v>
                </c:pt>
                <c:pt idx="426">
                  <c:v>45056</c:v>
                </c:pt>
                <c:pt idx="427">
                  <c:v>45057</c:v>
                </c:pt>
                <c:pt idx="428">
                  <c:v>45058</c:v>
                </c:pt>
                <c:pt idx="429">
                  <c:v>45061</c:v>
                </c:pt>
                <c:pt idx="430">
                  <c:v>45062</c:v>
                </c:pt>
                <c:pt idx="431">
                  <c:v>45063</c:v>
                </c:pt>
                <c:pt idx="432">
                  <c:v>45064</c:v>
                </c:pt>
                <c:pt idx="433">
                  <c:v>45065</c:v>
                </c:pt>
                <c:pt idx="434">
                  <c:v>45068</c:v>
                </c:pt>
                <c:pt idx="435">
                  <c:v>45069</c:v>
                </c:pt>
                <c:pt idx="436">
                  <c:v>45070</c:v>
                </c:pt>
                <c:pt idx="437">
                  <c:v>45071</c:v>
                </c:pt>
                <c:pt idx="438">
                  <c:v>45072</c:v>
                </c:pt>
                <c:pt idx="439">
                  <c:v>45075</c:v>
                </c:pt>
                <c:pt idx="440">
                  <c:v>45076</c:v>
                </c:pt>
                <c:pt idx="441">
                  <c:v>45077</c:v>
                </c:pt>
                <c:pt idx="442">
                  <c:v>45078</c:v>
                </c:pt>
                <c:pt idx="443">
                  <c:v>45079</c:v>
                </c:pt>
                <c:pt idx="444">
                  <c:v>45082</c:v>
                </c:pt>
                <c:pt idx="445">
                  <c:v>45083</c:v>
                </c:pt>
                <c:pt idx="446">
                  <c:v>45084</c:v>
                </c:pt>
                <c:pt idx="447">
                  <c:v>45085</c:v>
                </c:pt>
                <c:pt idx="448">
                  <c:v>45086</c:v>
                </c:pt>
                <c:pt idx="449">
                  <c:v>45089</c:v>
                </c:pt>
                <c:pt idx="450">
                  <c:v>45090</c:v>
                </c:pt>
                <c:pt idx="451">
                  <c:v>45091</c:v>
                </c:pt>
                <c:pt idx="452">
                  <c:v>45092</c:v>
                </c:pt>
                <c:pt idx="453">
                  <c:v>45093</c:v>
                </c:pt>
                <c:pt idx="454">
                  <c:v>45096</c:v>
                </c:pt>
                <c:pt idx="455">
                  <c:v>45097</c:v>
                </c:pt>
                <c:pt idx="456">
                  <c:v>45098</c:v>
                </c:pt>
                <c:pt idx="457">
                  <c:v>45099</c:v>
                </c:pt>
                <c:pt idx="458">
                  <c:v>45100</c:v>
                </c:pt>
                <c:pt idx="459">
                  <c:v>45103</c:v>
                </c:pt>
                <c:pt idx="460">
                  <c:v>45104</c:v>
                </c:pt>
                <c:pt idx="461">
                  <c:v>45105</c:v>
                </c:pt>
                <c:pt idx="462">
                  <c:v>45106</c:v>
                </c:pt>
                <c:pt idx="463">
                  <c:v>45107</c:v>
                </c:pt>
                <c:pt idx="464">
                  <c:v>45110</c:v>
                </c:pt>
                <c:pt idx="465">
                  <c:v>45111</c:v>
                </c:pt>
                <c:pt idx="466">
                  <c:v>45112</c:v>
                </c:pt>
                <c:pt idx="467">
                  <c:v>45113</c:v>
                </c:pt>
                <c:pt idx="468">
                  <c:v>45114</c:v>
                </c:pt>
                <c:pt idx="469">
                  <c:v>45117</c:v>
                </c:pt>
                <c:pt idx="470">
                  <c:v>45118</c:v>
                </c:pt>
                <c:pt idx="471">
                  <c:v>45119</c:v>
                </c:pt>
                <c:pt idx="472">
                  <c:v>45120</c:v>
                </c:pt>
                <c:pt idx="473">
                  <c:v>45121</c:v>
                </c:pt>
                <c:pt idx="474">
                  <c:v>45124</c:v>
                </c:pt>
                <c:pt idx="475">
                  <c:v>45125</c:v>
                </c:pt>
                <c:pt idx="476">
                  <c:v>45126</c:v>
                </c:pt>
                <c:pt idx="477">
                  <c:v>45127</c:v>
                </c:pt>
                <c:pt idx="478">
                  <c:v>45128</c:v>
                </c:pt>
                <c:pt idx="479">
                  <c:v>45131</c:v>
                </c:pt>
                <c:pt idx="480">
                  <c:v>45132</c:v>
                </c:pt>
                <c:pt idx="481">
                  <c:v>45133</c:v>
                </c:pt>
                <c:pt idx="482">
                  <c:v>45134</c:v>
                </c:pt>
                <c:pt idx="483">
                  <c:v>45135</c:v>
                </c:pt>
                <c:pt idx="484">
                  <c:v>45138</c:v>
                </c:pt>
                <c:pt idx="485">
                  <c:v>45139</c:v>
                </c:pt>
                <c:pt idx="486">
                  <c:v>45140</c:v>
                </c:pt>
                <c:pt idx="487">
                  <c:v>45141</c:v>
                </c:pt>
                <c:pt idx="488">
                  <c:v>45142</c:v>
                </c:pt>
                <c:pt idx="489">
                  <c:v>45145</c:v>
                </c:pt>
                <c:pt idx="490">
                  <c:v>45146</c:v>
                </c:pt>
                <c:pt idx="491">
                  <c:v>45147</c:v>
                </c:pt>
                <c:pt idx="492">
                  <c:v>45148</c:v>
                </c:pt>
                <c:pt idx="493">
                  <c:v>45149</c:v>
                </c:pt>
                <c:pt idx="494">
                  <c:v>45152</c:v>
                </c:pt>
                <c:pt idx="495">
                  <c:v>45153</c:v>
                </c:pt>
                <c:pt idx="496">
                  <c:v>45154</c:v>
                </c:pt>
                <c:pt idx="497">
                  <c:v>45155</c:v>
                </c:pt>
                <c:pt idx="498">
                  <c:v>45156</c:v>
                </c:pt>
                <c:pt idx="499">
                  <c:v>45159</c:v>
                </c:pt>
                <c:pt idx="500">
                  <c:v>45160</c:v>
                </c:pt>
                <c:pt idx="501">
                  <c:v>45161</c:v>
                </c:pt>
                <c:pt idx="502">
                  <c:v>45162</c:v>
                </c:pt>
                <c:pt idx="503">
                  <c:v>45163</c:v>
                </c:pt>
                <c:pt idx="504">
                  <c:v>45166</c:v>
                </c:pt>
                <c:pt idx="505">
                  <c:v>45167</c:v>
                </c:pt>
                <c:pt idx="506">
                  <c:v>45168</c:v>
                </c:pt>
                <c:pt idx="507">
                  <c:v>45169</c:v>
                </c:pt>
                <c:pt idx="508">
                  <c:v>45170</c:v>
                </c:pt>
                <c:pt idx="509">
                  <c:v>45173</c:v>
                </c:pt>
                <c:pt idx="510">
                  <c:v>45174</c:v>
                </c:pt>
                <c:pt idx="511">
                  <c:v>45175</c:v>
                </c:pt>
                <c:pt idx="512">
                  <c:v>45176</c:v>
                </c:pt>
                <c:pt idx="513">
                  <c:v>45177</c:v>
                </c:pt>
                <c:pt idx="514">
                  <c:v>45180</c:v>
                </c:pt>
                <c:pt idx="515">
                  <c:v>45181</c:v>
                </c:pt>
                <c:pt idx="516">
                  <c:v>45182</c:v>
                </c:pt>
                <c:pt idx="517">
                  <c:v>45183</c:v>
                </c:pt>
                <c:pt idx="518">
                  <c:v>45184</c:v>
                </c:pt>
                <c:pt idx="519">
                  <c:v>45187</c:v>
                </c:pt>
                <c:pt idx="520">
                  <c:v>45188</c:v>
                </c:pt>
                <c:pt idx="521">
                  <c:v>45189</c:v>
                </c:pt>
                <c:pt idx="522">
                  <c:v>45190</c:v>
                </c:pt>
                <c:pt idx="523">
                  <c:v>45191</c:v>
                </c:pt>
                <c:pt idx="524">
                  <c:v>45194</c:v>
                </c:pt>
                <c:pt idx="525">
                  <c:v>45195</c:v>
                </c:pt>
                <c:pt idx="526">
                  <c:v>45196</c:v>
                </c:pt>
                <c:pt idx="527">
                  <c:v>45197</c:v>
                </c:pt>
                <c:pt idx="528">
                  <c:v>45198</c:v>
                </c:pt>
                <c:pt idx="529">
                  <c:v>45201</c:v>
                </c:pt>
                <c:pt idx="530">
                  <c:v>45202</c:v>
                </c:pt>
                <c:pt idx="531">
                  <c:v>45203</c:v>
                </c:pt>
                <c:pt idx="532">
                  <c:v>45204</c:v>
                </c:pt>
                <c:pt idx="533">
                  <c:v>45205</c:v>
                </c:pt>
                <c:pt idx="534">
                  <c:v>45208</c:v>
                </c:pt>
                <c:pt idx="535">
                  <c:v>45209</c:v>
                </c:pt>
                <c:pt idx="536">
                  <c:v>45210</c:v>
                </c:pt>
                <c:pt idx="537">
                  <c:v>45211</c:v>
                </c:pt>
                <c:pt idx="538">
                  <c:v>45212</c:v>
                </c:pt>
                <c:pt idx="539">
                  <c:v>45215</c:v>
                </c:pt>
                <c:pt idx="540">
                  <c:v>45216</c:v>
                </c:pt>
                <c:pt idx="541">
                  <c:v>45217</c:v>
                </c:pt>
                <c:pt idx="542">
                  <c:v>45218</c:v>
                </c:pt>
                <c:pt idx="543">
                  <c:v>45219</c:v>
                </c:pt>
                <c:pt idx="544">
                  <c:v>45222</c:v>
                </c:pt>
                <c:pt idx="545">
                  <c:v>45223</c:v>
                </c:pt>
                <c:pt idx="546">
                  <c:v>45224</c:v>
                </c:pt>
                <c:pt idx="547">
                  <c:v>45225</c:v>
                </c:pt>
                <c:pt idx="548">
                  <c:v>45226</c:v>
                </c:pt>
                <c:pt idx="549">
                  <c:v>45229</c:v>
                </c:pt>
                <c:pt idx="550">
                  <c:v>45230</c:v>
                </c:pt>
                <c:pt idx="551">
                  <c:v>45231</c:v>
                </c:pt>
                <c:pt idx="552">
                  <c:v>45232</c:v>
                </c:pt>
                <c:pt idx="553">
                  <c:v>45233</c:v>
                </c:pt>
                <c:pt idx="554">
                  <c:v>45236</c:v>
                </c:pt>
                <c:pt idx="555">
                  <c:v>45237</c:v>
                </c:pt>
                <c:pt idx="556">
                  <c:v>45238</c:v>
                </c:pt>
                <c:pt idx="557">
                  <c:v>45239</c:v>
                </c:pt>
                <c:pt idx="558">
                  <c:v>45240</c:v>
                </c:pt>
                <c:pt idx="559">
                  <c:v>45243</c:v>
                </c:pt>
                <c:pt idx="560">
                  <c:v>45244</c:v>
                </c:pt>
                <c:pt idx="561">
                  <c:v>45245</c:v>
                </c:pt>
                <c:pt idx="562">
                  <c:v>45246</c:v>
                </c:pt>
                <c:pt idx="563">
                  <c:v>45247</c:v>
                </c:pt>
                <c:pt idx="564">
                  <c:v>45250</c:v>
                </c:pt>
                <c:pt idx="565">
                  <c:v>45251</c:v>
                </c:pt>
                <c:pt idx="566">
                  <c:v>45252</c:v>
                </c:pt>
                <c:pt idx="567">
                  <c:v>45253</c:v>
                </c:pt>
                <c:pt idx="568">
                  <c:v>45254</c:v>
                </c:pt>
                <c:pt idx="569">
                  <c:v>45257</c:v>
                </c:pt>
                <c:pt idx="570">
                  <c:v>45258</c:v>
                </c:pt>
                <c:pt idx="571">
                  <c:v>45259</c:v>
                </c:pt>
                <c:pt idx="572">
                  <c:v>45260</c:v>
                </c:pt>
                <c:pt idx="573">
                  <c:v>45261</c:v>
                </c:pt>
                <c:pt idx="574">
                  <c:v>45262</c:v>
                </c:pt>
                <c:pt idx="575">
                  <c:v>45263</c:v>
                </c:pt>
                <c:pt idx="576">
                  <c:v>45264</c:v>
                </c:pt>
                <c:pt idx="577">
                  <c:v>45265</c:v>
                </c:pt>
                <c:pt idx="578">
                  <c:v>45266</c:v>
                </c:pt>
                <c:pt idx="579">
                  <c:v>45267</c:v>
                </c:pt>
                <c:pt idx="580">
                  <c:v>45268</c:v>
                </c:pt>
                <c:pt idx="581">
                  <c:v>45269</c:v>
                </c:pt>
                <c:pt idx="582">
                  <c:v>45270</c:v>
                </c:pt>
                <c:pt idx="583">
                  <c:v>45271</c:v>
                </c:pt>
                <c:pt idx="584">
                  <c:v>45272</c:v>
                </c:pt>
                <c:pt idx="585">
                  <c:v>45273</c:v>
                </c:pt>
                <c:pt idx="586">
                  <c:v>45274</c:v>
                </c:pt>
                <c:pt idx="587">
                  <c:v>45275</c:v>
                </c:pt>
                <c:pt idx="588">
                  <c:v>45276</c:v>
                </c:pt>
                <c:pt idx="589">
                  <c:v>45277</c:v>
                </c:pt>
                <c:pt idx="590">
                  <c:v>45278</c:v>
                </c:pt>
                <c:pt idx="591">
                  <c:v>45279</c:v>
                </c:pt>
                <c:pt idx="592">
                  <c:v>45280</c:v>
                </c:pt>
                <c:pt idx="593">
                  <c:v>45281</c:v>
                </c:pt>
                <c:pt idx="594">
                  <c:v>45282</c:v>
                </c:pt>
                <c:pt idx="595">
                  <c:v>45283</c:v>
                </c:pt>
                <c:pt idx="596">
                  <c:v>45284</c:v>
                </c:pt>
                <c:pt idx="597">
                  <c:v>45285</c:v>
                </c:pt>
                <c:pt idx="598">
                  <c:v>45286</c:v>
                </c:pt>
                <c:pt idx="599">
                  <c:v>45287</c:v>
                </c:pt>
                <c:pt idx="600">
                  <c:v>45288</c:v>
                </c:pt>
                <c:pt idx="601">
                  <c:v>45289</c:v>
                </c:pt>
                <c:pt idx="602">
                  <c:v>45290</c:v>
                </c:pt>
                <c:pt idx="603">
                  <c:v>45291</c:v>
                </c:pt>
                <c:pt idx="604">
                  <c:v>45292</c:v>
                </c:pt>
                <c:pt idx="605">
                  <c:v>45293</c:v>
                </c:pt>
                <c:pt idx="606">
                  <c:v>45294</c:v>
                </c:pt>
                <c:pt idx="607">
                  <c:v>45295</c:v>
                </c:pt>
                <c:pt idx="608">
                  <c:v>45296</c:v>
                </c:pt>
                <c:pt idx="609">
                  <c:v>45297</c:v>
                </c:pt>
                <c:pt idx="610">
                  <c:v>45298</c:v>
                </c:pt>
                <c:pt idx="611">
                  <c:v>45299</c:v>
                </c:pt>
                <c:pt idx="612">
                  <c:v>45300</c:v>
                </c:pt>
                <c:pt idx="613">
                  <c:v>45301</c:v>
                </c:pt>
                <c:pt idx="614">
                  <c:v>45302</c:v>
                </c:pt>
                <c:pt idx="615">
                  <c:v>45303</c:v>
                </c:pt>
                <c:pt idx="616">
                  <c:v>45304</c:v>
                </c:pt>
                <c:pt idx="617">
                  <c:v>45305</c:v>
                </c:pt>
                <c:pt idx="618">
                  <c:v>45306</c:v>
                </c:pt>
                <c:pt idx="619">
                  <c:v>45307</c:v>
                </c:pt>
                <c:pt idx="620">
                  <c:v>45308</c:v>
                </c:pt>
                <c:pt idx="621">
                  <c:v>45309</c:v>
                </c:pt>
                <c:pt idx="622">
                  <c:v>45310</c:v>
                </c:pt>
                <c:pt idx="623">
                  <c:v>45311</c:v>
                </c:pt>
                <c:pt idx="624">
                  <c:v>45312</c:v>
                </c:pt>
                <c:pt idx="625">
                  <c:v>45313</c:v>
                </c:pt>
                <c:pt idx="626">
                  <c:v>45314</c:v>
                </c:pt>
                <c:pt idx="627">
                  <c:v>45315</c:v>
                </c:pt>
                <c:pt idx="628">
                  <c:v>45316</c:v>
                </c:pt>
                <c:pt idx="629">
                  <c:v>45317</c:v>
                </c:pt>
                <c:pt idx="630">
                  <c:v>45318</c:v>
                </c:pt>
                <c:pt idx="631">
                  <c:v>45319</c:v>
                </c:pt>
                <c:pt idx="632">
                  <c:v>45320</c:v>
                </c:pt>
                <c:pt idx="633">
                  <c:v>45321</c:v>
                </c:pt>
                <c:pt idx="634">
                  <c:v>45322</c:v>
                </c:pt>
                <c:pt idx="635">
                  <c:v>45323</c:v>
                </c:pt>
                <c:pt idx="636">
                  <c:v>45324</c:v>
                </c:pt>
                <c:pt idx="637">
                  <c:v>45325</c:v>
                </c:pt>
                <c:pt idx="638">
                  <c:v>45326</c:v>
                </c:pt>
                <c:pt idx="639">
                  <c:v>45327</c:v>
                </c:pt>
                <c:pt idx="640">
                  <c:v>45328</c:v>
                </c:pt>
                <c:pt idx="641">
                  <c:v>45329</c:v>
                </c:pt>
                <c:pt idx="642">
                  <c:v>45330</c:v>
                </c:pt>
                <c:pt idx="643">
                  <c:v>45331</c:v>
                </c:pt>
                <c:pt idx="644">
                  <c:v>45332</c:v>
                </c:pt>
                <c:pt idx="645">
                  <c:v>45333</c:v>
                </c:pt>
                <c:pt idx="646">
                  <c:v>45334</c:v>
                </c:pt>
                <c:pt idx="647">
                  <c:v>45335</c:v>
                </c:pt>
                <c:pt idx="648">
                  <c:v>45336</c:v>
                </c:pt>
                <c:pt idx="649">
                  <c:v>45337</c:v>
                </c:pt>
                <c:pt idx="650">
                  <c:v>45338</c:v>
                </c:pt>
                <c:pt idx="651">
                  <c:v>45339</c:v>
                </c:pt>
                <c:pt idx="652">
                  <c:v>45340</c:v>
                </c:pt>
                <c:pt idx="653">
                  <c:v>45341</c:v>
                </c:pt>
                <c:pt idx="654">
                  <c:v>45342</c:v>
                </c:pt>
                <c:pt idx="655">
                  <c:v>45343</c:v>
                </c:pt>
                <c:pt idx="656">
                  <c:v>45344</c:v>
                </c:pt>
                <c:pt idx="657">
                  <c:v>45345</c:v>
                </c:pt>
                <c:pt idx="658">
                  <c:v>45346</c:v>
                </c:pt>
                <c:pt idx="659">
                  <c:v>45347</c:v>
                </c:pt>
                <c:pt idx="660">
                  <c:v>45348</c:v>
                </c:pt>
                <c:pt idx="661">
                  <c:v>45349</c:v>
                </c:pt>
                <c:pt idx="662">
                  <c:v>45350</c:v>
                </c:pt>
                <c:pt idx="663">
                  <c:v>45351</c:v>
                </c:pt>
                <c:pt idx="664">
                  <c:v>45352</c:v>
                </c:pt>
                <c:pt idx="665">
                  <c:v>45353</c:v>
                </c:pt>
                <c:pt idx="666">
                  <c:v>45354</c:v>
                </c:pt>
                <c:pt idx="667">
                  <c:v>45355</c:v>
                </c:pt>
                <c:pt idx="668">
                  <c:v>45356</c:v>
                </c:pt>
                <c:pt idx="669">
                  <c:v>45357</c:v>
                </c:pt>
                <c:pt idx="670">
                  <c:v>45358</c:v>
                </c:pt>
                <c:pt idx="671">
                  <c:v>45359</c:v>
                </c:pt>
                <c:pt idx="672">
                  <c:v>45360</c:v>
                </c:pt>
                <c:pt idx="673">
                  <c:v>45361</c:v>
                </c:pt>
                <c:pt idx="674">
                  <c:v>45362</c:v>
                </c:pt>
                <c:pt idx="675">
                  <c:v>45363</c:v>
                </c:pt>
                <c:pt idx="676">
                  <c:v>45364</c:v>
                </c:pt>
                <c:pt idx="677">
                  <c:v>45365</c:v>
                </c:pt>
                <c:pt idx="678">
                  <c:v>45366</c:v>
                </c:pt>
                <c:pt idx="679">
                  <c:v>45367</c:v>
                </c:pt>
                <c:pt idx="680">
                  <c:v>45368</c:v>
                </c:pt>
                <c:pt idx="681">
                  <c:v>45369</c:v>
                </c:pt>
                <c:pt idx="682">
                  <c:v>45370</c:v>
                </c:pt>
                <c:pt idx="683">
                  <c:v>45371</c:v>
                </c:pt>
                <c:pt idx="684">
                  <c:v>45372</c:v>
                </c:pt>
                <c:pt idx="685">
                  <c:v>45373</c:v>
                </c:pt>
                <c:pt idx="686">
                  <c:v>45374</c:v>
                </c:pt>
                <c:pt idx="687">
                  <c:v>45375</c:v>
                </c:pt>
                <c:pt idx="688">
                  <c:v>45376</c:v>
                </c:pt>
                <c:pt idx="689">
                  <c:v>45377</c:v>
                </c:pt>
                <c:pt idx="690">
                  <c:v>45378</c:v>
                </c:pt>
                <c:pt idx="691">
                  <c:v>45379</c:v>
                </c:pt>
                <c:pt idx="692">
                  <c:v>45380</c:v>
                </c:pt>
                <c:pt idx="693">
                  <c:v>45381</c:v>
                </c:pt>
                <c:pt idx="694">
                  <c:v>45382</c:v>
                </c:pt>
                <c:pt idx="695">
                  <c:v>45383</c:v>
                </c:pt>
                <c:pt idx="696">
                  <c:v>45384</c:v>
                </c:pt>
                <c:pt idx="697">
                  <c:v>45385</c:v>
                </c:pt>
                <c:pt idx="698">
                  <c:v>45386</c:v>
                </c:pt>
                <c:pt idx="699">
                  <c:v>45387</c:v>
                </c:pt>
                <c:pt idx="700">
                  <c:v>45388</c:v>
                </c:pt>
                <c:pt idx="701">
                  <c:v>45389</c:v>
                </c:pt>
                <c:pt idx="702">
                  <c:v>45390</c:v>
                </c:pt>
                <c:pt idx="703">
                  <c:v>45391</c:v>
                </c:pt>
                <c:pt idx="704">
                  <c:v>45392</c:v>
                </c:pt>
                <c:pt idx="705">
                  <c:v>45393</c:v>
                </c:pt>
                <c:pt idx="706">
                  <c:v>45394</c:v>
                </c:pt>
                <c:pt idx="707">
                  <c:v>45395</c:v>
                </c:pt>
                <c:pt idx="708">
                  <c:v>45396</c:v>
                </c:pt>
                <c:pt idx="709">
                  <c:v>45397</c:v>
                </c:pt>
                <c:pt idx="710">
                  <c:v>45398</c:v>
                </c:pt>
                <c:pt idx="711">
                  <c:v>45399</c:v>
                </c:pt>
                <c:pt idx="712">
                  <c:v>45400</c:v>
                </c:pt>
                <c:pt idx="713">
                  <c:v>45401</c:v>
                </c:pt>
                <c:pt idx="714">
                  <c:v>45402</c:v>
                </c:pt>
                <c:pt idx="715">
                  <c:v>45403</c:v>
                </c:pt>
                <c:pt idx="716">
                  <c:v>45404</c:v>
                </c:pt>
                <c:pt idx="717">
                  <c:v>45405</c:v>
                </c:pt>
                <c:pt idx="718">
                  <c:v>45406</c:v>
                </c:pt>
                <c:pt idx="719">
                  <c:v>45407</c:v>
                </c:pt>
                <c:pt idx="720">
                  <c:v>45408</c:v>
                </c:pt>
                <c:pt idx="721">
                  <c:v>45409</c:v>
                </c:pt>
                <c:pt idx="722">
                  <c:v>45410</c:v>
                </c:pt>
                <c:pt idx="723">
                  <c:v>45411</c:v>
                </c:pt>
                <c:pt idx="724">
                  <c:v>45412</c:v>
                </c:pt>
                <c:pt idx="725">
                  <c:v>45413</c:v>
                </c:pt>
                <c:pt idx="726">
                  <c:v>45414</c:v>
                </c:pt>
                <c:pt idx="727">
                  <c:v>45415</c:v>
                </c:pt>
                <c:pt idx="728">
                  <c:v>45418</c:v>
                </c:pt>
                <c:pt idx="729">
                  <c:v>45419</c:v>
                </c:pt>
                <c:pt idx="730">
                  <c:v>45420</c:v>
                </c:pt>
                <c:pt idx="731">
                  <c:v>45421</c:v>
                </c:pt>
                <c:pt idx="732">
                  <c:v>45422</c:v>
                </c:pt>
                <c:pt idx="733">
                  <c:v>45425</c:v>
                </c:pt>
                <c:pt idx="734">
                  <c:v>45426</c:v>
                </c:pt>
                <c:pt idx="735">
                  <c:v>45427</c:v>
                </c:pt>
                <c:pt idx="736">
                  <c:v>45428</c:v>
                </c:pt>
                <c:pt idx="737">
                  <c:v>45429</c:v>
                </c:pt>
                <c:pt idx="738">
                  <c:v>45432</c:v>
                </c:pt>
                <c:pt idx="739">
                  <c:v>45433</c:v>
                </c:pt>
                <c:pt idx="740">
                  <c:v>45434</c:v>
                </c:pt>
                <c:pt idx="741">
                  <c:v>45435</c:v>
                </c:pt>
                <c:pt idx="742">
                  <c:v>45436</c:v>
                </c:pt>
                <c:pt idx="743">
                  <c:v>45439</c:v>
                </c:pt>
                <c:pt idx="744">
                  <c:v>45440</c:v>
                </c:pt>
                <c:pt idx="745">
                  <c:v>45441</c:v>
                </c:pt>
                <c:pt idx="746">
                  <c:v>45442</c:v>
                </c:pt>
                <c:pt idx="747">
                  <c:v>45443</c:v>
                </c:pt>
                <c:pt idx="748">
                  <c:v>45446</c:v>
                </c:pt>
                <c:pt idx="749">
                  <c:v>45447</c:v>
                </c:pt>
                <c:pt idx="750">
                  <c:v>45448</c:v>
                </c:pt>
                <c:pt idx="751">
                  <c:v>45449</c:v>
                </c:pt>
                <c:pt idx="752">
                  <c:v>45450</c:v>
                </c:pt>
                <c:pt idx="753">
                  <c:v>45453</c:v>
                </c:pt>
                <c:pt idx="754">
                  <c:v>45454</c:v>
                </c:pt>
                <c:pt idx="755">
                  <c:v>45455</c:v>
                </c:pt>
                <c:pt idx="756">
                  <c:v>45456</c:v>
                </c:pt>
                <c:pt idx="757">
                  <c:v>45457</c:v>
                </c:pt>
                <c:pt idx="758">
                  <c:v>45460</c:v>
                </c:pt>
                <c:pt idx="759">
                  <c:v>45461</c:v>
                </c:pt>
                <c:pt idx="760">
                  <c:v>45462</c:v>
                </c:pt>
                <c:pt idx="761">
                  <c:v>45463</c:v>
                </c:pt>
                <c:pt idx="762">
                  <c:v>45464</c:v>
                </c:pt>
                <c:pt idx="763">
                  <c:v>45467</c:v>
                </c:pt>
                <c:pt idx="764">
                  <c:v>45468</c:v>
                </c:pt>
                <c:pt idx="765">
                  <c:v>45469</c:v>
                </c:pt>
                <c:pt idx="766">
                  <c:v>45470</c:v>
                </c:pt>
                <c:pt idx="767">
                  <c:v>45471</c:v>
                </c:pt>
                <c:pt idx="768">
                  <c:v>45474</c:v>
                </c:pt>
                <c:pt idx="769">
                  <c:v>45475</c:v>
                </c:pt>
                <c:pt idx="770">
                  <c:v>45476</c:v>
                </c:pt>
                <c:pt idx="771">
                  <c:v>45477</c:v>
                </c:pt>
                <c:pt idx="772">
                  <c:v>45478</c:v>
                </c:pt>
                <c:pt idx="773">
                  <c:v>45481</c:v>
                </c:pt>
                <c:pt idx="774">
                  <c:v>45482</c:v>
                </c:pt>
                <c:pt idx="775">
                  <c:v>45483</c:v>
                </c:pt>
                <c:pt idx="776">
                  <c:v>45484</c:v>
                </c:pt>
                <c:pt idx="777">
                  <c:v>45485</c:v>
                </c:pt>
                <c:pt idx="778">
                  <c:v>45488</c:v>
                </c:pt>
                <c:pt idx="779">
                  <c:v>45489</c:v>
                </c:pt>
                <c:pt idx="780">
                  <c:v>45490</c:v>
                </c:pt>
                <c:pt idx="781">
                  <c:v>45491</c:v>
                </c:pt>
                <c:pt idx="782">
                  <c:v>45492</c:v>
                </c:pt>
                <c:pt idx="783">
                  <c:v>45495</c:v>
                </c:pt>
                <c:pt idx="784">
                  <c:v>45496</c:v>
                </c:pt>
                <c:pt idx="785">
                  <c:v>45497</c:v>
                </c:pt>
                <c:pt idx="786">
                  <c:v>45498</c:v>
                </c:pt>
                <c:pt idx="787">
                  <c:v>45499</c:v>
                </c:pt>
                <c:pt idx="788">
                  <c:v>45502</c:v>
                </c:pt>
                <c:pt idx="789">
                  <c:v>45503</c:v>
                </c:pt>
                <c:pt idx="790">
                  <c:v>45504</c:v>
                </c:pt>
                <c:pt idx="791">
                  <c:v>45505</c:v>
                </c:pt>
                <c:pt idx="792">
                  <c:v>45506</c:v>
                </c:pt>
                <c:pt idx="793">
                  <c:v>45509</c:v>
                </c:pt>
                <c:pt idx="794">
                  <c:v>45510</c:v>
                </c:pt>
                <c:pt idx="795">
                  <c:v>45511</c:v>
                </c:pt>
                <c:pt idx="796">
                  <c:v>45512</c:v>
                </c:pt>
                <c:pt idx="797">
                  <c:v>45513</c:v>
                </c:pt>
                <c:pt idx="798">
                  <c:v>45516</c:v>
                </c:pt>
                <c:pt idx="799">
                  <c:v>45517</c:v>
                </c:pt>
                <c:pt idx="800">
                  <c:v>45518</c:v>
                </c:pt>
                <c:pt idx="801">
                  <c:v>45519</c:v>
                </c:pt>
                <c:pt idx="802">
                  <c:v>45520</c:v>
                </c:pt>
                <c:pt idx="803">
                  <c:v>45523</c:v>
                </c:pt>
                <c:pt idx="804">
                  <c:v>45524</c:v>
                </c:pt>
                <c:pt idx="805">
                  <c:v>45525</c:v>
                </c:pt>
                <c:pt idx="806">
                  <c:v>45526</c:v>
                </c:pt>
                <c:pt idx="807">
                  <c:v>45527</c:v>
                </c:pt>
                <c:pt idx="808">
                  <c:v>45530</c:v>
                </c:pt>
                <c:pt idx="809">
                  <c:v>45531</c:v>
                </c:pt>
                <c:pt idx="810">
                  <c:v>45532</c:v>
                </c:pt>
                <c:pt idx="811">
                  <c:v>45533</c:v>
                </c:pt>
                <c:pt idx="812">
                  <c:v>45534</c:v>
                </c:pt>
                <c:pt idx="813">
                  <c:v>45537</c:v>
                </c:pt>
                <c:pt idx="814">
                  <c:v>45538</c:v>
                </c:pt>
                <c:pt idx="815">
                  <c:v>45539</c:v>
                </c:pt>
                <c:pt idx="816">
                  <c:v>45540</c:v>
                </c:pt>
                <c:pt idx="817">
                  <c:v>45541</c:v>
                </c:pt>
                <c:pt idx="818">
                  <c:v>45544</c:v>
                </c:pt>
                <c:pt idx="819">
                  <c:v>45545</c:v>
                </c:pt>
                <c:pt idx="820">
                  <c:v>45546</c:v>
                </c:pt>
                <c:pt idx="821">
                  <c:v>45547</c:v>
                </c:pt>
                <c:pt idx="822">
                  <c:v>45548</c:v>
                </c:pt>
                <c:pt idx="823">
                  <c:v>45551</c:v>
                </c:pt>
                <c:pt idx="824">
                  <c:v>45552</c:v>
                </c:pt>
                <c:pt idx="825">
                  <c:v>45553</c:v>
                </c:pt>
                <c:pt idx="826">
                  <c:v>45554</c:v>
                </c:pt>
                <c:pt idx="827">
                  <c:v>45555</c:v>
                </c:pt>
                <c:pt idx="828">
                  <c:v>45558</c:v>
                </c:pt>
                <c:pt idx="829">
                  <c:v>45559</c:v>
                </c:pt>
                <c:pt idx="830">
                  <c:v>45560</c:v>
                </c:pt>
                <c:pt idx="831">
                  <c:v>45561</c:v>
                </c:pt>
                <c:pt idx="832">
                  <c:v>45562</c:v>
                </c:pt>
                <c:pt idx="833">
                  <c:v>45565</c:v>
                </c:pt>
                <c:pt idx="834">
                  <c:v>45566</c:v>
                </c:pt>
                <c:pt idx="835">
                  <c:v>45567</c:v>
                </c:pt>
                <c:pt idx="836">
                  <c:v>45568</c:v>
                </c:pt>
                <c:pt idx="837">
                  <c:v>45569</c:v>
                </c:pt>
                <c:pt idx="838">
                  <c:v>45572</c:v>
                </c:pt>
                <c:pt idx="839">
                  <c:v>45573</c:v>
                </c:pt>
                <c:pt idx="840">
                  <c:v>45574</c:v>
                </c:pt>
                <c:pt idx="841">
                  <c:v>45575</c:v>
                </c:pt>
                <c:pt idx="842">
                  <c:v>45576</c:v>
                </c:pt>
                <c:pt idx="843">
                  <c:v>45579</c:v>
                </c:pt>
                <c:pt idx="844">
                  <c:v>45580</c:v>
                </c:pt>
                <c:pt idx="845">
                  <c:v>45581</c:v>
                </c:pt>
                <c:pt idx="846">
                  <c:v>45582</c:v>
                </c:pt>
                <c:pt idx="847">
                  <c:v>45583</c:v>
                </c:pt>
                <c:pt idx="848">
                  <c:v>45586</c:v>
                </c:pt>
                <c:pt idx="849">
                  <c:v>45587</c:v>
                </c:pt>
                <c:pt idx="850">
                  <c:v>45588</c:v>
                </c:pt>
                <c:pt idx="851">
                  <c:v>45589</c:v>
                </c:pt>
                <c:pt idx="852">
                  <c:v>45590</c:v>
                </c:pt>
                <c:pt idx="853">
                  <c:v>45593</c:v>
                </c:pt>
                <c:pt idx="854">
                  <c:v>45594</c:v>
                </c:pt>
                <c:pt idx="855">
                  <c:v>45595</c:v>
                </c:pt>
                <c:pt idx="856">
                  <c:v>45596</c:v>
                </c:pt>
                <c:pt idx="857">
                  <c:v>45597</c:v>
                </c:pt>
                <c:pt idx="858">
                  <c:v>45600</c:v>
                </c:pt>
                <c:pt idx="859">
                  <c:v>45601</c:v>
                </c:pt>
                <c:pt idx="860">
                  <c:v>45602</c:v>
                </c:pt>
                <c:pt idx="861">
                  <c:v>45603</c:v>
                </c:pt>
                <c:pt idx="862">
                  <c:v>45604</c:v>
                </c:pt>
                <c:pt idx="863">
                  <c:v>45607</c:v>
                </c:pt>
                <c:pt idx="864">
                  <c:v>45608</c:v>
                </c:pt>
                <c:pt idx="865">
                  <c:v>45609</c:v>
                </c:pt>
                <c:pt idx="866">
                  <c:v>45610</c:v>
                </c:pt>
                <c:pt idx="867">
                  <c:v>45611</c:v>
                </c:pt>
                <c:pt idx="868">
                  <c:v>45614</c:v>
                </c:pt>
                <c:pt idx="869">
                  <c:v>45615</c:v>
                </c:pt>
                <c:pt idx="870">
                  <c:v>45616</c:v>
                </c:pt>
                <c:pt idx="871">
                  <c:v>45617</c:v>
                </c:pt>
                <c:pt idx="872">
                  <c:v>45618</c:v>
                </c:pt>
                <c:pt idx="873">
                  <c:v>45621</c:v>
                </c:pt>
                <c:pt idx="874">
                  <c:v>45622</c:v>
                </c:pt>
                <c:pt idx="875">
                  <c:v>45623</c:v>
                </c:pt>
                <c:pt idx="876">
                  <c:v>45624</c:v>
                </c:pt>
                <c:pt idx="877">
                  <c:v>45625</c:v>
                </c:pt>
                <c:pt idx="878">
                  <c:v>45628</c:v>
                </c:pt>
                <c:pt idx="879">
                  <c:v>45629</c:v>
                </c:pt>
                <c:pt idx="880">
                  <c:v>45630</c:v>
                </c:pt>
                <c:pt idx="881">
                  <c:v>45631</c:v>
                </c:pt>
                <c:pt idx="882">
                  <c:v>45632</c:v>
                </c:pt>
                <c:pt idx="883">
                  <c:v>45635</c:v>
                </c:pt>
                <c:pt idx="884">
                  <c:v>45636</c:v>
                </c:pt>
                <c:pt idx="885">
                  <c:v>45637</c:v>
                </c:pt>
                <c:pt idx="886">
                  <c:v>45638</c:v>
                </c:pt>
                <c:pt idx="887">
                  <c:v>45639</c:v>
                </c:pt>
                <c:pt idx="888">
                  <c:v>45642</c:v>
                </c:pt>
                <c:pt idx="889">
                  <c:v>45643</c:v>
                </c:pt>
                <c:pt idx="890">
                  <c:v>45644</c:v>
                </c:pt>
                <c:pt idx="891">
                  <c:v>45645</c:v>
                </c:pt>
                <c:pt idx="892">
                  <c:v>45646</c:v>
                </c:pt>
                <c:pt idx="893">
                  <c:v>45649</c:v>
                </c:pt>
                <c:pt idx="894">
                  <c:v>45650</c:v>
                </c:pt>
                <c:pt idx="895">
                  <c:v>45652</c:v>
                </c:pt>
                <c:pt idx="896">
                  <c:v>45653</c:v>
                </c:pt>
                <c:pt idx="897">
                  <c:v>45656</c:v>
                </c:pt>
                <c:pt idx="898">
                  <c:v>45657</c:v>
                </c:pt>
                <c:pt idx="899">
                  <c:v>45659</c:v>
                </c:pt>
                <c:pt idx="900">
                  <c:v>45660</c:v>
                </c:pt>
                <c:pt idx="901">
                  <c:v>45663</c:v>
                </c:pt>
                <c:pt idx="902">
                  <c:v>45664</c:v>
                </c:pt>
                <c:pt idx="903">
                  <c:v>45665</c:v>
                </c:pt>
                <c:pt idx="904">
                  <c:v>45666</c:v>
                </c:pt>
                <c:pt idx="905">
                  <c:v>45667</c:v>
                </c:pt>
                <c:pt idx="906">
                  <c:v>45670</c:v>
                </c:pt>
                <c:pt idx="907">
                  <c:v>45671</c:v>
                </c:pt>
                <c:pt idx="908">
                  <c:v>45672</c:v>
                </c:pt>
                <c:pt idx="909">
                  <c:v>45673</c:v>
                </c:pt>
                <c:pt idx="910">
                  <c:v>45674</c:v>
                </c:pt>
                <c:pt idx="911">
                  <c:v>45677</c:v>
                </c:pt>
                <c:pt idx="912">
                  <c:v>45678</c:v>
                </c:pt>
                <c:pt idx="913">
                  <c:v>45679</c:v>
                </c:pt>
                <c:pt idx="914">
                  <c:v>45680</c:v>
                </c:pt>
                <c:pt idx="915">
                  <c:v>45681</c:v>
                </c:pt>
                <c:pt idx="916">
                  <c:v>45684</c:v>
                </c:pt>
                <c:pt idx="917">
                  <c:v>45685</c:v>
                </c:pt>
                <c:pt idx="918">
                  <c:v>45686</c:v>
                </c:pt>
                <c:pt idx="919">
                  <c:v>45687</c:v>
                </c:pt>
                <c:pt idx="920">
                  <c:v>45688</c:v>
                </c:pt>
                <c:pt idx="921">
                  <c:v>45691</c:v>
                </c:pt>
                <c:pt idx="922">
                  <c:v>45692</c:v>
                </c:pt>
                <c:pt idx="923">
                  <c:v>45693</c:v>
                </c:pt>
                <c:pt idx="924">
                  <c:v>45694</c:v>
                </c:pt>
                <c:pt idx="925">
                  <c:v>45695</c:v>
                </c:pt>
                <c:pt idx="926">
                  <c:v>45698</c:v>
                </c:pt>
                <c:pt idx="927">
                  <c:v>45699</c:v>
                </c:pt>
                <c:pt idx="928">
                  <c:v>45700</c:v>
                </c:pt>
                <c:pt idx="929">
                  <c:v>45701</c:v>
                </c:pt>
                <c:pt idx="930">
                  <c:v>45702</c:v>
                </c:pt>
                <c:pt idx="931">
                  <c:v>45705</c:v>
                </c:pt>
                <c:pt idx="932">
                  <c:v>45706</c:v>
                </c:pt>
                <c:pt idx="933">
                  <c:v>45707</c:v>
                </c:pt>
                <c:pt idx="934">
                  <c:v>45708</c:v>
                </c:pt>
                <c:pt idx="935">
                  <c:v>45709</c:v>
                </c:pt>
                <c:pt idx="936">
                  <c:v>45712</c:v>
                </c:pt>
                <c:pt idx="937">
                  <c:v>45713</c:v>
                </c:pt>
                <c:pt idx="938">
                  <c:v>45714</c:v>
                </c:pt>
                <c:pt idx="939">
                  <c:v>45715</c:v>
                </c:pt>
                <c:pt idx="940">
                  <c:v>45716</c:v>
                </c:pt>
                <c:pt idx="941">
                  <c:v>45719</c:v>
                </c:pt>
                <c:pt idx="942">
                  <c:v>45720</c:v>
                </c:pt>
                <c:pt idx="943">
                  <c:v>45721</c:v>
                </c:pt>
                <c:pt idx="944">
                  <c:v>45722</c:v>
                </c:pt>
                <c:pt idx="945">
                  <c:v>45723</c:v>
                </c:pt>
                <c:pt idx="946">
                  <c:v>45726</c:v>
                </c:pt>
                <c:pt idx="947">
                  <c:v>45727</c:v>
                </c:pt>
                <c:pt idx="948">
                  <c:v>45728</c:v>
                </c:pt>
                <c:pt idx="949">
                  <c:v>45729</c:v>
                </c:pt>
                <c:pt idx="950">
                  <c:v>45730</c:v>
                </c:pt>
                <c:pt idx="951">
                  <c:v>45733</c:v>
                </c:pt>
                <c:pt idx="952">
                  <c:v>45734</c:v>
                </c:pt>
                <c:pt idx="953">
                  <c:v>45735</c:v>
                </c:pt>
                <c:pt idx="954">
                  <c:v>45736</c:v>
                </c:pt>
                <c:pt idx="955">
                  <c:v>45737</c:v>
                </c:pt>
                <c:pt idx="956">
                  <c:v>45740</c:v>
                </c:pt>
                <c:pt idx="957">
                  <c:v>45741</c:v>
                </c:pt>
                <c:pt idx="958">
                  <c:v>45742</c:v>
                </c:pt>
                <c:pt idx="959">
                  <c:v>45743</c:v>
                </c:pt>
                <c:pt idx="960">
                  <c:v>45744</c:v>
                </c:pt>
                <c:pt idx="961">
                  <c:v>45747</c:v>
                </c:pt>
                <c:pt idx="962">
                  <c:v>45748</c:v>
                </c:pt>
                <c:pt idx="963">
                  <c:v>45749</c:v>
                </c:pt>
                <c:pt idx="964">
                  <c:v>45750</c:v>
                </c:pt>
                <c:pt idx="965">
                  <c:v>45751</c:v>
                </c:pt>
                <c:pt idx="966">
                  <c:v>45754</c:v>
                </c:pt>
                <c:pt idx="967">
                  <c:v>45755</c:v>
                </c:pt>
                <c:pt idx="968">
                  <c:v>45756</c:v>
                </c:pt>
                <c:pt idx="969">
                  <c:v>45757</c:v>
                </c:pt>
                <c:pt idx="970">
                  <c:v>45758</c:v>
                </c:pt>
                <c:pt idx="971">
                  <c:v>45761</c:v>
                </c:pt>
                <c:pt idx="972">
                  <c:v>45762</c:v>
                </c:pt>
                <c:pt idx="973">
                  <c:v>45763</c:v>
                </c:pt>
                <c:pt idx="974">
                  <c:v>45764</c:v>
                </c:pt>
                <c:pt idx="975">
                  <c:v>45768</c:v>
                </c:pt>
                <c:pt idx="976">
                  <c:v>45769</c:v>
                </c:pt>
                <c:pt idx="977">
                  <c:v>45770</c:v>
                </c:pt>
                <c:pt idx="978">
                  <c:v>45771</c:v>
                </c:pt>
                <c:pt idx="979">
                  <c:v>45772</c:v>
                </c:pt>
                <c:pt idx="980">
                  <c:v>45775</c:v>
                </c:pt>
                <c:pt idx="981">
                  <c:v>45776</c:v>
                </c:pt>
                <c:pt idx="982">
                  <c:v>45777</c:v>
                </c:pt>
                <c:pt idx="983">
                  <c:v>45778</c:v>
                </c:pt>
                <c:pt idx="984">
                  <c:v>45779</c:v>
                </c:pt>
                <c:pt idx="985">
                  <c:v>45782</c:v>
                </c:pt>
                <c:pt idx="986">
                  <c:v>45783</c:v>
                </c:pt>
                <c:pt idx="987">
                  <c:v>45784</c:v>
                </c:pt>
                <c:pt idx="988">
                  <c:v>45785</c:v>
                </c:pt>
                <c:pt idx="989">
                  <c:v>45786</c:v>
                </c:pt>
                <c:pt idx="990">
                  <c:v>45789</c:v>
                </c:pt>
                <c:pt idx="991">
                  <c:v>45790</c:v>
                </c:pt>
                <c:pt idx="992">
                  <c:v>45791</c:v>
                </c:pt>
                <c:pt idx="993">
                  <c:v>45792</c:v>
                </c:pt>
                <c:pt idx="994">
                  <c:v>45793</c:v>
                </c:pt>
                <c:pt idx="995">
                  <c:v>45796</c:v>
                </c:pt>
                <c:pt idx="996">
                  <c:v>45797</c:v>
                </c:pt>
                <c:pt idx="997">
                  <c:v>45798</c:v>
                </c:pt>
                <c:pt idx="998">
                  <c:v>45799</c:v>
                </c:pt>
                <c:pt idx="999">
                  <c:v>45800</c:v>
                </c:pt>
                <c:pt idx="1000">
                  <c:v>45804</c:v>
                </c:pt>
                <c:pt idx="1001">
                  <c:v>45805</c:v>
                </c:pt>
                <c:pt idx="1002">
                  <c:v>45806</c:v>
                </c:pt>
                <c:pt idx="1003">
                  <c:v>45807</c:v>
                </c:pt>
                <c:pt idx="1004">
                  <c:v>45810</c:v>
                </c:pt>
                <c:pt idx="1005">
                  <c:v>45811</c:v>
                </c:pt>
                <c:pt idx="1006">
                  <c:v>45812</c:v>
                </c:pt>
                <c:pt idx="1007">
                  <c:v>45813</c:v>
                </c:pt>
                <c:pt idx="1008">
                  <c:v>45814</c:v>
                </c:pt>
                <c:pt idx="1009">
                  <c:v>45817</c:v>
                </c:pt>
                <c:pt idx="1010">
                  <c:v>45818</c:v>
                </c:pt>
                <c:pt idx="1011">
                  <c:v>45819</c:v>
                </c:pt>
                <c:pt idx="1012">
                  <c:v>45820</c:v>
                </c:pt>
                <c:pt idx="1013">
                  <c:v>45821</c:v>
                </c:pt>
                <c:pt idx="1014">
                  <c:v>45824</c:v>
                </c:pt>
                <c:pt idx="1015">
                  <c:v>45825</c:v>
                </c:pt>
                <c:pt idx="1016">
                  <c:v>45826</c:v>
                </c:pt>
                <c:pt idx="1017">
                  <c:v>45827</c:v>
                </c:pt>
                <c:pt idx="1018">
                  <c:v>45828</c:v>
                </c:pt>
                <c:pt idx="1019">
                  <c:v>45831</c:v>
                </c:pt>
                <c:pt idx="1020">
                  <c:v>45832</c:v>
                </c:pt>
                <c:pt idx="1021">
                  <c:v>45833</c:v>
                </c:pt>
                <c:pt idx="1022">
                  <c:v>45834</c:v>
                </c:pt>
                <c:pt idx="1023">
                  <c:v>45835</c:v>
                </c:pt>
                <c:pt idx="1024">
                  <c:v>45838</c:v>
                </c:pt>
                <c:pt idx="1025">
                  <c:v>45839</c:v>
                </c:pt>
                <c:pt idx="1026">
                  <c:v>45840</c:v>
                </c:pt>
                <c:pt idx="1027">
                  <c:v>45841</c:v>
                </c:pt>
                <c:pt idx="1028">
                  <c:v>45842</c:v>
                </c:pt>
                <c:pt idx="1029">
                  <c:v>45845</c:v>
                </c:pt>
                <c:pt idx="1030">
                  <c:v>45846</c:v>
                </c:pt>
                <c:pt idx="1031">
                  <c:v>45847</c:v>
                </c:pt>
                <c:pt idx="1032">
                  <c:v>45848</c:v>
                </c:pt>
                <c:pt idx="1033">
                  <c:v>45849</c:v>
                </c:pt>
                <c:pt idx="1034">
                  <c:v>45852</c:v>
                </c:pt>
                <c:pt idx="1035">
                  <c:v>45853</c:v>
                </c:pt>
                <c:pt idx="1036">
                  <c:v>45854</c:v>
                </c:pt>
                <c:pt idx="1037">
                  <c:v>45855</c:v>
                </c:pt>
                <c:pt idx="1038">
                  <c:v>45856</c:v>
                </c:pt>
                <c:pt idx="1039">
                  <c:v>45859</c:v>
                </c:pt>
                <c:pt idx="1040">
                  <c:v>45860</c:v>
                </c:pt>
                <c:pt idx="1041">
                  <c:v>45861</c:v>
                </c:pt>
                <c:pt idx="1042">
                  <c:v>45862</c:v>
                </c:pt>
                <c:pt idx="1043">
                  <c:v>45863</c:v>
                </c:pt>
                <c:pt idx="1044">
                  <c:v>45866</c:v>
                </c:pt>
                <c:pt idx="1045">
                  <c:v>45867</c:v>
                </c:pt>
                <c:pt idx="1046">
                  <c:v>45868</c:v>
                </c:pt>
                <c:pt idx="1047">
                  <c:v>45869</c:v>
                </c:pt>
                <c:pt idx="1048">
                  <c:v>45870</c:v>
                </c:pt>
                <c:pt idx="1049">
                  <c:v>45873</c:v>
                </c:pt>
                <c:pt idx="1050">
                  <c:v>45874</c:v>
                </c:pt>
                <c:pt idx="1051">
                  <c:v>45875</c:v>
                </c:pt>
                <c:pt idx="1052">
                  <c:v>45876</c:v>
                </c:pt>
                <c:pt idx="1053">
                  <c:v>45877</c:v>
                </c:pt>
                <c:pt idx="1054">
                  <c:v>45880</c:v>
                </c:pt>
                <c:pt idx="1055">
                  <c:v>45881</c:v>
                </c:pt>
                <c:pt idx="1056">
                  <c:v>45882</c:v>
                </c:pt>
                <c:pt idx="1057">
                  <c:v>45883</c:v>
                </c:pt>
                <c:pt idx="1058">
                  <c:v>45884</c:v>
                </c:pt>
                <c:pt idx="1059">
                  <c:v>45887</c:v>
                </c:pt>
                <c:pt idx="1060">
                  <c:v>45888</c:v>
                </c:pt>
                <c:pt idx="1061">
                  <c:v>45889</c:v>
                </c:pt>
                <c:pt idx="1062">
                  <c:v>45890</c:v>
                </c:pt>
                <c:pt idx="1063">
                  <c:v>45891</c:v>
                </c:pt>
                <c:pt idx="1064">
                  <c:v>45894</c:v>
                </c:pt>
                <c:pt idx="1065">
                  <c:v>45895</c:v>
                </c:pt>
                <c:pt idx="1066">
                  <c:v>45896</c:v>
                </c:pt>
                <c:pt idx="1067">
                  <c:v>45897</c:v>
                </c:pt>
                <c:pt idx="1068">
                  <c:v>45898</c:v>
                </c:pt>
                <c:pt idx="1069">
                  <c:v>45901</c:v>
                </c:pt>
                <c:pt idx="1070">
                  <c:v>45902</c:v>
                </c:pt>
                <c:pt idx="1071">
                  <c:v>45903</c:v>
                </c:pt>
                <c:pt idx="1072">
                  <c:v>45904</c:v>
                </c:pt>
                <c:pt idx="1073">
                  <c:v>45905</c:v>
                </c:pt>
                <c:pt idx="1074">
                  <c:v>45908</c:v>
                </c:pt>
                <c:pt idx="1075">
                  <c:v>45909</c:v>
                </c:pt>
                <c:pt idx="1076">
                  <c:v>45910</c:v>
                </c:pt>
                <c:pt idx="1077">
                  <c:v>45911</c:v>
                </c:pt>
                <c:pt idx="1078">
                  <c:v>45912</c:v>
                </c:pt>
                <c:pt idx="1079">
                  <c:v>45915</c:v>
                </c:pt>
                <c:pt idx="1080">
                  <c:v>45916</c:v>
                </c:pt>
                <c:pt idx="1081">
                  <c:v>45917</c:v>
                </c:pt>
                <c:pt idx="1082">
                  <c:v>45918</c:v>
                </c:pt>
                <c:pt idx="1083">
                  <c:v>45919</c:v>
                </c:pt>
                <c:pt idx="1084">
                  <c:v>45922</c:v>
                </c:pt>
                <c:pt idx="1085">
                  <c:v>45923</c:v>
                </c:pt>
                <c:pt idx="1086">
                  <c:v>45924</c:v>
                </c:pt>
                <c:pt idx="1087">
                  <c:v>45925</c:v>
                </c:pt>
                <c:pt idx="1088">
                  <c:v>45926</c:v>
                </c:pt>
                <c:pt idx="1089">
                  <c:v>45929</c:v>
                </c:pt>
                <c:pt idx="1090">
                  <c:v>45930</c:v>
                </c:pt>
                <c:pt idx="1091">
                  <c:v>45931</c:v>
                </c:pt>
                <c:pt idx="1092">
                  <c:v>45932</c:v>
                </c:pt>
                <c:pt idx="1093">
                  <c:v>45933</c:v>
                </c:pt>
                <c:pt idx="1094">
                  <c:v>45936</c:v>
                </c:pt>
                <c:pt idx="1095">
                  <c:v>45937</c:v>
                </c:pt>
                <c:pt idx="1096">
                  <c:v>45938</c:v>
                </c:pt>
                <c:pt idx="1097">
                  <c:v>45939</c:v>
                </c:pt>
                <c:pt idx="1098">
                  <c:v>45940</c:v>
                </c:pt>
                <c:pt idx="1099">
                  <c:v>45943</c:v>
                </c:pt>
                <c:pt idx="1100">
                  <c:v>45944</c:v>
                </c:pt>
                <c:pt idx="1101">
                  <c:v>45945</c:v>
                </c:pt>
                <c:pt idx="1102">
                  <c:v>45946</c:v>
                </c:pt>
                <c:pt idx="1103">
                  <c:v>45947</c:v>
                </c:pt>
                <c:pt idx="1104">
                  <c:v>45950</c:v>
                </c:pt>
                <c:pt idx="1105">
                  <c:v>45951</c:v>
                </c:pt>
                <c:pt idx="1106">
                  <c:v>45952</c:v>
                </c:pt>
                <c:pt idx="1107">
                  <c:v>45953</c:v>
                </c:pt>
                <c:pt idx="1108">
                  <c:v>45954</c:v>
                </c:pt>
                <c:pt idx="1109">
                  <c:v>45957</c:v>
                </c:pt>
                <c:pt idx="1110">
                  <c:v>45958</c:v>
                </c:pt>
                <c:pt idx="1111">
                  <c:v>45959</c:v>
                </c:pt>
                <c:pt idx="1112">
                  <c:v>45960</c:v>
                </c:pt>
                <c:pt idx="1113">
                  <c:v>45961</c:v>
                </c:pt>
                <c:pt idx="1114">
                  <c:v>45964</c:v>
                </c:pt>
                <c:pt idx="1115">
                  <c:v>45965</c:v>
                </c:pt>
                <c:pt idx="1116">
                  <c:v>45966</c:v>
                </c:pt>
              </c:numCache>
            </c:numRef>
          </c:cat>
          <c:val>
            <c:numRef>
              <c:f>HISTORICAL!$B$3:$B$1119</c:f>
              <c:numCache>
                <c:formatCode>0.00</c:formatCode>
                <c:ptCount val="1117"/>
                <c:pt idx="0">
                  <c:v>1925.5</c:v>
                </c:pt>
                <c:pt idx="1">
                  <c:v>3226</c:v>
                </c:pt>
                <c:pt idx="2">
                  <c:v>2456.5</c:v>
                </c:pt>
                <c:pt idx="3">
                  <c:v>2186.8000000000002</c:v>
                </c:pt>
                <c:pt idx="4">
                  <c:v>616</c:v>
                </c:pt>
                <c:pt idx="5">
                  <c:v>616</c:v>
                </c:pt>
                <c:pt idx="6">
                  <c:v>616</c:v>
                </c:pt>
                <c:pt idx="7">
                  <c:v>770</c:v>
                </c:pt>
                <c:pt idx="8">
                  <c:v>904.8</c:v>
                </c:pt>
                <c:pt idx="9">
                  <c:v>2060.9</c:v>
                </c:pt>
                <c:pt idx="10">
                  <c:v>3344.1</c:v>
                </c:pt>
                <c:pt idx="11">
                  <c:v>5277</c:v>
                </c:pt>
                <c:pt idx="12">
                  <c:v>5277</c:v>
                </c:pt>
                <c:pt idx="13">
                  <c:v>5277</c:v>
                </c:pt>
                <c:pt idx="14">
                  <c:v>5813.7</c:v>
                </c:pt>
                <c:pt idx="15">
                  <c:v>4684.3</c:v>
                </c:pt>
                <c:pt idx="16">
                  <c:v>4400.8999999999996</c:v>
                </c:pt>
                <c:pt idx="17">
                  <c:v>5496.4</c:v>
                </c:pt>
                <c:pt idx="18">
                  <c:v>6844.2</c:v>
                </c:pt>
                <c:pt idx="19">
                  <c:v>6844.2</c:v>
                </c:pt>
                <c:pt idx="20">
                  <c:v>6844.2</c:v>
                </c:pt>
                <c:pt idx="21">
                  <c:v>6807.1</c:v>
                </c:pt>
                <c:pt idx="22">
                  <c:v>7446</c:v>
                </c:pt>
                <c:pt idx="23">
                  <c:v>7620.9</c:v>
                </c:pt>
                <c:pt idx="24">
                  <c:v>8680.4</c:v>
                </c:pt>
                <c:pt idx="25">
                  <c:v>7669</c:v>
                </c:pt>
                <c:pt idx="26">
                  <c:v>7669</c:v>
                </c:pt>
                <c:pt idx="27">
                  <c:v>7669</c:v>
                </c:pt>
                <c:pt idx="28">
                  <c:v>7754</c:v>
                </c:pt>
                <c:pt idx="29">
                  <c:v>7575.1</c:v>
                </c:pt>
                <c:pt idx="30">
                  <c:v>7382.5</c:v>
                </c:pt>
                <c:pt idx="31">
                  <c:v>7146.1</c:v>
                </c:pt>
                <c:pt idx="32">
                  <c:v>7112.5</c:v>
                </c:pt>
                <c:pt idx="33">
                  <c:v>7112.5</c:v>
                </c:pt>
                <c:pt idx="34">
                  <c:v>7112.5</c:v>
                </c:pt>
                <c:pt idx="35">
                  <c:v>7631.4</c:v>
                </c:pt>
                <c:pt idx="36">
                  <c:v>8039.8</c:v>
                </c:pt>
                <c:pt idx="37">
                  <c:v>8450.7999999999993</c:v>
                </c:pt>
                <c:pt idx="38">
                  <c:v>7637.1</c:v>
                </c:pt>
                <c:pt idx="39">
                  <c:v>7910.6</c:v>
                </c:pt>
                <c:pt idx="40">
                  <c:v>7910.6</c:v>
                </c:pt>
                <c:pt idx="41">
                  <c:v>7910.6</c:v>
                </c:pt>
                <c:pt idx="42">
                  <c:v>7375</c:v>
                </c:pt>
                <c:pt idx="43">
                  <c:v>10387.5</c:v>
                </c:pt>
                <c:pt idx="44">
                  <c:v>12155.9</c:v>
                </c:pt>
                <c:pt idx="45">
                  <c:v>13864.9</c:v>
                </c:pt>
                <c:pt idx="46">
                  <c:v>14753.3</c:v>
                </c:pt>
                <c:pt idx="47">
                  <c:v>14753.3</c:v>
                </c:pt>
                <c:pt idx="48">
                  <c:v>14753.3</c:v>
                </c:pt>
                <c:pt idx="49">
                  <c:v>16208.1</c:v>
                </c:pt>
                <c:pt idx="50">
                  <c:v>15575.8</c:v>
                </c:pt>
                <c:pt idx="51">
                  <c:v>15649.5</c:v>
                </c:pt>
                <c:pt idx="52">
                  <c:v>17204</c:v>
                </c:pt>
                <c:pt idx="53">
                  <c:v>17334.599999999999</c:v>
                </c:pt>
                <c:pt idx="54">
                  <c:v>17334.599999999999</c:v>
                </c:pt>
                <c:pt idx="55">
                  <c:v>17334.599999999999</c:v>
                </c:pt>
                <c:pt idx="56">
                  <c:v>17877.099999999999</c:v>
                </c:pt>
                <c:pt idx="57">
                  <c:v>18158.3</c:v>
                </c:pt>
                <c:pt idx="58">
                  <c:v>17674.400000000001</c:v>
                </c:pt>
                <c:pt idx="59">
                  <c:v>16534.900000000001</c:v>
                </c:pt>
                <c:pt idx="60">
                  <c:v>17722.5</c:v>
                </c:pt>
                <c:pt idx="61">
                  <c:v>17722.5</c:v>
                </c:pt>
                <c:pt idx="62">
                  <c:v>17722.5</c:v>
                </c:pt>
                <c:pt idx="63">
                  <c:v>18731.2</c:v>
                </c:pt>
                <c:pt idx="64">
                  <c:v>19610</c:v>
                </c:pt>
                <c:pt idx="65">
                  <c:v>19515.400000000001</c:v>
                </c:pt>
                <c:pt idx="66">
                  <c:v>19517.5</c:v>
                </c:pt>
                <c:pt idx="67">
                  <c:v>19624.2</c:v>
                </c:pt>
                <c:pt idx="68">
                  <c:v>19624.2</c:v>
                </c:pt>
                <c:pt idx="69">
                  <c:v>19624.2</c:v>
                </c:pt>
                <c:pt idx="70">
                  <c:v>17901.900000000001</c:v>
                </c:pt>
                <c:pt idx="71">
                  <c:v>17854.599999999999</c:v>
                </c:pt>
                <c:pt idx="72">
                  <c:v>19238.7</c:v>
                </c:pt>
                <c:pt idx="73">
                  <c:v>21107.7</c:v>
                </c:pt>
                <c:pt idx="74">
                  <c:v>20503.099999999999</c:v>
                </c:pt>
                <c:pt idx="75">
                  <c:v>20503.099999999999</c:v>
                </c:pt>
                <c:pt idx="76">
                  <c:v>20503.099999999999</c:v>
                </c:pt>
                <c:pt idx="77">
                  <c:v>20407</c:v>
                </c:pt>
                <c:pt idx="78">
                  <c:v>21603.1</c:v>
                </c:pt>
                <c:pt idx="79">
                  <c:v>20822.2</c:v>
                </c:pt>
                <c:pt idx="80">
                  <c:v>20839.5</c:v>
                </c:pt>
                <c:pt idx="81">
                  <c:v>21411.5</c:v>
                </c:pt>
                <c:pt idx="82">
                  <c:v>21411.5</c:v>
                </c:pt>
                <c:pt idx="83">
                  <c:v>21411.5</c:v>
                </c:pt>
                <c:pt idx="84">
                  <c:v>20475.7</c:v>
                </c:pt>
                <c:pt idx="85">
                  <c:v>20503.5</c:v>
                </c:pt>
                <c:pt idx="86">
                  <c:v>21015.3</c:v>
                </c:pt>
                <c:pt idx="87">
                  <c:v>21341.3</c:v>
                </c:pt>
                <c:pt idx="88">
                  <c:v>22435.1</c:v>
                </c:pt>
                <c:pt idx="89">
                  <c:v>22435.1</c:v>
                </c:pt>
                <c:pt idx="90">
                  <c:v>22435.1</c:v>
                </c:pt>
                <c:pt idx="91">
                  <c:v>22072</c:v>
                </c:pt>
                <c:pt idx="92">
                  <c:v>21477.7</c:v>
                </c:pt>
                <c:pt idx="93">
                  <c:v>21999.7</c:v>
                </c:pt>
                <c:pt idx="94">
                  <c:v>18700.2</c:v>
                </c:pt>
                <c:pt idx="95">
                  <c:v>20474.5</c:v>
                </c:pt>
                <c:pt idx="96">
                  <c:v>20474.5</c:v>
                </c:pt>
                <c:pt idx="97">
                  <c:v>20474.5</c:v>
                </c:pt>
                <c:pt idx="98">
                  <c:v>18004.099999999999</c:v>
                </c:pt>
                <c:pt idx="99">
                  <c:v>17664.400000000001</c:v>
                </c:pt>
                <c:pt idx="100">
                  <c:v>18752.7</c:v>
                </c:pt>
                <c:pt idx="101">
                  <c:v>19698.2</c:v>
                </c:pt>
                <c:pt idx="102">
                  <c:v>18861.7</c:v>
                </c:pt>
                <c:pt idx="103">
                  <c:v>18861.7</c:v>
                </c:pt>
                <c:pt idx="104">
                  <c:v>18861.7</c:v>
                </c:pt>
                <c:pt idx="105">
                  <c:v>17718</c:v>
                </c:pt>
                <c:pt idx="106">
                  <c:v>17766.7</c:v>
                </c:pt>
                <c:pt idx="107">
                  <c:v>18749.2</c:v>
                </c:pt>
                <c:pt idx="108">
                  <c:v>19253.599999999999</c:v>
                </c:pt>
                <c:pt idx="109">
                  <c:v>20388.099999999999</c:v>
                </c:pt>
                <c:pt idx="110">
                  <c:v>20388.099999999999</c:v>
                </c:pt>
                <c:pt idx="111">
                  <c:v>20388.099999999999</c:v>
                </c:pt>
                <c:pt idx="112">
                  <c:v>21869.3</c:v>
                </c:pt>
                <c:pt idx="113">
                  <c:v>22414.2</c:v>
                </c:pt>
                <c:pt idx="114">
                  <c:v>21805.5</c:v>
                </c:pt>
                <c:pt idx="115">
                  <c:v>21214</c:v>
                </c:pt>
                <c:pt idx="116">
                  <c:v>19916</c:v>
                </c:pt>
                <c:pt idx="117">
                  <c:v>19916</c:v>
                </c:pt>
                <c:pt idx="118">
                  <c:v>19916</c:v>
                </c:pt>
                <c:pt idx="119">
                  <c:v>20777.7</c:v>
                </c:pt>
                <c:pt idx="120">
                  <c:v>20323.3</c:v>
                </c:pt>
                <c:pt idx="121">
                  <c:v>20527.7</c:v>
                </c:pt>
                <c:pt idx="122">
                  <c:v>20151.900000000001</c:v>
                </c:pt>
                <c:pt idx="123">
                  <c:v>20746.400000000001</c:v>
                </c:pt>
                <c:pt idx="124">
                  <c:v>20746.400000000001</c:v>
                </c:pt>
                <c:pt idx="125">
                  <c:v>20746.400000000001</c:v>
                </c:pt>
                <c:pt idx="126">
                  <c:v>20394.3</c:v>
                </c:pt>
                <c:pt idx="127">
                  <c:v>20008.5</c:v>
                </c:pt>
                <c:pt idx="128">
                  <c:v>19561.3</c:v>
                </c:pt>
                <c:pt idx="129">
                  <c:v>18786.3</c:v>
                </c:pt>
                <c:pt idx="130">
                  <c:v>17844.7</c:v>
                </c:pt>
                <c:pt idx="131">
                  <c:v>17844.7</c:v>
                </c:pt>
                <c:pt idx="132">
                  <c:v>17844.7</c:v>
                </c:pt>
                <c:pt idx="133">
                  <c:v>17015.900000000001</c:v>
                </c:pt>
                <c:pt idx="134">
                  <c:v>17030.7</c:v>
                </c:pt>
                <c:pt idx="135">
                  <c:v>18521.3</c:v>
                </c:pt>
                <c:pt idx="136">
                  <c:v>18782.599999999999</c:v>
                </c:pt>
                <c:pt idx="137">
                  <c:v>20237.7</c:v>
                </c:pt>
                <c:pt idx="138">
                  <c:v>20237.7</c:v>
                </c:pt>
                <c:pt idx="139">
                  <c:v>20237.7</c:v>
                </c:pt>
                <c:pt idx="140">
                  <c:v>21326.5</c:v>
                </c:pt>
                <c:pt idx="141">
                  <c:v>21726.9</c:v>
                </c:pt>
                <c:pt idx="142">
                  <c:v>22177.8</c:v>
                </c:pt>
                <c:pt idx="143">
                  <c:v>22805.7</c:v>
                </c:pt>
                <c:pt idx="144">
                  <c:v>22805.7</c:v>
                </c:pt>
                <c:pt idx="145">
                  <c:v>22805.7</c:v>
                </c:pt>
                <c:pt idx="146">
                  <c:v>22805.7</c:v>
                </c:pt>
                <c:pt idx="147">
                  <c:v>23136.9</c:v>
                </c:pt>
                <c:pt idx="148">
                  <c:v>22337.4</c:v>
                </c:pt>
                <c:pt idx="149">
                  <c:v>24135.3</c:v>
                </c:pt>
                <c:pt idx="150">
                  <c:v>25140.6</c:v>
                </c:pt>
                <c:pt idx="151">
                  <c:v>24230.9</c:v>
                </c:pt>
                <c:pt idx="152">
                  <c:v>24230.9</c:v>
                </c:pt>
                <c:pt idx="153">
                  <c:v>24230.9</c:v>
                </c:pt>
                <c:pt idx="154">
                  <c:v>23705.7</c:v>
                </c:pt>
                <c:pt idx="155">
                  <c:v>24967.200000000001</c:v>
                </c:pt>
                <c:pt idx="156">
                  <c:v>25211.9</c:v>
                </c:pt>
                <c:pt idx="157">
                  <c:v>24562.1</c:v>
                </c:pt>
                <c:pt idx="158">
                  <c:v>24580.5</c:v>
                </c:pt>
                <c:pt idx="159">
                  <c:v>24786.5</c:v>
                </c:pt>
                <c:pt idx="160">
                  <c:v>25238.7</c:v>
                </c:pt>
                <c:pt idx="161">
                  <c:v>25365.7</c:v>
                </c:pt>
                <c:pt idx="162">
                  <c:v>26254.2</c:v>
                </c:pt>
                <c:pt idx="163">
                  <c:v>27086.400000000001</c:v>
                </c:pt>
                <c:pt idx="164">
                  <c:v>27997.200000000001</c:v>
                </c:pt>
                <c:pt idx="165">
                  <c:v>27843.200000000001</c:v>
                </c:pt>
                <c:pt idx="166">
                  <c:v>28172.400000000001</c:v>
                </c:pt>
                <c:pt idx="167">
                  <c:v>27968.2</c:v>
                </c:pt>
                <c:pt idx="168">
                  <c:v>27097.3</c:v>
                </c:pt>
                <c:pt idx="169">
                  <c:v>27956.400000000001</c:v>
                </c:pt>
                <c:pt idx="170">
                  <c:v>28102.7</c:v>
                </c:pt>
                <c:pt idx="171">
                  <c:v>28476.6</c:v>
                </c:pt>
                <c:pt idx="172">
                  <c:v>27476.6</c:v>
                </c:pt>
                <c:pt idx="173">
                  <c:v>27245.3</c:v>
                </c:pt>
                <c:pt idx="174">
                  <c:v>27442.3</c:v>
                </c:pt>
                <c:pt idx="175">
                  <c:v>28235.3</c:v>
                </c:pt>
                <c:pt idx="176">
                  <c:v>28399.7</c:v>
                </c:pt>
                <c:pt idx="177">
                  <c:v>27949.200000000001</c:v>
                </c:pt>
                <c:pt idx="178">
                  <c:v>27138.400000000001</c:v>
                </c:pt>
                <c:pt idx="179">
                  <c:v>26783</c:v>
                </c:pt>
                <c:pt idx="180">
                  <c:v>26796.1</c:v>
                </c:pt>
                <c:pt idx="181">
                  <c:v>27333.8</c:v>
                </c:pt>
                <c:pt idx="182">
                  <c:v>26334.3</c:v>
                </c:pt>
                <c:pt idx="183">
                  <c:v>26988.2</c:v>
                </c:pt>
                <c:pt idx="184">
                  <c:v>26761.1</c:v>
                </c:pt>
                <c:pt idx="185">
                  <c:v>26962.3</c:v>
                </c:pt>
                <c:pt idx="186">
                  <c:v>26563.9</c:v>
                </c:pt>
                <c:pt idx="187">
                  <c:v>27013.3</c:v>
                </c:pt>
                <c:pt idx="188">
                  <c:v>27297.4</c:v>
                </c:pt>
                <c:pt idx="189">
                  <c:v>28166.7</c:v>
                </c:pt>
                <c:pt idx="190">
                  <c:v>28780.5</c:v>
                </c:pt>
                <c:pt idx="191">
                  <c:v>28082.7</c:v>
                </c:pt>
                <c:pt idx="192">
                  <c:v>28224.2</c:v>
                </c:pt>
                <c:pt idx="193">
                  <c:v>27165.7</c:v>
                </c:pt>
                <c:pt idx="194">
                  <c:v>27150.400000000001</c:v>
                </c:pt>
                <c:pt idx="195">
                  <c:v>27205.8</c:v>
                </c:pt>
                <c:pt idx="196">
                  <c:v>26496.5</c:v>
                </c:pt>
                <c:pt idx="197">
                  <c:v>25881.599999999999</c:v>
                </c:pt>
                <c:pt idx="198">
                  <c:v>25632.400000000001</c:v>
                </c:pt>
                <c:pt idx="199">
                  <c:v>26167</c:v>
                </c:pt>
                <c:pt idx="200">
                  <c:v>27076.5</c:v>
                </c:pt>
                <c:pt idx="201">
                  <c:v>27214.5</c:v>
                </c:pt>
                <c:pt idx="202">
                  <c:v>27451.5</c:v>
                </c:pt>
                <c:pt idx="203">
                  <c:v>26738.400000000001</c:v>
                </c:pt>
                <c:pt idx="204">
                  <c:v>27032.799999999999</c:v>
                </c:pt>
                <c:pt idx="205">
                  <c:v>25967.3</c:v>
                </c:pt>
                <c:pt idx="206">
                  <c:v>25574.1</c:v>
                </c:pt>
                <c:pt idx="207">
                  <c:v>25504.799999999999</c:v>
                </c:pt>
                <c:pt idx="208">
                  <c:v>25595.7</c:v>
                </c:pt>
                <c:pt idx="209">
                  <c:v>26425.200000000001</c:v>
                </c:pt>
                <c:pt idx="210">
                  <c:v>26605</c:v>
                </c:pt>
                <c:pt idx="211">
                  <c:v>26788</c:v>
                </c:pt>
                <c:pt idx="212">
                  <c:v>26454.2</c:v>
                </c:pt>
                <c:pt idx="213">
                  <c:v>26298.3</c:v>
                </c:pt>
                <c:pt idx="214">
                  <c:v>26073.5</c:v>
                </c:pt>
                <c:pt idx="215">
                  <c:v>25872</c:v>
                </c:pt>
                <c:pt idx="216">
                  <c:v>25104.3</c:v>
                </c:pt>
                <c:pt idx="217">
                  <c:v>24439.1</c:v>
                </c:pt>
                <c:pt idx="218">
                  <c:v>24364.1</c:v>
                </c:pt>
                <c:pt idx="219">
                  <c:v>25076.3</c:v>
                </c:pt>
                <c:pt idx="220">
                  <c:v>25584.7</c:v>
                </c:pt>
                <c:pt idx="221">
                  <c:v>24743.4</c:v>
                </c:pt>
                <c:pt idx="222">
                  <c:v>23970.2</c:v>
                </c:pt>
                <c:pt idx="223">
                  <c:v>23608.400000000001</c:v>
                </c:pt>
                <c:pt idx="224">
                  <c:v>23415.3</c:v>
                </c:pt>
                <c:pt idx="225">
                  <c:v>23320.2</c:v>
                </c:pt>
                <c:pt idx="226">
                  <c:v>22466.7</c:v>
                </c:pt>
                <c:pt idx="227">
                  <c:v>22033.8</c:v>
                </c:pt>
                <c:pt idx="228">
                  <c:v>22774</c:v>
                </c:pt>
                <c:pt idx="229">
                  <c:v>22894.9</c:v>
                </c:pt>
                <c:pt idx="230">
                  <c:v>23542.1</c:v>
                </c:pt>
                <c:pt idx="231">
                  <c:v>22879.3</c:v>
                </c:pt>
                <c:pt idx="232">
                  <c:v>23356</c:v>
                </c:pt>
                <c:pt idx="233">
                  <c:v>23391.8</c:v>
                </c:pt>
                <c:pt idx="234">
                  <c:v>22940.7</c:v>
                </c:pt>
                <c:pt idx="235">
                  <c:v>23520.3</c:v>
                </c:pt>
                <c:pt idx="236">
                  <c:v>23672.7</c:v>
                </c:pt>
                <c:pt idx="237">
                  <c:v>24237.8</c:v>
                </c:pt>
                <c:pt idx="238">
                  <c:v>24922</c:v>
                </c:pt>
                <c:pt idx="239">
                  <c:v>25241.200000000001</c:v>
                </c:pt>
                <c:pt idx="240">
                  <c:v>25638.3</c:v>
                </c:pt>
                <c:pt idx="241">
                  <c:v>25146.5</c:v>
                </c:pt>
                <c:pt idx="242">
                  <c:v>25243.599999999999</c:v>
                </c:pt>
                <c:pt idx="243">
                  <c:v>25735.8</c:v>
                </c:pt>
                <c:pt idx="244">
                  <c:v>25992.3</c:v>
                </c:pt>
                <c:pt idx="245">
                  <c:v>25823.9</c:v>
                </c:pt>
                <c:pt idx="246">
                  <c:v>25778</c:v>
                </c:pt>
                <c:pt idx="247">
                  <c:v>26117.9</c:v>
                </c:pt>
                <c:pt idx="248">
                  <c:v>26225.9</c:v>
                </c:pt>
                <c:pt idx="249">
                  <c:v>26196.400000000001</c:v>
                </c:pt>
                <c:pt idx="250">
                  <c:v>26075.3</c:v>
                </c:pt>
                <c:pt idx="251">
                  <c:v>25508.1</c:v>
                </c:pt>
                <c:pt idx="252">
                  <c:v>25307.599999999999</c:v>
                </c:pt>
                <c:pt idx="253">
                  <c:v>25217.599999999999</c:v>
                </c:pt>
                <c:pt idx="254">
                  <c:v>25390.7</c:v>
                </c:pt>
                <c:pt idx="255">
                  <c:v>26101.200000000001</c:v>
                </c:pt>
                <c:pt idx="256">
                  <c:v>25755.599999999999</c:v>
                </c:pt>
                <c:pt idx="257">
                  <c:v>25902.799999999999</c:v>
                </c:pt>
                <c:pt idx="258">
                  <c:v>25999.9</c:v>
                </c:pt>
                <c:pt idx="259">
                  <c:v>26378.9</c:v>
                </c:pt>
                <c:pt idx="260">
                  <c:v>26402.5</c:v>
                </c:pt>
                <c:pt idx="261">
                  <c:v>26405.4</c:v>
                </c:pt>
                <c:pt idx="262">
                  <c:v>27397.7</c:v>
                </c:pt>
                <c:pt idx="263">
                  <c:v>27210.7</c:v>
                </c:pt>
                <c:pt idx="264">
                  <c:v>26828.2</c:v>
                </c:pt>
                <c:pt idx="265">
                  <c:v>26331.9</c:v>
                </c:pt>
                <c:pt idx="266">
                  <c:v>26065</c:v>
                </c:pt>
                <c:pt idx="267">
                  <c:v>26551</c:v>
                </c:pt>
                <c:pt idx="268">
                  <c:v>26660</c:v>
                </c:pt>
                <c:pt idx="269">
                  <c:v>27096.3</c:v>
                </c:pt>
                <c:pt idx="270">
                  <c:v>26817.3</c:v>
                </c:pt>
                <c:pt idx="271">
                  <c:v>27140</c:v>
                </c:pt>
                <c:pt idx="272">
                  <c:v>27064.3</c:v>
                </c:pt>
                <c:pt idx="273">
                  <c:v>27470.799999999999</c:v>
                </c:pt>
                <c:pt idx="274">
                  <c:v>27883.1</c:v>
                </c:pt>
                <c:pt idx="275">
                  <c:v>28184.2</c:v>
                </c:pt>
                <c:pt idx="276">
                  <c:v>28008.3</c:v>
                </c:pt>
                <c:pt idx="277">
                  <c:v>28383.599999999999</c:v>
                </c:pt>
                <c:pt idx="278">
                  <c:v>28269</c:v>
                </c:pt>
                <c:pt idx="279">
                  <c:v>27932.9</c:v>
                </c:pt>
                <c:pt idx="280">
                  <c:v>27733.3</c:v>
                </c:pt>
                <c:pt idx="281">
                  <c:v>27991.7</c:v>
                </c:pt>
                <c:pt idx="282">
                  <c:v>27687.3</c:v>
                </c:pt>
                <c:pt idx="283">
                  <c:v>27801.9</c:v>
                </c:pt>
                <c:pt idx="284">
                  <c:v>28237.200000000001</c:v>
                </c:pt>
                <c:pt idx="285">
                  <c:v>27390.6</c:v>
                </c:pt>
                <c:pt idx="286">
                  <c:v>27548.6</c:v>
                </c:pt>
                <c:pt idx="287">
                  <c:v>27522.2</c:v>
                </c:pt>
                <c:pt idx="288">
                  <c:v>27708.1</c:v>
                </c:pt>
                <c:pt idx="289">
                  <c:v>27668.3</c:v>
                </c:pt>
                <c:pt idx="290">
                  <c:v>27250.6</c:v>
                </c:pt>
                <c:pt idx="291">
                  <c:v>26999</c:v>
                </c:pt>
                <c:pt idx="292">
                  <c:v>27150.799999999999</c:v>
                </c:pt>
                <c:pt idx="293">
                  <c:v>27278.5</c:v>
                </c:pt>
                <c:pt idx="294">
                  <c:v>27133.599999999999</c:v>
                </c:pt>
                <c:pt idx="295">
                  <c:v>26719.599999999999</c:v>
                </c:pt>
                <c:pt idx="296">
                  <c:v>26643.1</c:v>
                </c:pt>
                <c:pt idx="297">
                  <c:v>25253.599999999999</c:v>
                </c:pt>
                <c:pt idx="298">
                  <c:v>24390.5</c:v>
                </c:pt>
                <c:pt idx="299">
                  <c:v>25080.400000000001</c:v>
                </c:pt>
                <c:pt idx="300">
                  <c:v>25262.5</c:v>
                </c:pt>
                <c:pt idx="301">
                  <c:v>25939.3</c:v>
                </c:pt>
                <c:pt idx="302">
                  <c:v>26331.3</c:v>
                </c:pt>
                <c:pt idx="303">
                  <c:v>26879.200000000001</c:v>
                </c:pt>
                <c:pt idx="304">
                  <c:v>27284.2</c:v>
                </c:pt>
                <c:pt idx="305">
                  <c:v>27464.799999999999</c:v>
                </c:pt>
                <c:pt idx="306">
                  <c:v>26989</c:v>
                </c:pt>
                <c:pt idx="307">
                  <c:v>26897.8</c:v>
                </c:pt>
                <c:pt idx="308">
                  <c:v>27044.799999999999</c:v>
                </c:pt>
                <c:pt idx="309">
                  <c:v>27041</c:v>
                </c:pt>
                <c:pt idx="310">
                  <c:v>27600.2</c:v>
                </c:pt>
                <c:pt idx="311">
                  <c:v>26657.599999999999</c:v>
                </c:pt>
                <c:pt idx="312">
                  <c:v>26657.599999999999</c:v>
                </c:pt>
                <c:pt idx="313">
                  <c:v>26788.799999999999</c:v>
                </c:pt>
                <c:pt idx="314">
                  <c:v>27170.400000000001</c:v>
                </c:pt>
                <c:pt idx="315">
                  <c:v>27580.400000000001</c:v>
                </c:pt>
                <c:pt idx="316">
                  <c:v>27712.799999999999</c:v>
                </c:pt>
                <c:pt idx="317">
                  <c:v>27391.9</c:v>
                </c:pt>
                <c:pt idx="318">
                  <c:v>27259.599999999999</c:v>
                </c:pt>
                <c:pt idx="319">
                  <c:v>27016.6</c:v>
                </c:pt>
                <c:pt idx="320">
                  <c:v>26700.3</c:v>
                </c:pt>
                <c:pt idx="321">
                  <c:v>26923.8</c:v>
                </c:pt>
                <c:pt idx="322">
                  <c:v>27391.9</c:v>
                </c:pt>
                <c:pt idx="323">
                  <c:v>27842.400000000001</c:v>
                </c:pt>
                <c:pt idx="324">
                  <c:v>28091.200000000001</c:v>
                </c:pt>
                <c:pt idx="325">
                  <c:v>28385.3</c:v>
                </c:pt>
                <c:pt idx="326">
                  <c:v>28413.5</c:v>
                </c:pt>
                <c:pt idx="327">
                  <c:v>28479.4</c:v>
                </c:pt>
                <c:pt idx="328">
                  <c:v>28546.3</c:v>
                </c:pt>
                <c:pt idx="329">
                  <c:v>28546.3</c:v>
                </c:pt>
                <c:pt idx="330">
                  <c:v>28657.1</c:v>
                </c:pt>
                <c:pt idx="331">
                  <c:v>28702.9</c:v>
                </c:pt>
                <c:pt idx="332">
                  <c:v>28100.3</c:v>
                </c:pt>
                <c:pt idx="333">
                  <c:v>28147.5</c:v>
                </c:pt>
                <c:pt idx="334">
                  <c:v>28090.799999999999</c:v>
                </c:pt>
                <c:pt idx="335">
                  <c:v>27639.4</c:v>
                </c:pt>
                <c:pt idx="336">
                  <c:v>26958</c:v>
                </c:pt>
                <c:pt idx="337">
                  <c:v>26997.1</c:v>
                </c:pt>
                <c:pt idx="338">
                  <c:v>26852.9</c:v>
                </c:pt>
                <c:pt idx="339">
                  <c:v>26351.9</c:v>
                </c:pt>
                <c:pt idx="340">
                  <c:v>25936.400000000001</c:v>
                </c:pt>
                <c:pt idx="341">
                  <c:v>25634.1</c:v>
                </c:pt>
                <c:pt idx="342">
                  <c:v>25727.5</c:v>
                </c:pt>
                <c:pt idx="343">
                  <c:v>25507.4</c:v>
                </c:pt>
                <c:pt idx="344">
                  <c:v>25512.2</c:v>
                </c:pt>
                <c:pt idx="345">
                  <c:v>25840.3</c:v>
                </c:pt>
                <c:pt idx="346">
                  <c:v>25904</c:v>
                </c:pt>
                <c:pt idx="347">
                  <c:v>26447.4</c:v>
                </c:pt>
                <c:pt idx="348">
                  <c:v>26082.1</c:v>
                </c:pt>
                <c:pt idx="349">
                  <c:v>25546</c:v>
                </c:pt>
                <c:pt idx="350">
                  <c:v>25680.9</c:v>
                </c:pt>
                <c:pt idx="351">
                  <c:v>26000.799999999999</c:v>
                </c:pt>
                <c:pt idx="352">
                  <c:v>26090.6</c:v>
                </c:pt>
                <c:pt idx="353">
                  <c:v>25827.1</c:v>
                </c:pt>
                <c:pt idx="354">
                  <c:v>26128.400000000001</c:v>
                </c:pt>
                <c:pt idx="355">
                  <c:v>25910.3</c:v>
                </c:pt>
                <c:pt idx="356">
                  <c:v>24914</c:v>
                </c:pt>
                <c:pt idx="357">
                  <c:v>23549.5</c:v>
                </c:pt>
                <c:pt idx="358">
                  <c:v>23920.5</c:v>
                </c:pt>
                <c:pt idx="359">
                  <c:v>24201.8</c:v>
                </c:pt>
                <c:pt idx="360">
                  <c:v>24067.8</c:v>
                </c:pt>
                <c:pt idx="361">
                  <c:v>24308.7</c:v>
                </c:pt>
                <c:pt idx="362">
                  <c:v>24859.8</c:v>
                </c:pt>
                <c:pt idx="363">
                  <c:v>25572.6</c:v>
                </c:pt>
                <c:pt idx="364">
                  <c:v>25395.1</c:v>
                </c:pt>
                <c:pt idx="365">
                  <c:v>25378.400000000001</c:v>
                </c:pt>
                <c:pt idx="366">
                  <c:v>24852.2</c:v>
                </c:pt>
                <c:pt idx="367">
                  <c:v>24733.1</c:v>
                </c:pt>
                <c:pt idx="368">
                  <c:v>25039</c:v>
                </c:pt>
                <c:pt idx="369">
                  <c:v>25078</c:v>
                </c:pt>
                <c:pt idx="370">
                  <c:v>25616.799999999999</c:v>
                </c:pt>
                <c:pt idx="371">
                  <c:v>25734.5</c:v>
                </c:pt>
                <c:pt idx="372">
                  <c:v>25814.3</c:v>
                </c:pt>
                <c:pt idx="373">
                  <c:v>26316.3</c:v>
                </c:pt>
                <c:pt idx="374">
                  <c:v>26169.7</c:v>
                </c:pt>
                <c:pt idx="375">
                  <c:v>26239.200000000001</c:v>
                </c:pt>
                <c:pt idx="376">
                  <c:v>26521.1</c:v>
                </c:pt>
                <c:pt idx="377">
                  <c:v>26718.5</c:v>
                </c:pt>
                <c:pt idx="378">
                  <c:v>26464.6</c:v>
                </c:pt>
                <c:pt idx="379">
                  <c:v>26679.200000000001</c:v>
                </c:pt>
                <c:pt idx="380">
                  <c:v>26957.8</c:v>
                </c:pt>
                <c:pt idx="381">
                  <c:v>27041.7</c:v>
                </c:pt>
                <c:pt idx="382">
                  <c:v>27193.9</c:v>
                </c:pt>
                <c:pt idx="383">
                  <c:v>27800.6</c:v>
                </c:pt>
                <c:pt idx="384">
                  <c:v>28013.3</c:v>
                </c:pt>
                <c:pt idx="385">
                  <c:v>27847.3</c:v>
                </c:pt>
                <c:pt idx="386">
                  <c:v>27892.400000000001</c:v>
                </c:pt>
                <c:pt idx="387">
                  <c:v>27864</c:v>
                </c:pt>
                <c:pt idx="388">
                  <c:v>28071.4</c:v>
                </c:pt>
                <c:pt idx="389">
                  <c:v>28337.1</c:v>
                </c:pt>
                <c:pt idx="390">
                  <c:v>27954.2</c:v>
                </c:pt>
                <c:pt idx="391">
                  <c:v>28306.5</c:v>
                </c:pt>
                <c:pt idx="392">
                  <c:v>27941.7</c:v>
                </c:pt>
                <c:pt idx="393">
                  <c:v>28260.2</c:v>
                </c:pt>
                <c:pt idx="394">
                  <c:v>28428.6</c:v>
                </c:pt>
                <c:pt idx="395">
                  <c:v>29187.3</c:v>
                </c:pt>
                <c:pt idx="396">
                  <c:v>28983.5</c:v>
                </c:pt>
                <c:pt idx="397">
                  <c:v>29022.2</c:v>
                </c:pt>
                <c:pt idx="398">
                  <c:v>28735.8</c:v>
                </c:pt>
                <c:pt idx="399">
                  <c:v>29221.7</c:v>
                </c:pt>
                <c:pt idx="400">
                  <c:v>29269.3</c:v>
                </c:pt>
                <c:pt idx="401">
                  <c:v>29713.5</c:v>
                </c:pt>
                <c:pt idx="402">
                  <c:v>29606.1</c:v>
                </c:pt>
                <c:pt idx="403">
                  <c:v>29606.1</c:v>
                </c:pt>
                <c:pt idx="404">
                  <c:v>29565.200000000001</c:v>
                </c:pt>
                <c:pt idx="405">
                  <c:v>29613.3</c:v>
                </c:pt>
                <c:pt idx="406">
                  <c:v>30116.799999999999</c:v>
                </c:pt>
                <c:pt idx="407">
                  <c:v>30158.400000000001</c:v>
                </c:pt>
                <c:pt idx="408">
                  <c:v>30320.3</c:v>
                </c:pt>
                <c:pt idx="409">
                  <c:v>30421.9</c:v>
                </c:pt>
                <c:pt idx="410">
                  <c:v>30475.5</c:v>
                </c:pt>
                <c:pt idx="411">
                  <c:v>30346.1</c:v>
                </c:pt>
                <c:pt idx="412">
                  <c:v>30566.5</c:v>
                </c:pt>
                <c:pt idx="413">
                  <c:v>30504.400000000001</c:v>
                </c:pt>
                <c:pt idx="414">
                  <c:v>30495.200000000001</c:v>
                </c:pt>
                <c:pt idx="415">
                  <c:v>30842.9</c:v>
                </c:pt>
                <c:pt idx="416">
                  <c:v>30639.7</c:v>
                </c:pt>
                <c:pt idx="417">
                  <c:v>30455.7</c:v>
                </c:pt>
                <c:pt idx="418">
                  <c:v>30417.1</c:v>
                </c:pt>
                <c:pt idx="419">
                  <c:v>30417.1</c:v>
                </c:pt>
                <c:pt idx="420">
                  <c:v>30482.9</c:v>
                </c:pt>
                <c:pt idx="421">
                  <c:v>31202.3</c:v>
                </c:pt>
                <c:pt idx="422">
                  <c:v>30968</c:v>
                </c:pt>
                <c:pt idx="423">
                  <c:v>30722</c:v>
                </c:pt>
                <c:pt idx="424">
                  <c:v>30124</c:v>
                </c:pt>
                <c:pt idx="425">
                  <c:v>30310.7</c:v>
                </c:pt>
                <c:pt idx="426">
                  <c:v>31031.8</c:v>
                </c:pt>
                <c:pt idx="427">
                  <c:v>30805.1</c:v>
                </c:pt>
                <c:pt idx="428">
                  <c:v>30637.1</c:v>
                </c:pt>
                <c:pt idx="429">
                  <c:v>31044</c:v>
                </c:pt>
                <c:pt idx="430">
                  <c:v>30702.7</c:v>
                </c:pt>
                <c:pt idx="431">
                  <c:v>31064.7</c:v>
                </c:pt>
                <c:pt idx="432">
                  <c:v>31025</c:v>
                </c:pt>
                <c:pt idx="433">
                  <c:v>31104.6</c:v>
                </c:pt>
                <c:pt idx="434">
                  <c:v>30916.2</c:v>
                </c:pt>
                <c:pt idx="435">
                  <c:v>30694.6</c:v>
                </c:pt>
                <c:pt idx="436">
                  <c:v>30746.1</c:v>
                </c:pt>
                <c:pt idx="437">
                  <c:v>31179.9</c:v>
                </c:pt>
                <c:pt idx="438">
                  <c:v>30565.5</c:v>
                </c:pt>
                <c:pt idx="439">
                  <c:v>30035.8</c:v>
                </c:pt>
                <c:pt idx="440">
                  <c:v>30364.400000000001</c:v>
                </c:pt>
                <c:pt idx="441">
                  <c:v>30029.7</c:v>
                </c:pt>
                <c:pt idx="442">
                  <c:v>30355</c:v>
                </c:pt>
                <c:pt idx="443">
                  <c:v>30240.1</c:v>
                </c:pt>
                <c:pt idx="444">
                  <c:v>30108</c:v>
                </c:pt>
                <c:pt idx="445">
                  <c:v>30128</c:v>
                </c:pt>
                <c:pt idx="446">
                  <c:v>29880.7</c:v>
                </c:pt>
                <c:pt idx="447">
                  <c:v>29963.200000000001</c:v>
                </c:pt>
                <c:pt idx="448">
                  <c:v>30226.9</c:v>
                </c:pt>
                <c:pt idx="449">
                  <c:v>30155.5</c:v>
                </c:pt>
                <c:pt idx="450">
                  <c:v>29976.1</c:v>
                </c:pt>
                <c:pt idx="451">
                  <c:v>29672.1</c:v>
                </c:pt>
                <c:pt idx="452">
                  <c:v>29465.200000000001</c:v>
                </c:pt>
                <c:pt idx="453">
                  <c:v>29558.6</c:v>
                </c:pt>
                <c:pt idx="454">
                  <c:v>29561.9</c:v>
                </c:pt>
                <c:pt idx="455">
                  <c:v>29876.1</c:v>
                </c:pt>
                <c:pt idx="456">
                  <c:v>29761.4</c:v>
                </c:pt>
                <c:pt idx="457">
                  <c:v>30138.799999999999</c:v>
                </c:pt>
                <c:pt idx="458">
                  <c:v>29720.6</c:v>
                </c:pt>
                <c:pt idx="459">
                  <c:v>29957.3</c:v>
                </c:pt>
                <c:pt idx="460">
                  <c:v>30424.1</c:v>
                </c:pt>
                <c:pt idx="461">
                  <c:v>30273.1</c:v>
                </c:pt>
                <c:pt idx="462">
                  <c:v>29789.9</c:v>
                </c:pt>
                <c:pt idx="463">
                  <c:v>30108</c:v>
                </c:pt>
                <c:pt idx="464">
                  <c:v>29957.5</c:v>
                </c:pt>
                <c:pt idx="465">
                  <c:v>29449</c:v>
                </c:pt>
                <c:pt idx="466">
                  <c:v>28897.9</c:v>
                </c:pt>
                <c:pt idx="467">
                  <c:v>29171.599999999999</c:v>
                </c:pt>
                <c:pt idx="468">
                  <c:v>29729.9</c:v>
                </c:pt>
                <c:pt idx="469">
                  <c:v>29509.3</c:v>
                </c:pt>
                <c:pt idx="470">
                  <c:v>29520.2</c:v>
                </c:pt>
                <c:pt idx="471">
                  <c:v>29139.5</c:v>
                </c:pt>
                <c:pt idx="472">
                  <c:v>28671.1</c:v>
                </c:pt>
                <c:pt idx="473">
                  <c:v>28196.7</c:v>
                </c:pt>
                <c:pt idx="474">
                  <c:v>28497.9</c:v>
                </c:pt>
                <c:pt idx="475">
                  <c:v>28635.7</c:v>
                </c:pt>
                <c:pt idx="476">
                  <c:v>27996.9</c:v>
                </c:pt>
                <c:pt idx="477">
                  <c:v>27225.5</c:v>
                </c:pt>
                <c:pt idx="478">
                  <c:v>28130</c:v>
                </c:pt>
                <c:pt idx="479">
                  <c:v>28100.400000000001</c:v>
                </c:pt>
                <c:pt idx="480">
                  <c:v>27372.400000000001</c:v>
                </c:pt>
                <c:pt idx="481">
                  <c:v>27312.3</c:v>
                </c:pt>
                <c:pt idx="482">
                  <c:v>26846.6</c:v>
                </c:pt>
                <c:pt idx="483">
                  <c:v>26955.1</c:v>
                </c:pt>
                <c:pt idx="484">
                  <c:v>26334.6</c:v>
                </c:pt>
                <c:pt idx="485">
                  <c:v>26349.8</c:v>
                </c:pt>
                <c:pt idx="486">
                  <c:v>27111.4</c:v>
                </c:pt>
                <c:pt idx="487">
                  <c:v>28346.400000000001</c:v>
                </c:pt>
                <c:pt idx="488">
                  <c:v>28517.200000000001</c:v>
                </c:pt>
                <c:pt idx="489">
                  <c:v>28502.799999999999</c:v>
                </c:pt>
                <c:pt idx="490">
                  <c:v>28920.7</c:v>
                </c:pt>
                <c:pt idx="491">
                  <c:v>29035.8</c:v>
                </c:pt>
                <c:pt idx="492">
                  <c:v>29408.9</c:v>
                </c:pt>
                <c:pt idx="493">
                  <c:v>29076.3</c:v>
                </c:pt>
                <c:pt idx="494">
                  <c:v>29706.5</c:v>
                </c:pt>
                <c:pt idx="495">
                  <c:v>29728.5</c:v>
                </c:pt>
                <c:pt idx="496">
                  <c:v>29937.5</c:v>
                </c:pt>
                <c:pt idx="497">
                  <c:v>30275.5</c:v>
                </c:pt>
                <c:pt idx="498">
                  <c:v>31078.7</c:v>
                </c:pt>
                <c:pt idx="499">
                  <c:v>31382.2</c:v>
                </c:pt>
                <c:pt idx="500">
                  <c:v>31451.1</c:v>
                </c:pt>
                <c:pt idx="501">
                  <c:v>31505.1</c:v>
                </c:pt>
                <c:pt idx="502">
                  <c:v>31169.5</c:v>
                </c:pt>
                <c:pt idx="503">
                  <c:v>31565.5</c:v>
                </c:pt>
                <c:pt idx="504">
                  <c:v>31848.3</c:v>
                </c:pt>
                <c:pt idx="505">
                  <c:v>31658.400000000001</c:v>
                </c:pt>
                <c:pt idx="506">
                  <c:v>31159.4</c:v>
                </c:pt>
                <c:pt idx="507">
                  <c:v>31343</c:v>
                </c:pt>
                <c:pt idx="508">
                  <c:v>30795.200000000001</c:v>
                </c:pt>
                <c:pt idx="509">
                  <c:v>31000.3</c:v>
                </c:pt>
                <c:pt idx="510">
                  <c:v>30895.4</c:v>
                </c:pt>
                <c:pt idx="511">
                  <c:v>30941.5</c:v>
                </c:pt>
                <c:pt idx="512">
                  <c:v>31249.599999999999</c:v>
                </c:pt>
                <c:pt idx="513">
                  <c:v>31620</c:v>
                </c:pt>
                <c:pt idx="514">
                  <c:v>31731.3</c:v>
                </c:pt>
                <c:pt idx="515">
                  <c:v>31586.6</c:v>
                </c:pt>
                <c:pt idx="516">
                  <c:v>31609.9</c:v>
                </c:pt>
                <c:pt idx="517">
                  <c:v>31491.9</c:v>
                </c:pt>
                <c:pt idx="518">
                  <c:v>31147</c:v>
                </c:pt>
                <c:pt idx="519">
                  <c:v>31450.3</c:v>
                </c:pt>
                <c:pt idx="520">
                  <c:v>31634.7</c:v>
                </c:pt>
                <c:pt idx="521">
                  <c:v>31331.4</c:v>
                </c:pt>
                <c:pt idx="522">
                  <c:v>31098.6</c:v>
                </c:pt>
                <c:pt idx="523">
                  <c:v>31923.9</c:v>
                </c:pt>
                <c:pt idx="524">
                  <c:v>31935.9</c:v>
                </c:pt>
                <c:pt idx="525">
                  <c:v>32071.4</c:v>
                </c:pt>
                <c:pt idx="526">
                  <c:v>32595.1</c:v>
                </c:pt>
                <c:pt idx="527">
                  <c:v>32735.7</c:v>
                </c:pt>
                <c:pt idx="528">
                  <c:v>32991.4</c:v>
                </c:pt>
                <c:pt idx="529">
                  <c:v>32283.1</c:v>
                </c:pt>
                <c:pt idx="530">
                  <c:v>32269.599999999999</c:v>
                </c:pt>
                <c:pt idx="531">
                  <c:v>32787.1</c:v>
                </c:pt>
                <c:pt idx="532">
                  <c:v>32548</c:v>
                </c:pt>
                <c:pt idx="533">
                  <c:v>32591.4</c:v>
                </c:pt>
                <c:pt idx="534">
                  <c:v>32605.1</c:v>
                </c:pt>
                <c:pt idx="535">
                  <c:v>32825.599999999999</c:v>
                </c:pt>
                <c:pt idx="536">
                  <c:v>32053</c:v>
                </c:pt>
                <c:pt idx="537">
                  <c:v>31909.9</c:v>
                </c:pt>
                <c:pt idx="538">
                  <c:v>32086.1</c:v>
                </c:pt>
                <c:pt idx="539">
                  <c:v>32677.599999999999</c:v>
                </c:pt>
                <c:pt idx="540">
                  <c:v>32495.200000000001</c:v>
                </c:pt>
                <c:pt idx="541">
                  <c:v>33037</c:v>
                </c:pt>
                <c:pt idx="542">
                  <c:v>33699.800000000003</c:v>
                </c:pt>
                <c:pt idx="543">
                  <c:v>33603.800000000003</c:v>
                </c:pt>
                <c:pt idx="544">
                  <c:v>33881.5</c:v>
                </c:pt>
                <c:pt idx="545">
                  <c:v>33955.9</c:v>
                </c:pt>
                <c:pt idx="546">
                  <c:v>33562.1</c:v>
                </c:pt>
                <c:pt idx="547">
                  <c:v>34506.400000000001</c:v>
                </c:pt>
                <c:pt idx="548">
                  <c:v>34850.800000000003</c:v>
                </c:pt>
                <c:pt idx="549">
                  <c:v>34423.699999999997</c:v>
                </c:pt>
                <c:pt idx="550">
                  <c:v>34698.6</c:v>
                </c:pt>
                <c:pt idx="551">
                  <c:v>34458.1</c:v>
                </c:pt>
                <c:pt idx="552">
                  <c:v>34221.300000000003</c:v>
                </c:pt>
                <c:pt idx="553">
                  <c:v>33315.199999999997</c:v>
                </c:pt>
                <c:pt idx="554">
                  <c:v>32541.4</c:v>
                </c:pt>
                <c:pt idx="555">
                  <c:v>33179.5</c:v>
                </c:pt>
                <c:pt idx="556">
                  <c:v>32959.9</c:v>
                </c:pt>
                <c:pt idx="557">
                  <c:v>32873.800000000003</c:v>
                </c:pt>
                <c:pt idx="558">
                  <c:v>32724.799999999999</c:v>
                </c:pt>
                <c:pt idx="559">
                  <c:v>33104.400000000001</c:v>
                </c:pt>
                <c:pt idx="560">
                  <c:v>33063.300000000003</c:v>
                </c:pt>
                <c:pt idx="561">
                  <c:v>31615.599999999999</c:v>
                </c:pt>
                <c:pt idx="562">
                  <c:v>31380.1</c:v>
                </c:pt>
                <c:pt idx="563">
                  <c:v>31478.3</c:v>
                </c:pt>
                <c:pt idx="564">
                  <c:v>31257.200000000001</c:v>
                </c:pt>
                <c:pt idx="565">
                  <c:v>30915.3</c:v>
                </c:pt>
                <c:pt idx="566">
                  <c:v>31215.9</c:v>
                </c:pt>
                <c:pt idx="567">
                  <c:v>31341.5</c:v>
                </c:pt>
                <c:pt idx="568">
                  <c:v>31375.200000000001</c:v>
                </c:pt>
                <c:pt idx="569">
                  <c:v>31338.1</c:v>
                </c:pt>
                <c:pt idx="570">
                  <c:v>31132.400000000001</c:v>
                </c:pt>
                <c:pt idx="571">
                  <c:v>31087.599999999999</c:v>
                </c:pt>
                <c:pt idx="572">
                  <c:v>30548.2</c:v>
                </c:pt>
                <c:pt idx="573">
                  <c:v>30969.4</c:v>
                </c:pt>
                <c:pt idx="574">
                  <c:v>30969.4</c:v>
                </c:pt>
                <c:pt idx="575">
                  <c:v>30969.4</c:v>
                </c:pt>
                <c:pt idx="576">
                  <c:v>30740.2</c:v>
                </c:pt>
                <c:pt idx="577">
                  <c:v>31022.7</c:v>
                </c:pt>
                <c:pt idx="578">
                  <c:v>30603.3</c:v>
                </c:pt>
                <c:pt idx="579">
                  <c:v>30598.2</c:v>
                </c:pt>
                <c:pt idx="580">
                  <c:v>30532.3</c:v>
                </c:pt>
                <c:pt idx="581">
                  <c:v>30532.3</c:v>
                </c:pt>
                <c:pt idx="582">
                  <c:v>30532.3</c:v>
                </c:pt>
                <c:pt idx="583">
                  <c:v>30993.7</c:v>
                </c:pt>
                <c:pt idx="584">
                  <c:v>31960.400000000001</c:v>
                </c:pt>
                <c:pt idx="585">
                  <c:v>31573.3</c:v>
                </c:pt>
                <c:pt idx="586">
                  <c:v>28632</c:v>
                </c:pt>
                <c:pt idx="587">
                  <c:v>28980.400000000001</c:v>
                </c:pt>
                <c:pt idx="588">
                  <c:v>28980.400000000001</c:v>
                </c:pt>
                <c:pt idx="589">
                  <c:v>28980.400000000001</c:v>
                </c:pt>
                <c:pt idx="590">
                  <c:v>29396.1</c:v>
                </c:pt>
                <c:pt idx="591">
                  <c:v>28221.8</c:v>
                </c:pt>
                <c:pt idx="592">
                  <c:v>28650.7</c:v>
                </c:pt>
                <c:pt idx="593">
                  <c:v>28450.1</c:v>
                </c:pt>
                <c:pt idx="594">
                  <c:v>28920</c:v>
                </c:pt>
                <c:pt idx="595">
                  <c:v>28920</c:v>
                </c:pt>
                <c:pt idx="596">
                  <c:v>28920</c:v>
                </c:pt>
                <c:pt idx="597">
                  <c:v>28919</c:v>
                </c:pt>
                <c:pt idx="598">
                  <c:v>28833.4</c:v>
                </c:pt>
                <c:pt idx="599">
                  <c:v>28503.200000000001</c:v>
                </c:pt>
                <c:pt idx="600">
                  <c:v>28462.400000000001</c:v>
                </c:pt>
                <c:pt idx="601">
                  <c:v>28760.1</c:v>
                </c:pt>
                <c:pt idx="602">
                  <c:v>28760.1</c:v>
                </c:pt>
                <c:pt idx="603">
                  <c:v>28760.1</c:v>
                </c:pt>
                <c:pt idx="604">
                  <c:v>28767.200000000001</c:v>
                </c:pt>
                <c:pt idx="605">
                  <c:v>29462.1</c:v>
                </c:pt>
                <c:pt idx="606">
                  <c:v>31006.400000000001</c:v>
                </c:pt>
                <c:pt idx="607">
                  <c:v>31532.400000000001</c:v>
                </c:pt>
                <c:pt idx="608">
                  <c:v>31393.599999999999</c:v>
                </c:pt>
                <c:pt idx="609">
                  <c:v>31393.599999999999</c:v>
                </c:pt>
                <c:pt idx="610">
                  <c:v>31393.599999999999</c:v>
                </c:pt>
                <c:pt idx="611">
                  <c:v>30733.599999999999</c:v>
                </c:pt>
                <c:pt idx="612">
                  <c:v>30961.5</c:v>
                </c:pt>
                <c:pt idx="613">
                  <c:v>31322.7</c:v>
                </c:pt>
                <c:pt idx="614">
                  <c:v>31928.6</c:v>
                </c:pt>
                <c:pt idx="615">
                  <c:v>32834.6</c:v>
                </c:pt>
                <c:pt idx="616">
                  <c:v>32834.6</c:v>
                </c:pt>
                <c:pt idx="617">
                  <c:v>32834.6</c:v>
                </c:pt>
                <c:pt idx="618">
                  <c:v>33186.1</c:v>
                </c:pt>
                <c:pt idx="619">
                  <c:v>33519.800000000003</c:v>
                </c:pt>
                <c:pt idx="620">
                  <c:v>34539</c:v>
                </c:pt>
                <c:pt idx="621">
                  <c:v>35125.199999999997</c:v>
                </c:pt>
                <c:pt idx="622">
                  <c:v>35374.199999999997</c:v>
                </c:pt>
                <c:pt idx="623">
                  <c:v>35374.199999999997</c:v>
                </c:pt>
                <c:pt idx="624">
                  <c:v>35374.199999999997</c:v>
                </c:pt>
                <c:pt idx="625">
                  <c:v>34930.5</c:v>
                </c:pt>
                <c:pt idx="626">
                  <c:v>34169</c:v>
                </c:pt>
                <c:pt idx="627">
                  <c:v>34145.1</c:v>
                </c:pt>
                <c:pt idx="628">
                  <c:v>34098.5</c:v>
                </c:pt>
                <c:pt idx="629">
                  <c:v>33985.800000000003</c:v>
                </c:pt>
                <c:pt idx="630">
                  <c:v>33985.800000000003</c:v>
                </c:pt>
                <c:pt idx="631">
                  <c:v>33985.800000000003</c:v>
                </c:pt>
                <c:pt idx="632">
                  <c:v>34011.199999999997</c:v>
                </c:pt>
                <c:pt idx="633">
                  <c:v>34774.199999999997</c:v>
                </c:pt>
                <c:pt idx="634">
                  <c:v>35215</c:v>
                </c:pt>
                <c:pt idx="635">
                  <c:v>35528.400000000001</c:v>
                </c:pt>
                <c:pt idx="636">
                  <c:v>35747</c:v>
                </c:pt>
                <c:pt idx="637">
                  <c:v>35747</c:v>
                </c:pt>
                <c:pt idx="638">
                  <c:v>35747</c:v>
                </c:pt>
                <c:pt idx="639">
                  <c:v>36136.800000000003</c:v>
                </c:pt>
                <c:pt idx="640">
                  <c:v>36304.6</c:v>
                </c:pt>
                <c:pt idx="641">
                  <c:v>36273.199999999997</c:v>
                </c:pt>
                <c:pt idx="642">
                  <c:v>35494.400000000001</c:v>
                </c:pt>
                <c:pt idx="643">
                  <c:v>35550.5</c:v>
                </c:pt>
                <c:pt idx="644">
                  <c:v>35550.5</c:v>
                </c:pt>
                <c:pt idx="645">
                  <c:v>35550.5</c:v>
                </c:pt>
                <c:pt idx="646">
                  <c:v>34450.300000000003</c:v>
                </c:pt>
                <c:pt idx="647">
                  <c:v>35599.9</c:v>
                </c:pt>
                <c:pt idx="648">
                  <c:v>34933.1</c:v>
                </c:pt>
                <c:pt idx="649">
                  <c:v>34488.1</c:v>
                </c:pt>
                <c:pt idx="650">
                  <c:v>34582.6</c:v>
                </c:pt>
                <c:pt idx="651">
                  <c:v>34582.6</c:v>
                </c:pt>
                <c:pt idx="652">
                  <c:v>34582.6</c:v>
                </c:pt>
                <c:pt idx="653">
                  <c:v>34669.800000000003</c:v>
                </c:pt>
                <c:pt idx="654">
                  <c:v>35208</c:v>
                </c:pt>
                <c:pt idx="655">
                  <c:v>35585.1</c:v>
                </c:pt>
                <c:pt idx="656">
                  <c:v>36161.599999999999</c:v>
                </c:pt>
                <c:pt idx="657">
                  <c:v>36426.800000000003</c:v>
                </c:pt>
                <c:pt idx="658">
                  <c:v>36426.800000000003</c:v>
                </c:pt>
                <c:pt idx="659">
                  <c:v>36426.800000000003</c:v>
                </c:pt>
                <c:pt idx="660">
                  <c:v>36910.5</c:v>
                </c:pt>
                <c:pt idx="661">
                  <c:v>35819.699999999997</c:v>
                </c:pt>
                <c:pt idx="662">
                  <c:v>36756.1</c:v>
                </c:pt>
                <c:pt idx="663">
                  <c:v>36167.599999999999</c:v>
                </c:pt>
                <c:pt idx="664">
                  <c:v>36109.300000000003</c:v>
                </c:pt>
                <c:pt idx="665">
                  <c:v>36109.300000000003</c:v>
                </c:pt>
                <c:pt idx="666">
                  <c:v>36109.300000000003</c:v>
                </c:pt>
                <c:pt idx="667">
                  <c:v>36938.5</c:v>
                </c:pt>
                <c:pt idx="668">
                  <c:v>36695.5</c:v>
                </c:pt>
                <c:pt idx="669">
                  <c:v>36498.800000000003</c:v>
                </c:pt>
                <c:pt idx="670">
                  <c:v>36411.1</c:v>
                </c:pt>
                <c:pt idx="671">
                  <c:v>36433.1</c:v>
                </c:pt>
                <c:pt idx="672">
                  <c:v>36433.1</c:v>
                </c:pt>
                <c:pt idx="673">
                  <c:v>36433.1</c:v>
                </c:pt>
                <c:pt idx="674">
                  <c:v>36459.800000000003</c:v>
                </c:pt>
                <c:pt idx="675">
                  <c:v>36887.199999999997</c:v>
                </c:pt>
                <c:pt idx="676">
                  <c:v>36937</c:v>
                </c:pt>
                <c:pt idx="677">
                  <c:v>37247.599999999999</c:v>
                </c:pt>
                <c:pt idx="678">
                  <c:v>37056</c:v>
                </c:pt>
                <c:pt idx="679">
                  <c:v>37056</c:v>
                </c:pt>
                <c:pt idx="680">
                  <c:v>37056</c:v>
                </c:pt>
                <c:pt idx="681">
                  <c:v>37434.9</c:v>
                </c:pt>
                <c:pt idx="682">
                  <c:v>37731</c:v>
                </c:pt>
                <c:pt idx="683">
                  <c:v>37439.9</c:v>
                </c:pt>
                <c:pt idx="684">
                  <c:v>36969.300000000003</c:v>
                </c:pt>
                <c:pt idx="685">
                  <c:v>36856.9</c:v>
                </c:pt>
                <c:pt idx="686">
                  <c:v>36856.9</c:v>
                </c:pt>
                <c:pt idx="687">
                  <c:v>36856.9</c:v>
                </c:pt>
                <c:pt idx="688">
                  <c:v>36964</c:v>
                </c:pt>
                <c:pt idx="689">
                  <c:v>36961.300000000003</c:v>
                </c:pt>
                <c:pt idx="690">
                  <c:v>36190.800000000003</c:v>
                </c:pt>
                <c:pt idx="691">
                  <c:v>35874.400000000001</c:v>
                </c:pt>
                <c:pt idx="692">
                  <c:v>35883.1</c:v>
                </c:pt>
                <c:pt idx="693">
                  <c:v>35883.1</c:v>
                </c:pt>
                <c:pt idx="694">
                  <c:v>35883.1</c:v>
                </c:pt>
                <c:pt idx="695">
                  <c:v>36115.1</c:v>
                </c:pt>
                <c:pt idx="696">
                  <c:v>36474.400000000001</c:v>
                </c:pt>
                <c:pt idx="697">
                  <c:v>36262</c:v>
                </c:pt>
                <c:pt idx="698">
                  <c:v>35770.199999999997</c:v>
                </c:pt>
                <c:pt idx="699">
                  <c:v>36263</c:v>
                </c:pt>
                <c:pt idx="700">
                  <c:v>36263</c:v>
                </c:pt>
                <c:pt idx="701">
                  <c:v>36263</c:v>
                </c:pt>
                <c:pt idx="702">
                  <c:v>35930.400000000001</c:v>
                </c:pt>
                <c:pt idx="703">
                  <c:v>34824.699999999997</c:v>
                </c:pt>
                <c:pt idx="704">
                  <c:v>35620.400000000001</c:v>
                </c:pt>
                <c:pt idx="705">
                  <c:v>35742.300000000003</c:v>
                </c:pt>
                <c:pt idx="706">
                  <c:v>36516</c:v>
                </c:pt>
                <c:pt idx="707">
                  <c:v>36516</c:v>
                </c:pt>
                <c:pt idx="708">
                  <c:v>36516</c:v>
                </c:pt>
                <c:pt idx="709">
                  <c:v>37027.1</c:v>
                </c:pt>
                <c:pt idx="710">
                  <c:v>37395.199999999997</c:v>
                </c:pt>
                <c:pt idx="711">
                  <c:v>37330.1</c:v>
                </c:pt>
                <c:pt idx="712">
                  <c:v>37525.699999999997</c:v>
                </c:pt>
                <c:pt idx="713">
                  <c:v>37507.4</c:v>
                </c:pt>
                <c:pt idx="714">
                  <c:v>37507.4</c:v>
                </c:pt>
                <c:pt idx="715">
                  <c:v>37507.4</c:v>
                </c:pt>
                <c:pt idx="716">
                  <c:v>37440.9</c:v>
                </c:pt>
                <c:pt idx="717">
                  <c:v>37185.9</c:v>
                </c:pt>
                <c:pt idx="718">
                  <c:v>37318.400000000001</c:v>
                </c:pt>
                <c:pt idx="719">
                  <c:v>37064.9</c:v>
                </c:pt>
                <c:pt idx="720">
                  <c:v>37198.300000000003</c:v>
                </c:pt>
                <c:pt idx="721">
                  <c:v>37198.300000000003</c:v>
                </c:pt>
                <c:pt idx="722">
                  <c:v>37198.300000000003</c:v>
                </c:pt>
                <c:pt idx="723">
                  <c:v>37007.300000000003</c:v>
                </c:pt>
                <c:pt idx="724">
                  <c:v>37126.9</c:v>
                </c:pt>
                <c:pt idx="725">
                  <c:v>36898.9</c:v>
                </c:pt>
                <c:pt idx="726">
                  <c:v>37437.9</c:v>
                </c:pt>
                <c:pt idx="727">
                  <c:v>37146.400000000001</c:v>
                </c:pt>
                <c:pt idx="728">
                  <c:v>36890.800000000003</c:v>
                </c:pt>
                <c:pt idx="729">
                  <c:v>37075.5</c:v>
                </c:pt>
                <c:pt idx="730">
                  <c:v>36938.1</c:v>
                </c:pt>
                <c:pt idx="731">
                  <c:v>36917.199999999997</c:v>
                </c:pt>
                <c:pt idx="732">
                  <c:v>36675.300000000003</c:v>
                </c:pt>
                <c:pt idx="733">
                  <c:v>36726.6</c:v>
                </c:pt>
                <c:pt idx="734">
                  <c:v>37147.699999999997</c:v>
                </c:pt>
                <c:pt idx="735">
                  <c:v>37162.800000000003</c:v>
                </c:pt>
                <c:pt idx="736">
                  <c:v>37501.5</c:v>
                </c:pt>
                <c:pt idx="737">
                  <c:v>37920.800000000003</c:v>
                </c:pt>
                <c:pt idx="738">
                  <c:v>37936.5</c:v>
                </c:pt>
                <c:pt idx="739">
                  <c:v>38077.199999999997</c:v>
                </c:pt>
                <c:pt idx="740">
                  <c:v>37985.800000000003</c:v>
                </c:pt>
                <c:pt idx="741">
                  <c:v>37706.800000000003</c:v>
                </c:pt>
                <c:pt idx="742">
                  <c:v>37836.699999999997</c:v>
                </c:pt>
                <c:pt idx="743">
                  <c:v>37773.4</c:v>
                </c:pt>
                <c:pt idx="744">
                  <c:v>37715.800000000003</c:v>
                </c:pt>
                <c:pt idx="745">
                  <c:v>37459.5</c:v>
                </c:pt>
                <c:pt idx="746">
                  <c:v>37812.5</c:v>
                </c:pt>
                <c:pt idx="747">
                  <c:v>38052.199999999997</c:v>
                </c:pt>
                <c:pt idx="748">
                  <c:v>38137.4</c:v>
                </c:pt>
                <c:pt idx="749">
                  <c:v>37781.199999999997</c:v>
                </c:pt>
                <c:pt idx="750">
                  <c:v>37530.800000000003</c:v>
                </c:pt>
                <c:pt idx="751">
                  <c:v>37558</c:v>
                </c:pt>
                <c:pt idx="752">
                  <c:v>37781.4</c:v>
                </c:pt>
                <c:pt idx="753">
                  <c:v>37866.5</c:v>
                </c:pt>
                <c:pt idx="754">
                  <c:v>37406.300000000003</c:v>
                </c:pt>
                <c:pt idx="755">
                  <c:v>36526.9</c:v>
                </c:pt>
                <c:pt idx="756">
                  <c:v>36716.6</c:v>
                </c:pt>
                <c:pt idx="757">
                  <c:v>37177.5</c:v>
                </c:pt>
                <c:pt idx="758">
                  <c:v>37373.300000000003</c:v>
                </c:pt>
                <c:pt idx="759">
                  <c:v>37306.1</c:v>
                </c:pt>
                <c:pt idx="760">
                  <c:v>37253.599999999999</c:v>
                </c:pt>
                <c:pt idx="761">
                  <c:v>37080.6</c:v>
                </c:pt>
                <c:pt idx="762">
                  <c:v>36781.300000000003</c:v>
                </c:pt>
                <c:pt idx="763">
                  <c:v>37160</c:v>
                </c:pt>
                <c:pt idx="764">
                  <c:v>37180.9</c:v>
                </c:pt>
                <c:pt idx="765">
                  <c:v>37370.9</c:v>
                </c:pt>
                <c:pt idx="766">
                  <c:v>36880.400000000001</c:v>
                </c:pt>
                <c:pt idx="767">
                  <c:v>36359.9</c:v>
                </c:pt>
                <c:pt idx="768">
                  <c:v>36489.599999999999</c:v>
                </c:pt>
                <c:pt idx="769">
                  <c:v>36079.9</c:v>
                </c:pt>
                <c:pt idx="770">
                  <c:v>36045.199999999997</c:v>
                </c:pt>
                <c:pt idx="771">
                  <c:v>36135.699999999997</c:v>
                </c:pt>
                <c:pt idx="772">
                  <c:v>36228</c:v>
                </c:pt>
                <c:pt idx="773">
                  <c:v>36544.5</c:v>
                </c:pt>
                <c:pt idx="774">
                  <c:v>36674.300000000003</c:v>
                </c:pt>
                <c:pt idx="775">
                  <c:v>36827.599999999999</c:v>
                </c:pt>
                <c:pt idx="776">
                  <c:v>36283.4</c:v>
                </c:pt>
                <c:pt idx="777">
                  <c:v>35977.800000000003</c:v>
                </c:pt>
                <c:pt idx="778">
                  <c:v>35856.5</c:v>
                </c:pt>
                <c:pt idx="779">
                  <c:v>35669.599999999999</c:v>
                </c:pt>
                <c:pt idx="780">
                  <c:v>36233.699999999997</c:v>
                </c:pt>
                <c:pt idx="781">
                  <c:v>36853.4</c:v>
                </c:pt>
                <c:pt idx="782">
                  <c:v>36817.599999999999</c:v>
                </c:pt>
                <c:pt idx="783">
                  <c:v>36784.6</c:v>
                </c:pt>
                <c:pt idx="784">
                  <c:v>36756.6</c:v>
                </c:pt>
                <c:pt idx="785">
                  <c:v>37316.199999999997</c:v>
                </c:pt>
                <c:pt idx="786">
                  <c:v>37768.6</c:v>
                </c:pt>
                <c:pt idx="787">
                  <c:v>38153.1</c:v>
                </c:pt>
                <c:pt idx="788">
                  <c:v>38069.4</c:v>
                </c:pt>
                <c:pt idx="789">
                  <c:v>37951</c:v>
                </c:pt>
                <c:pt idx="790">
                  <c:v>36870.9</c:v>
                </c:pt>
                <c:pt idx="791">
                  <c:v>37165.9</c:v>
                </c:pt>
                <c:pt idx="792">
                  <c:v>37795.599999999999</c:v>
                </c:pt>
                <c:pt idx="793">
                  <c:v>37481.300000000003</c:v>
                </c:pt>
                <c:pt idx="794">
                  <c:v>37723.1</c:v>
                </c:pt>
                <c:pt idx="795">
                  <c:v>37797.199999999997</c:v>
                </c:pt>
                <c:pt idx="796">
                  <c:v>37991.9</c:v>
                </c:pt>
                <c:pt idx="797">
                  <c:v>37819.1</c:v>
                </c:pt>
                <c:pt idx="798">
                  <c:v>38274.800000000003</c:v>
                </c:pt>
                <c:pt idx="799">
                  <c:v>37855.699999999997</c:v>
                </c:pt>
                <c:pt idx="800">
                  <c:v>37946.1</c:v>
                </c:pt>
                <c:pt idx="801">
                  <c:v>37738.1</c:v>
                </c:pt>
                <c:pt idx="802">
                  <c:v>37928.300000000003</c:v>
                </c:pt>
                <c:pt idx="803">
                  <c:v>37787.199999999997</c:v>
                </c:pt>
                <c:pt idx="804">
                  <c:v>37485.800000000003</c:v>
                </c:pt>
                <c:pt idx="805">
                  <c:v>37451.199999999997</c:v>
                </c:pt>
                <c:pt idx="806">
                  <c:v>37412.199999999997</c:v>
                </c:pt>
                <c:pt idx="807">
                  <c:v>37437</c:v>
                </c:pt>
                <c:pt idx="808">
                  <c:v>37421</c:v>
                </c:pt>
                <c:pt idx="809">
                  <c:v>37556.699999999997</c:v>
                </c:pt>
                <c:pt idx="810">
                  <c:v>37695.800000000003</c:v>
                </c:pt>
                <c:pt idx="811">
                  <c:v>37513.199999999997</c:v>
                </c:pt>
                <c:pt idx="812">
                  <c:v>37531.5</c:v>
                </c:pt>
                <c:pt idx="813">
                  <c:v>37686.800000000003</c:v>
                </c:pt>
                <c:pt idx="814">
                  <c:v>38081.5</c:v>
                </c:pt>
                <c:pt idx="815">
                  <c:v>38267.300000000003</c:v>
                </c:pt>
                <c:pt idx="816">
                  <c:v>38388.5</c:v>
                </c:pt>
                <c:pt idx="817">
                  <c:v>38546.5</c:v>
                </c:pt>
                <c:pt idx="818">
                  <c:v>38339.1</c:v>
                </c:pt>
                <c:pt idx="819">
                  <c:v>38341.4</c:v>
                </c:pt>
                <c:pt idx="820">
                  <c:v>37624.300000000003</c:v>
                </c:pt>
                <c:pt idx="821">
                  <c:v>37745.300000000003</c:v>
                </c:pt>
                <c:pt idx="822">
                  <c:v>37169.1</c:v>
                </c:pt>
                <c:pt idx="823">
                  <c:v>37039.9</c:v>
                </c:pt>
                <c:pt idx="824">
                  <c:v>36525.5</c:v>
                </c:pt>
                <c:pt idx="825">
                  <c:v>36416.199999999997</c:v>
                </c:pt>
                <c:pt idx="826">
                  <c:v>35962.699999999997</c:v>
                </c:pt>
                <c:pt idx="827">
                  <c:v>35729.4</c:v>
                </c:pt>
                <c:pt idx="828">
                  <c:v>35614.300000000003</c:v>
                </c:pt>
                <c:pt idx="829">
                  <c:v>35803.300000000003</c:v>
                </c:pt>
                <c:pt idx="830">
                  <c:v>35579.9</c:v>
                </c:pt>
                <c:pt idx="831">
                  <c:v>35531.699999999997</c:v>
                </c:pt>
                <c:pt idx="832">
                  <c:v>35054.6</c:v>
                </c:pt>
                <c:pt idx="833">
                  <c:v>35140.199999999997</c:v>
                </c:pt>
                <c:pt idx="834">
                  <c:v>35416.9</c:v>
                </c:pt>
                <c:pt idx="835">
                  <c:v>35454.300000000003</c:v>
                </c:pt>
                <c:pt idx="836">
                  <c:v>35427.199999999997</c:v>
                </c:pt>
                <c:pt idx="837">
                  <c:v>35623.5</c:v>
                </c:pt>
                <c:pt idx="838">
                  <c:v>35851.300000000003</c:v>
                </c:pt>
                <c:pt idx="839">
                  <c:v>35901.199999999997</c:v>
                </c:pt>
                <c:pt idx="840">
                  <c:v>35714.1</c:v>
                </c:pt>
                <c:pt idx="841">
                  <c:v>36061.599999999999</c:v>
                </c:pt>
                <c:pt idx="842">
                  <c:v>36136.9</c:v>
                </c:pt>
                <c:pt idx="843">
                  <c:v>36120.1</c:v>
                </c:pt>
                <c:pt idx="844">
                  <c:v>36290.199999999997</c:v>
                </c:pt>
                <c:pt idx="845">
                  <c:v>36465.800000000003</c:v>
                </c:pt>
                <c:pt idx="846">
                  <c:v>36768.800000000003</c:v>
                </c:pt>
                <c:pt idx="847">
                  <c:v>36918.300000000003</c:v>
                </c:pt>
                <c:pt idx="848">
                  <c:v>37055.300000000003</c:v>
                </c:pt>
                <c:pt idx="849">
                  <c:v>37431.800000000003</c:v>
                </c:pt>
                <c:pt idx="850">
                  <c:v>37377.300000000003</c:v>
                </c:pt>
                <c:pt idx="851">
                  <c:v>36884.9</c:v>
                </c:pt>
                <c:pt idx="852">
                  <c:v>36334.400000000001</c:v>
                </c:pt>
                <c:pt idx="853">
                  <c:v>36999.9</c:v>
                </c:pt>
                <c:pt idx="854">
                  <c:v>37378.5</c:v>
                </c:pt>
                <c:pt idx="855">
                  <c:v>37661.599999999999</c:v>
                </c:pt>
                <c:pt idx="856">
                  <c:v>38148.300000000003</c:v>
                </c:pt>
                <c:pt idx="857">
                  <c:v>38241</c:v>
                </c:pt>
                <c:pt idx="858">
                  <c:v>38498.9</c:v>
                </c:pt>
                <c:pt idx="859">
                  <c:v>38656.199999999997</c:v>
                </c:pt>
                <c:pt idx="860">
                  <c:v>38485.199999999997</c:v>
                </c:pt>
                <c:pt idx="861">
                  <c:v>38542.1</c:v>
                </c:pt>
                <c:pt idx="862">
                  <c:v>39163.9</c:v>
                </c:pt>
                <c:pt idx="863">
                  <c:v>39226.699999999997</c:v>
                </c:pt>
                <c:pt idx="864">
                  <c:v>39525</c:v>
                </c:pt>
                <c:pt idx="865">
                  <c:v>39494.6</c:v>
                </c:pt>
                <c:pt idx="866">
                  <c:v>39821.1</c:v>
                </c:pt>
                <c:pt idx="867">
                  <c:v>40027.699999999997</c:v>
                </c:pt>
                <c:pt idx="868">
                  <c:v>40435</c:v>
                </c:pt>
                <c:pt idx="869">
                  <c:v>40531.4</c:v>
                </c:pt>
                <c:pt idx="870">
                  <c:v>40746.699999999997</c:v>
                </c:pt>
                <c:pt idx="871">
                  <c:v>40796.400000000001</c:v>
                </c:pt>
                <c:pt idx="872">
                  <c:v>40289.199999999997</c:v>
                </c:pt>
                <c:pt idx="873">
                  <c:v>40006.080000000002</c:v>
                </c:pt>
                <c:pt idx="874">
                  <c:v>39796.92</c:v>
                </c:pt>
                <c:pt idx="875">
                  <c:v>39809.21</c:v>
                </c:pt>
                <c:pt idx="876">
                  <c:v>39787.86</c:v>
                </c:pt>
                <c:pt idx="877">
                  <c:v>39798.33</c:v>
                </c:pt>
                <c:pt idx="878">
                  <c:v>39623.58</c:v>
                </c:pt>
                <c:pt idx="879">
                  <c:v>39711.910000000003</c:v>
                </c:pt>
                <c:pt idx="880">
                  <c:v>39400.730000000003</c:v>
                </c:pt>
                <c:pt idx="881">
                  <c:v>40067.300000000003</c:v>
                </c:pt>
                <c:pt idx="882">
                  <c:v>39690.720000000001</c:v>
                </c:pt>
                <c:pt idx="883">
                  <c:v>39970.15</c:v>
                </c:pt>
                <c:pt idx="884">
                  <c:v>40246.120000000003</c:v>
                </c:pt>
                <c:pt idx="885">
                  <c:v>39958.97</c:v>
                </c:pt>
                <c:pt idx="886">
                  <c:v>39996.29</c:v>
                </c:pt>
                <c:pt idx="887">
                  <c:v>40142.400000000001</c:v>
                </c:pt>
                <c:pt idx="888">
                  <c:v>39929.65</c:v>
                </c:pt>
                <c:pt idx="889">
                  <c:v>39860.49</c:v>
                </c:pt>
                <c:pt idx="890">
                  <c:v>40199.410000000003</c:v>
                </c:pt>
                <c:pt idx="891">
                  <c:v>40511.24</c:v>
                </c:pt>
                <c:pt idx="892">
                  <c:v>40446.26</c:v>
                </c:pt>
                <c:pt idx="893">
                  <c:v>40738.36</c:v>
                </c:pt>
                <c:pt idx="894">
                  <c:v>40759.15</c:v>
                </c:pt>
                <c:pt idx="895">
                  <c:v>40397.03</c:v>
                </c:pt>
                <c:pt idx="896">
                  <c:v>40755.360000000001</c:v>
                </c:pt>
                <c:pt idx="897">
                  <c:v>40845.360000000001</c:v>
                </c:pt>
                <c:pt idx="898">
                  <c:v>41152.83</c:v>
                </c:pt>
                <c:pt idx="899">
                  <c:v>41007.769999999997</c:v>
                </c:pt>
                <c:pt idx="900">
                  <c:v>40850.269999999997</c:v>
                </c:pt>
                <c:pt idx="901">
                  <c:v>40801.94</c:v>
                </c:pt>
                <c:pt idx="902">
                  <c:v>40882.26</c:v>
                </c:pt>
                <c:pt idx="903">
                  <c:v>41025.19</c:v>
                </c:pt>
                <c:pt idx="904">
                  <c:v>41091.919999999998</c:v>
                </c:pt>
                <c:pt idx="905">
                  <c:v>42034.22</c:v>
                </c:pt>
                <c:pt idx="906">
                  <c:v>42140.91</c:v>
                </c:pt>
                <c:pt idx="907">
                  <c:v>42273.27</c:v>
                </c:pt>
                <c:pt idx="908">
                  <c:v>41783.480000000003</c:v>
                </c:pt>
                <c:pt idx="909">
                  <c:v>41582.449999999997</c:v>
                </c:pt>
                <c:pt idx="910">
                  <c:v>41122.53</c:v>
                </c:pt>
                <c:pt idx="911">
                  <c:v>40999.75</c:v>
                </c:pt>
                <c:pt idx="912">
                  <c:v>40907.78</c:v>
                </c:pt>
                <c:pt idx="913">
                  <c:v>40158.85</c:v>
                </c:pt>
                <c:pt idx="914">
                  <c:v>39900.559999999998</c:v>
                </c:pt>
                <c:pt idx="915">
                  <c:v>39950.26</c:v>
                </c:pt>
                <c:pt idx="916">
                  <c:v>40434.07</c:v>
                </c:pt>
                <c:pt idx="917">
                  <c:v>40062.46</c:v>
                </c:pt>
                <c:pt idx="918">
                  <c:v>40581.699999999997</c:v>
                </c:pt>
                <c:pt idx="919">
                  <c:v>40160.54</c:v>
                </c:pt>
                <c:pt idx="920">
                  <c:v>40043.480000000003</c:v>
                </c:pt>
                <c:pt idx="921">
                  <c:v>40074.99</c:v>
                </c:pt>
                <c:pt idx="922">
                  <c:v>40304.720000000001</c:v>
                </c:pt>
                <c:pt idx="923">
                  <c:v>40148.81</c:v>
                </c:pt>
                <c:pt idx="924">
                  <c:v>39487.86</c:v>
                </c:pt>
                <c:pt idx="925">
                  <c:v>39553.54</c:v>
                </c:pt>
                <c:pt idx="926">
                  <c:v>38837.480000000003</c:v>
                </c:pt>
                <c:pt idx="927">
                  <c:v>38614.449999999997</c:v>
                </c:pt>
                <c:pt idx="928">
                  <c:v>38875.730000000003</c:v>
                </c:pt>
                <c:pt idx="929">
                  <c:v>38132.870000000003</c:v>
                </c:pt>
                <c:pt idx="930">
                  <c:v>38433.69</c:v>
                </c:pt>
                <c:pt idx="931">
                  <c:v>39707.050000000003</c:v>
                </c:pt>
                <c:pt idx="932">
                  <c:v>39030.410000000003</c:v>
                </c:pt>
                <c:pt idx="933">
                  <c:v>39703.64</c:v>
                </c:pt>
                <c:pt idx="934">
                  <c:v>39238.870000000003</c:v>
                </c:pt>
                <c:pt idx="935">
                  <c:v>39107.230000000003</c:v>
                </c:pt>
                <c:pt idx="936">
                  <c:v>39610.92</c:v>
                </c:pt>
                <c:pt idx="937">
                  <c:v>39857.39</c:v>
                </c:pt>
                <c:pt idx="938">
                  <c:v>40060.78</c:v>
                </c:pt>
                <c:pt idx="939">
                  <c:v>40082.949999999997</c:v>
                </c:pt>
                <c:pt idx="940">
                  <c:v>40293.1</c:v>
                </c:pt>
                <c:pt idx="941">
                  <c:v>40910.28</c:v>
                </c:pt>
                <c:pt idx="942">
                  <c:v>40738.5</c:v>
                </c:pt>
                <c:pt idx="943">
                  <c:v>40903.21</c:v>
                </c:pt>
                <c:pt idx="944">
                  <c:v>41165.089999999997</c:v>
                </c:pt>
                <c:pt idx="945">
                  <c:v>40843.910000000003</c:v>
                </c:pt>
                <c:pt idx="946">
                  <c:v>40570.559999999998</c:v>
                </c:pt>
                <c:pt idx="947">
                  <c:v>40603.89</c:v>
                </c:pt>
                <c:pt idx="948">
                  <c:v>40366.75</c:v>
                </c:pt>
                <c:pt idx="949">
                  <c:v>40615.81</c:v>
                </c:pt>
                <c:pt idx="950">
                  <c:v>40577.96</c:v>
                </c:pt>
                <c:pt idx="951">
                  <c:v>40874.410000000003</c:v>
                </c:pt>
                <c:pt idx="952">
                  <c:v>41376.949999999997</c:v>
                </c:pt>
                <c:pt idx="953">
                  <c:v>41295.32</c:v>
                </c:pt>
                <c:pt idx="954">
                  <c:v>40993.03</c:v>
                </c:pt>
                <c:pt idx="955">
                  <c:v>40949.43</c:v>
                </c:pt>
                <c:pt idx="956">
                  <c:v>41003.64</c:v>
                </c:pt>
                <c:pt idx="957">
                  <c:v>40990.31</c:v>
                </c:pt>
                <c:pt idx="958">
                  <c:v>41135.64</c:v>
                </c:pt>
                <c:pt idx="959">
                  <c:v>41207.54</c:v>
                </c:pt>
                <c:pt idx="960">
                  <c:v>41169.32</c:v>
                </c:pt>
                <c:pt idx="961">
                  <c:v>41309.49</c:v>
                </c:pt>
                <c:pt idx="962">
                  <c:v>41277.839999999997</c:v>
                </c:pt>
                <c:pt idx="963">
                  <c:v>41144.36</c:v>
                </c:pt>
                <c:pt idx="964">
                  <c:v>41343.54</c:v>
                </c:pt>
                <c:pt idx="965">
                  <c:v>40375.379999999997</c:v>
                </c:pt>
                <c:pt idx="966">
                  <c:v>40809.519999999997</c:v>
                </c:pt>
                <c:pt idx="967">
                  <c:v>40384.639999999999</c:v>
                </c:pt>
                <c:pt idx="968">
                  <c:v>40412.050000000003</c:v>
                </c:pt>
                <c:pt idx="969">
                  <c:v>40197.11</c:v>
                </c:pt>
                <c:pt idx="970">
                  <c:v>40465.379999999997</c:v>
                </c:pt>
                <c:pt idx="971">
                  <c:v>40447.56</c:v>
                </c:pt>
                <c:pt idx="972">
                  <c:v>40405.35</c:v>
                </c:pt>
                <c:pt idx="973">
                  <c:v>40563.269999999997</c:v>
                </c:pt>
                <c:pt idx="974">
                  <c:v>40573.71</c:v>
                </c:pt>
                <c:pt idx="975">
                  <c:v>40901.800000000003</c:v>
                </c:pt>
                <c:pt idx="976">
                  <c:v>40627.35</c:v>
                </c:pt>
                <c:pt idx="977">
                  <c:v>40592.18</c:v>
                </c:pt>
                <c:pt idx="978">
                  <c:v>40403.699999999997</c:v>
                </c:pt>
                <c:pt idx="979">
                  <c:v>40438.519999999997</c:v>
                </c:pt>
                <c:pt idx="980">
                  <c:v>40438.519999999997</c:v>
                </c:pt>
                <c:pt idx="981">
                  <c:v>40352.946671553509</c:v>
                </c:pt>
                <c:pt idx="982">
                  <c:v>39737.494175810731</c:v>
                </c:pt>
                <c:pt idx="983">
                  <c:v>39677.749648598605</c:v>
                </c:pt>
                <c:pt idx="984">
                  <c:v>40110.112993399074</c:v>
                </c:pt>
                <c:pt idx="985">
                  <c:v>40279.996643507126</c:v>
                </c:pt>
                <c:pt idx="986">
                  <c:v>40189.056031283137</c:v>
                </c:pt>
                <c:pt idx="987">
                  <c:v>40043.112880468543</c:v>
                </c:pt>
                <c:pt idx="988">
                  <c:v>40148.763987512022</c:v>
                </c:pt>
                <c:pt idx="989">
                  <c:v>40610.957278204194</c:v>
                </c:pt>
                <c:pt idx="990">
                  <c:v>40334.366152764262</c:v>
                </c:pt>
                <c:pt idx="991">
                  <c:v>40614.219819285005</c:v>
                </c:pt>
                <c:pt idx="992">
                  <c:v>40869.754610655698</c:v>
                </c:pt>
                <c:pt idx="993">
                  <c:v>40805.450042140277</c:v>
                </c:pt>
                <c:pt idx="994">
                  <c:v>40845.117577501602</c:v>
                </c:pt>
                <c:pt idx="995">
                  <c:v>41126.088443487068</c:v>
                </c:pt>
                <c:pt idx="996">
                  <c:v>40818.293380068564</c:v>
                </c:pt>
                <c:pt idx="997">
                  <c:v>40900.926221202419</c:v>
                </c:pt>
                <c:pt idx="998">
                  <c:v>41239.162689114193</c:v>
                </c:pt>
                <c:pt idx="999">
                  <c:v>41320.414538083613</c:v>
                </c:pt>
                <c:pt idx="1000">
                  <c:v>41796.535349697369</c:v>
                </c:pt>
                <c:pt idx="1001">
                  <c:v>41990.652258208516</c:v>
                </c:pt>
                <c:pt idx="1002">
                  <c:v>41786.071674667633</c:v>
                </c:pt>
                <c:pt idx="1003">
                  <c:v>41795.765514123457</c:v>
                </c:pt>
                <c:pt idx="1004">
                  <c:v>42293.720279703222</c:v>
                </c:pt>
                <c:pt idx="1005">
                  <c:v>42368.710326414657</c:v>
                </c:pt>
                <c:pt idx="1006">
                  <c:v>41971.865405752542</c:v>
                </c:pt>
                <c:pt idx="1007">
                  <c:v>42446.131449626526</c:v>
                </c:pt>
                <c:pt idx="1008">
                  <c:v>42580.668212908509</c:v>
                </c:pt>
                <c:pt idx="1009">
                  <c:v>42418.13845428174</c:v>
                </c:pt>
                <c:pt idx="1010">
                  <c:v>41642.744757117638</c:v>
                </c:pt>
                <c:pt idx="1011">
                  <c:v>41828.927350142621</c:v>
                </c:pt>
                <c:pt idx="1012">
                  <c:v>41938.667168657281</c:v>
                </c:pt>
                <c:pt idx="1013">
                  <c:v>41996.561085137961</c:v>
                </c:pt>
                <c:pt idx="1014">
                  <c:v>42438.760751064183</c:v>
                </c:pt>
                <c:pt idx="1015">
                  <c:v>42236.263256696693</c:v>
                </c:pt>
                <c:pt idx="1016">
                  <c:v>42512.936441248647</c:v>
                </c:pt>
                <c:pt idx="1017">
                  <c:v>42302.098057882424</c:v>
                </c:pt>
                <c:pt idx="1018">
                  <c:v>42596.265483342868</c:v>
                </c:pt>
                <c:pt idx="1019">
                  <c:v>42149.762447494402</c:v>
                </c:pt>
                <c:pt idx="1020">
                  <c:v>42645.529018390662</c:v>
                </c:pt>
                <c:pt idx="1021">
                  <c:v>43043.342943176038</c:v>
                </c:pt>
                <c:pt idx="1022">
                  <c:v>43599.906794541384</c:v>
                </c:pt>
                <c:pt idx="1023">
                  <c:v>43674.684937519982</c:v>
                </c:pt>
                <c:pt idx="1024">
                  <c:v>44263.356564254129</c:v>
                </c:pt>
                <c:pt idx="1025">
                  <c:v>43101.405734783788</c:v>
                </c:pt>
                <c:pt idx="1026">
                  <c:v>43374.939629606357</c:v>
                </c:pt>
                <c:pt idx="1027">
                  <c:v>43677.89027987804</c:v>
                </c:pt>
                <c:pt idx="1028">
                  <c:v>43653.857495888762</c:v>
                </c:pt>
                <c:pt idx="1029">
                  <c:v>44127.771077635225</c:v>
                </c:pt>
                <c:pt idx="1030">
                  <c:v>44009.68256212597</c:v>
                </c:pt>
                <c:pt idx="1031">
                  <c:v>44180.691832120079</c:v>
                </c:pt>
                <c:pt idx="1032">
                  <c:v>43929.998089052911</c:v>
                </c:pt>
                <c:pt idx="1033">
                  <c:v>44026.541783832632</c:v>
                </c:pt>
                <c:pt idx="1034">
                  <c:v>44611.363650963191</c:v>
                </c:pt>
                <c:pt idx="1035">
                  <c:v>44649.924055474519</c:v>
                </c:pt>
                <c:pt idx="1036">
                  <c:v>44628.107709823249</c:v>
                </c:pt>
                <c:pt idx="1037">
                  <c:v>45071.039962257266</c:v>
                </c:pt>
                <c:pt idx="1038">
                  <c:v>45204.202089034443</c:v>
                </c:pt>
                <c:pt idx="1039">
                  <c:v>45023.025150819674</c:v>
                </c:pt>
                <c:pt idx="1040">
                  <c:v>44841.930661155311</c:v>
                </c:pt>
                <c:pt idx="1041">
                  <c:v>45150.118589668644</c:v>
                </c:pt>
                <c:pt idx="1042">
                  <c:v>45514.941679417025</c:v>
                </c:pt>
                <c:pt idx="1043">
                  <c:v>45684.350252852666</c:v>
                </c:pt>
                <c:pt idx="1044">
                  <c:v>45838.794309709498</c:v>
                </c:pt>
                <c:pt idx="1045">
                  <c:v>46294.773584530536</c:v>
                </c:pt>
                <c:pt idx="1046">
                  <c:v>46736.034685197199</c:v>
                </c:pt>
                <c:pt idx="1047">
                  <c:v>46586.428393185757</c:v>
                </c:pt>
                <c:pt idx="1048">
                  <c:v>46463.528641832017</c:v>
                </c:pt>
                <c:pt idx="1049">
                  <c:v>46229.531505750478</c:v>
                </c:pt>
                <c:pt idx="1050">
                  <c:v>45984.53910648459</c:v>
                </c:pt>
                <c:pt idx="1051">
                  <c:v>46280.794683864966</c:v>
                </c:pt>
                <c:pt idx="1052">
                  <c:v>46331.992974081266</c:v>
                </c:pt>
                <c:pt idx="1053">
                  <c:v>46198.480513998933</c:v>
                </c:pt>
                <c:pt idx="1054">
                  <c:v>47034.900507090657</c:v>
                </c:pt>
                <c:pt idx="1055">
                  <c:v>47453.950967606659</c:v>
                </c:pt>
                <c:pt idx="1056">
                  <c:v>47000.930053995304</c:v>
                </c:pt>
                <c:pt idx="1057">
                  <c:v>47345.006904979513</c:v>
                </c:pt>
                <c:pt idx="1058">
                  <c:v>47249.219423912204</c:v>
                </c:pt>
                <c:pt idx="1059">
                  <c:v>47604.128740586879</c:v>
                </c:pt>
                <c:pt idx="1060">
                  <c:v>47072.985472633067</c:v>
                </c:pt>
                <c:pt idx="1061">
                  <c:v>46718.288841163812</c:v>
                </c:pt>
                <c:pt idx="1062">
                  <c:v>47016.758016553591</c:v>
                </c:pt>
                <c:pt idx="1063">
                  <c:v>46770.24041878037</c:v>
                </c:pt>
                <c:pt idx="1064">
                  <c:v>46912.909533710932</c:v>
                </c:pt>
                <c:pt idx="1065">
                  <c:v>47423.788167207051</c:v>
                </c:pt>
                <c:pt idx="1066">
                  <c:v>46974.224806633196</c:v>
                </c:pt>
                <c:pt idx="1067">
                  <c:v>47094.841930417853</c:v>
                </c:pt>
                <c:pt idx="1068">
                  <c:v>47142.19148993132</c:v>
                </c:pt>
                <c:pt idx="1069">
                  <c:v>47381.870347742122</c:v>
                </c:pt>
                <c:pt idx="1070">
                  <c:v>47236.895424564849</c:v>
                </c:pt>
                <c:pt idx="1071">
                  <c:v>47286.031363287868</c:v>
                </c:pt>
                <c:pt idx="1072">
                  <c:v>47318.946693035803</c:v>
                </c:pt>
                <c:pt idx="1073">
                  <c:v>46908.220734016606</c:v>
                </c:pt>
                <c:pt idx="1074">
                  <c:v>47056.409750300969</c:v>
                </c:pt>
                <c:pt idx="1075">
                  <c:v>47346.537776243014</c:v>
                </c:pt>
                <c:pt idx="1076">
                  <c:v>48572.178094033981</c:v>
                </c:pt>
                <c:pt idx="1077">
                  <c:v>48654.670170258731</c:v>
                </c:pt>
                <c:pt idx="1078">
                  <c:v>48912.724992770032</c:v>
                </c:pt>
                <c:pt idx="1079">
                  <c:v>49134.942715648896</c:v>
                </c:pt>
                <c:pt idx="1080">
                  <c:v>48593.179167464987</c:v>
                </c:pt>
                <c:pt idx="1081">
                  <c:v>48122.813429229485</c:v>
                </c:pt>
                <c:pt idx="1082">
                  <c:v>48087.639360324683</c:v>
                </c:pt>
                <c:pt idx="1083">
                  <c:v>48407.637540282878</c:v>
                </c:pt>
                <c:pt idx="1084">
                  <c:v>48431.47965223722</c:v>
                </c:pt>
                <c:pt idx="1085">
                  <c:v>48472.384371728011</c:v>
                </c:pt>
                <c:pt idx="1086">
                  <c:v>48899.949467155297</c:v>
                </c:pt>
                <c:pt idx="1087">
                  <c:v>48772.674591421412</c:v>
                </c:pt>
                <c:pt idx="1088">
                  <c:v>49142.143034558219</c:v>
                </c:pt>
                <c:pt idx="1089">
                  <c:v>48767.628535246346</c:v>
                </c:pt>
                <c:pt idx="1090">
                  <c:v>48863.615634327303</c:v>
                </c:pt>
                <c:pt idx="1091">
                  <c:v>49106.644387124485</c:v>
                </c:pt>
                <c:pt idx="1092">
                  <c:v>49212.353793740156</c:v>
                </c:pt>
                <c:pt idx="1093">
                  <c:v>49048.784930256013</c:v>
                </c:pt>
                <c:pt idx="1094">
                  <c:v>49262.224574832057</c:v>
                </c:pt>
                <c:pt idx="1095">
                  <c:v>49012.862105713895</c:v>
                </c:pt>
                <c:pt idx="1096">
                  <c:v>49292.016464111017</c:v>
                </c:pt>
                <c:pt idx="1097">
                  <c:v>49437.374426647162</c:v>
                </c:pt>
                <c:pt idx="1098">
                  <c:v>49108.129595779683</c:v>
                </c:pt>
                <c:pt idx="1099">
                  <c:v>49137.798431597104</c:v>
                </c:pt>
                <c:pt idx="1100">
                  <c:v>49246.240294461633</c:v>
                </c:pt>
                <c:pt idx="1101">
                  <c:v>48905.006455463896</c:v>
                </c:pt>
                <c:pt idx="1102">
                  <c:v>48479.819694840349</c:v>
                </c:pt>
                <c:pt idx="1103">
                  <c:v>47620.813629010561</c:v>
                </c:pt>
                <c:pt idx="1104">
                  <c:v>48386.956286024229</c:v>
                </c:pt>
                <c:pt idx="1105">
                  <c:v>48089.69805406758</c:v>
                </c:pt>
                <c:pt idx="1106">
                  <c:v>47564.724580643167</c:v>
                </c:pt>
                <c:pt idx="1107">
                  <c:v>47263.138505728064</c:v>
                </c:pt>
                <c:pt idx="1108">
                  <c:v>47415.908938309396</c:v>
                </c:pt>
                <c:pt idx="1109">
                  <c:v>47800.522928752631</c:v>
                </c:pt>
                <c:pt idx="1110">
                  <c:v>47667.55677073347</c:v>
                </c:pt>
                <c:pt idx="1111">
                  <c:v>48289.783267598861</c:v>
                </c:pt>
                <c:pt idx="1112">
                  <c:v>48637.269032884142</c:v>
                </c:pt>
                <c:pt idx="1113">
                  <c:v>49221.269420561774</c:v>
                </c:pt>
                <c:pt idx="1114">
                  <c:v>49749.156430734482</c:v>
                </c:pt>
                <c:pt idx="1115">
                  <c:v>48897.829810954558</c:v>
                </c:pt>
                <c:pt idx="1116">
                  <c:v>48588.552366154938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84-4424-BA06-9FA9DB80C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10624"/>
        <c:axId val="1371508047"/>
      </c:lineChart>
      <c:dateAx>
        <c:axId val="11663106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371508047"/>
        <c:crosses val="autoZero"/>
        <c:auto val="0"/>
        <c:lblOffset val="100"/>
        <c:baseTimeUnit val="days"/>
        <c:majorUnit val="2"/>
        <c:majorTimeUnit val="months"/>
      </c:dateAx>
      <c:valAx>
        <c:axId val="13715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66310624"/>
        <c:crossesAt val="1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'TOTAL DAILY'!$J$1</c:f>
              <c:strCache>
                <c:ptCount val="1"/>
                <c:pt idx="0">
                  <c:v>Performance (EUR)</c:v>
                </c:pt>
              </c:strCache>
            </c:strRef>
          </c:tx>
          <c:spPr>
            <a:ln w="28575">
              <a:solidFill>
                <a:srgbClr val="002060"/>
              </a:solidFill>
            </a:ln>
          </c:spPr>
          <c:marker>
            <c:symbol val="none"/>
          </c:marker>
          <c:cat>
            <c:numRef>
              <c:f>'TOTAL DAILY'!$I$2:$I$150</c:f>
              <c:numCache>
                <c:formatCode>m/d/yy</c:formatCode>
                <c:ptCount val="149"/>
                <c:pt idx="0">
                  <c:v>45775</c:v>
                </c:pt>
                <c:pt idx="1">
                  <c:v>45776</c:v>
                </c:pt>
                <c:pt idx="2">
                  <c:v>45777</c:v>
                </c:pt>
                <c:pt idx="3">
                  <c:v>45778</c:v>
                </c:pt>
                <c:pt idx="4">
                  <c:v>45779</c:v>
                </c:pt>
                <c:pt idx="5">
                  <c:v>45782</c:v>
                </c:pt>
                <c:pt idx="6">
                  <c:v>45783</c:v>
                </c:pt>
                <c:pt idx="7">
                  <c:v>45784</c:v>
                </c:pt>
                <c:pt idx="8">
                  <c:v>45785</c:v>
                </c:pt>
                <c:pt idx="9">
                  <c:v>45786</c:v>
                </c:pt>
                <c:pt idx="10">
                  <c:v>45789</c:v>
                </c:pt>
                <c:pt idx="11">
                  <c:v>45790</c:v>
                </c:pt>
                <c:pt idx="12">
                  <c:v>45791</c:v>
                </c:pt>
                <c:pt idx="13">
                  <c:v>45792</c:v>
                </c:pt>
                <c:pt idx="14">
                  <c:v>45793</c:v>
                </c:pt>
                <c:pt idx="15">
                  <c:v>45796</c:v>
                </c:pt>
                <c:pt idx="16">
                  <c:v>45797</c:v>
                </c:pt>
                <c:pt idx="17">
                  <c:v>45798</c:v>
                </c:pt>
                <c:pt idx="18">
                  <c:v>45799</c:v>
                </c:pt>
                <c:pt idx="19">
                  <c:v>45800</c:v>
                </c:pt>
                <c:pt idx="20">
                  <c:v>45804</c:v>
                </c:pt>
                <c:pt idx="21">
                  <c:v>45805</c:v>
                </c:pt>
                <c:pt idx="22">
                  <c:v>45806</c:v>
                </c:pt>
                <c:pt idx="23">
                  <c:v>45807</c:v>
                </c:pt>
                <c:pt idx="24">
                  <c:v>45810</c:v>
                </c:pt>
                <c:pt idx="25">
                  <c:v>45811</c:v>
                </c:pt>
                <c:pt idx="26">
                  <c:v>45812</c:v>
                </c:pt>
                <c:pt idx="27">
                  <c:v>45813</c:v>
                </c:pt>
                <c:pt idx="28">
                  <c:v>45814</c:v>
                </c:pt>
                <c:pt idx="29">
                  <c:v>45817</c:v>
                </c:pt>
                <c:pt idx="30">
                  <c:v>45818</c:v>
                </c:pt>
                <c:pt idx="31">
                  <c:v>45819</c:v>
                </c:pt>
                <c:pt idx="32">
                  <c:v>45820</c:v>
                </c:pt>
                <c:pt idx="33">
                  <c:v>45821</c:v>
                </c:pt>
                <c:pt idx="34">
                  <c:v>45824</c:v>
                </c:pt>
                <c:pt idx="35">
                  <c:v>45825</c:v>
                </c:pt>
                <c:pt idx="36">
                  <c:v>45826</c:v>
                </c:pt>
                <c:pt idx="37">
                  <c:v>45827</c:v>
                </c:pt>
                <c:pt idx="38">
                  <c:v>45828</c:v>
                </c:pt>
                <c:pt idx="39">
                  <c:v>45831</c:v>
                </c:pt>
                <c:pt idx="40">
                  <c:v>45832</c:v>
                </c:pt>
                <c:pt idx="41">
                  <c:v>45833</c:v>
                </c:pt>
                <c:pt idx="42">
                  <c:v>45834</c:v>
                </c:pt>
                <c:pt idx="43">
                  <c:v>45835</c:v>
                </c:pt>
                <c:pt idx="44">
                  <c:v>45838</c:v>
                </c:pt>
                <c:pt idx="45">
                  <c:v>45839</c:v>
                </c:pt>
                <c:pt idx="46">
                  <c:v>45840</c:v>
                </c:pt>
                <c:pt idx="47">
                  <c:v>45841</c:v>
                </c:pt>
                <c:pt idx="48">
                  <c:v>45842</c:v>
                </c:pt>
                <c:pt idx="49">
                  <c:v>45845</c:v>
                </c:pt>
                <c:pt idx="50">
                  <c:v>45846</c:v>
                </c:pt>
                <c:pt idx="51">
                  <c:v>45847</c:v>
                </c:pt>
                <c:pt idx="52">
                  <c:v>45848</c:v>
                </c:pt>
                <c:pt idx="53">
                  <c:v>45849</c:v>
                </c:pt>
                <c:pt idx="54">
                  <c:v>45852</c:v>
                </c:pt>
                <c:pt idx="55">
                  <c:v>45853</c:v>
                </c:pt>
                <c:pt idx="56">
                  <c:v>45854</c:v>
                </c:pt>
                <c:pt idx="57">
                  <c:v>45855</c:v>
                </c:pt>
                <c:pt idx="58">
                  <c:v>45856</c:v>
                </c:pt>
                <c:pt idx="59">
                  <c:v>45859</c:v>
                </c:pt>
                <c:pt idx="60">
                  <c:v>45860</c:v>
                </c:pt>
                <c:pt idx="61">
                  <c:v>45861</c:v>
                </c:pt>
                <c:pt idx="62">
                  <c:v>45862</c:v>
                </c:pt>
                <c:pt idx="63">
                  <c:v>45863</c:v>
                </c:pt>
                <c:pt idx="64">
                  <c:v>45866</c:v>
                </c:pt>
                <c:pt idx="65">
                  <c:v>45867</c:v>
                </c:pt>
                <c:pt idx="66">
                  <c:v>45868</c:v>
                </c:pt>
                <c:pt idx="67">
                  <c:v>45869</c:v>
                </c:pt>
                <c:pt idx="68">
                  <c:v>45870</c:v>
                </c:pt>
                <c:pt idx="69">
                  <c:v>45873</c:v>
                </c:pt>
                <c:pt idx="70">
                  <c:v>45874</c:v>
                </c:pt>
                <c:pt idx="71">
                  <c:v>45875</c:v>
                </c:pt>
                <c:pt idx="72">
                  <c:v>45876</c:v>
                </c:pt>
                <c:pt idx="73">
                  <c:v>45877</c:v>
                </c:pt>
                <c:pt idx="74">
                  <c:v>45880</c:v>
                </c:pt>
                <c:pt idx="75">
                  <c:v>45881</c:v>
                </c:pt>
                <c:pt idx="76">
                  <c:v>45882</c:v>
                </c:pt>
                <c:pt idx="77">
                  <c:v>45883</c:v>
                </c:pt>
                <c:pt idx="78">
                  <c:v>45884</c:v>
                </c:pt>
                <c:pt idx="79">
                  <c:v>45887</c:v>
                </c:pt>
                <c:pt idx="80">
                  <c:v>45888</c:v>
                </c:pt>
                <c:pt idx="81">
                  <c:v>45889</c:v>
                </c:pt>
                <c:pt idx="82">
                  <c:v>45890</c:v>
                </c:pt>
                <c:pt idx="83">
                  <c:v>45891</c:v>
                </c:pt>
                <c:pt idx="84">
                  <c:v>45894</c:v>
                </c:pt>
                <c:pt idx="85">
                  <c:v>45895</c:v>
                </c:pt>
                <c:pt idx="86">
                  <c:v>45896</c:v>
                </c:pt>
                <c:pt idx="87">
                  <c:v>45897</c:v>
                </c:pt>
                <c:pt idx="88">
                  <c:v>45898</c:v>
                </c:pt>
                <c:pt idx="89">
                  <c:v>45901</c:v>
                </c:pt>
                <c:pt idx="90">
                  <c:v>45902</c:v>
                </c:pt>
                <c:pt idx="91">
                  <c:v>45903</c:v>
                </c:pt>
                <c:pt idx="92">
                  <c:v>45904</c:v>
                </c:pt>
                <c:pt idx="93">
                  <c:v>45905</c:v>
                </c:pt>
                <c:pt idx="94">
                  <c:v>45908</c:v>
                </c:pt>
                <c:pt idx="95">
                  <c:v>45909</c:v>
                </c:pt>
                <c:pt idx="96">
                  <c:v>45910</c:v>
                </c:pt>
                <c:pt idx="97">
                  <c:v>45911</c:v>
                </c:pt>
                <c:pt idx="98">
                  <c:v>45912</c:v>
                </c:pt>
                <c:pt idx="99">
                  <c:v>45915</c:v>
                </c:pt>
                <c:pt idx="100">
                  <c:v>45916</c:v>
                </c:pt>
                <c:pt idx="101">
                  <c:v>45917</c:v>
                </c:pt>
                <c:pt idx="102">
                  <c:v>45918</c:v>
                </c:pt>
                <c:pt idx="103">
                  <c:v>45919</c:v>
                </c:pt>
                <c:pt idx="104">
                  <c:v>45922</c:v>
                </c:pt>
                <c:pt idx="105">
                  <c:v>45923</c:v>
                </c:pt>
                <c:pt idx="106">
                  <c:v>45924</c:v>
                </c:pt>
                <c:pt idx="107">
                  <c:v>45925</c:v>
                </c:pt>
                <c:pt idx="108">
                  <c:v>45926</c:v>
                </c:pt>
                <c:pt idx="109">
                  <c:v>45929</c:v>
                </c:pt>
                <c:pt idx="110">
                  <c:v>45930</c:v>
                </c:pt>
                <c:pt idx="111">
                  <c:v>45931</c:v>
                </c:pt>
                <c:pt idx="112">
                  <c:v>45932</c:v>
                </c:pt>
                <c:pt idx="113">
                  <c:v>45933</c:v>
                </c:pt>
                <c:pt idx="114">
                  <c:v>45936</c:v>
                </c:pt>
                <c:pt idx="115">
                  <c:v>45937</c:v>
                </c:pt>
                <c:pt idx="116">
                  <c:v>45938</c:v>
                </c:pt>
                <c:pt idx="117">
                  <c:v>45939</c:v>
                </c:pt>
                <c:pt idx="118">
                  <c:v>45940</c:v>
                </c:pt>
                <c:pt idx="119">
                  <c:v>45943</c:v>
                </c:pt>
                <c:pt idx="120">
                  <c:v>45944</c:v>
                </c:pt>
                <c:pt idx="121">
                  <c:v>45945</c:v>
                </c:pt>
                <c:pt idx="122">
                  <c:v>45946</c:v>
                </c:pt>
                <c:pt idx="123">
                  <c:v>45947</c:v>
                </c:pt>
                <c:pt idx="124">
                  <c:v>45950</c:v>
                </c:pt>
                <c:pt idx="125">
                  <c:v>45951</c:v>
                </c:pt>
                <c:pt idx="126">
                  <c:v>45952</c:v>
                </c:pt>
                <c:pt idx="127">
                  <c:v>45953</c:v>
                </c:pt>
                <c:pt idx="128">
                  <c:v>45954</c:v>
                </c:pt>
                <c:pt idx="129">
                  <c:v>45957</c:v>
                </c:pt>
                <c:pt idx="130">
                  <c:v>45958</c:v>
                </c:pt>
                <c:pt idx="131">
                  <c:v>45959</c:v>
                </c:pt>
                <c:pt idx="132">
                  <c:v>45960</c:v>
                </c:pt>
                <c:pt idx="133">
                  <c:v>45961</c:v>
                </c:pt>
                <c:pt idx="134">
                  <c:v>45964</c:v>
                </c:pt>
                <c:pt idx="135">
                  <c:v>45965</c:v>
                </c:pt>
                <c:pt idx="136">
                  <c:v>45966</c:v>
                </c:pt>
                <c:pt idx="137">
                  <c:v>45967</c:v>
                </c:pt>
                <c:pt idx="138">
                  <c:v>45968</c:v>
                </c:pt>
                <c:pt idx="139">
                  <c:v>45971</c:v>
                </c:pt>
                <c:pt idx="140">
                  <c:v>45972</c:v>
                </c:pt>
                <c:pt idx="141">
                  <c:v>45973</c:v>
                </c:pt>
                <c:pt idx="142">
                  <c:v>45974</c:v>
                </c:pt>
                <c:pt idx="143">
                  <c:v>45975</c:v>
                </c:pt>
                <c:pt idx="144">
                  <c:v>45978</c:v>
                </c:pt>
                <c:pt idx="145">
                  <c:v>45979</c:v>
                </c:pt>
                <c:pt idx="146">
                  <c:v>45980</c:v>
                </c:pt>
                <c:pt idx="147">
                  <c:v>45981</c:v>
                </c:pt>
                <c:pt idx="148">
                  <c:v>45982</c:v>
                </c:pt>
              </c:numCache>
            </c:numRef>
          </c:cat>
          <c:val>
            <c:numRef>
              <c:f>'TOTAL DAILY'!$J$2:$J$150</c:f>
              <c:numCache>
                <c:formatCode>General</c:formatCode>
                <c:ptCount val="149"/>
                <c:pt idx="0">
                  <c:v>0</c:v>
                </c:pt>
                <c:pt idx="1">
                  <c:v>-85.573328446487722</c:v>
                </c:pt>
                <c:pt idx="2">
                  <c:v>-701.02582418926613</c:v>
                </c:pt>
                <c:pt idx="3">
                  <c:v>-760.77035140139196</c:v>
                </c:pt>
                <c:pt idx="4">
                  <c:v>-328.40700660092261</c:v>
                </c:pt>
                <c:pt idx="5">
                  <c:v>-158.52335649287124</c:v>
                </c:pt>
                <c:pt idx="6">
                  <c:v>-249.46396871686011</c:v>
                </c:pt>
                <c:pt idx="7">
                  <c:v>-395.40711953145365</c:v>
                </c:pt>
                <c:pt idx="8">
                  <c:v>-289.75601248797466</c:v>
                </c:pt>
                <c:pt idx="9">
                  <c:v>172.43727820419736</c:v>
                </c:pt>
                <c:pt idx="10">
                  <c:v>-104.15384723573516</c:v>
                </c:pt>
                <c:pt idx="11">
                  <c:v>175.69981928500783</c:v>
                </c:pt>
                <c:pt idx="12">
                  <c:v>431.23461065570154</c:v>
                </c:pt>
                <c:pt idx="13">
                  <c:v>366.93004214028042</c:v>
                </c:pt>
                <c:pt idx="14">
                  <c:v>406.59757750160497</c:v>
                </c:pt>
                <c:pt idx="15">
                  <c:v>687.56844348707091</c:v>
                </c:pt>
                <c:pt idx="16">
                  <c:v>379.77338006856735</c:v>
                </c:pt>
                <c:pt idx="17">
                  <c:v>462.40622120242188</c:v>
                </c:pt>
                <c:pt idx="18">
                  <c:v>800.6426891141964</c:v>
                </c:pt>
                <c:pt idx="19">
                  <c:v>881.89453808361577</c:v>
                </c:pt>
                <c:pt idx="20">
                  <c:v>1358.0153496973726</c:v>
                </c:pt>
                <c:pt idx="21">
                  <c:v>1552.1322582085195</c:v>
                </c:pt>
                <c:pt idx="22">
                  <c:v>1347.5516746676367</c:v>
                </c:pt>
                <c:pt idx="23">
                  <c:v>1357.2455141234605</c:v>
                </c:pt>
                <c:pt idx="24">
                  <c:v>1855.2002797032255</c:v>
                </c:pt>
                <c:pt idx="25">
                  <c:v>1930.1903264146604</c:v>
                </c:pt>
                <c:pt idx="26">
                  <c:v>1533.345405752545</c:v>
                </c:pt>
                <c:pt idx="27">
                  <c:v>2007.6114496265291</c:v>
                </c:pt>
                <c:pt idx="28">
                  <c:v>2142.1482129085125</c:v>
                </c:pt>
                <c:pt idx="29">
                  <c:v>1979.6184542817427</c:v>
                </c:pt>
                <c:pt idx="30">
                  <c:v>1204.2247571176413</c:v>
                </c:pt>
                <c:pt idx="31">
                  <c:v>1390.4073501426246</c:v>
                </c:pt>
                <c:pt idx="32">
                  <c:v>1500.1471686572841</c:v>
                </c:pt>
                <c:pt idx="33">
                  <c:v>1558.0410851379638</c:v>
                </c:pt>
                <c:pt idx="34">
                  <c:v>2000.240751064186</c:v>
                </c:pt>
                <c:pt idx="35">
                  <c:v>1797.7432566966963</c:v>
                </c:pt>
                <c:pt idx="36">
                  <c:v>2074.4164412486498</c:v>
                </c:pt>
                <c:pt idx="37">
                  <c:v>1863.5780578824269</c:v>
                </c:pt>
                <c:pt idx="38">
                  <c:v>2157.745483342871</c:v>
                </c:pt>
                <c:pt idx="39">
                  <c:v>1711.2424474944055</c:v>
                </c:pt>
                <c:pt idx="40">
                  <c:v>2207.009018390665</c:v>
                </c:pt>
                <c:pt idx="41">
                  <c:v>2604.822943176041</c:v>
                </c:pt>
                <c:pt idx="42">
                  <c:v>3161.3867945413876</c:v>
                </c:pt>
                <c:pt idx="43">
                  <c:v>3236.164937519985</c:v>
                </c:pt>
                <c:pt idx="44">
                  <c:v>3824.8365642541321</c:v>
                </c:pt>
                <c:pt idx="45">
                  <c:v>2662.8857347837911</c:v>
                </c:pt>
                <c:pt idx="46">
                  <c:v>2936.4196296063601</c:v>
                </c:pt>
                <c:pt idx="47">
                  <c:v>3239.3702798780432</c:v>
                </c:pt>
                <c:pt idx="48">
                  <c:v>3215.3374958887653</c:v>
                </c:pt>
                <c:pt idx="49">
                  <c:v>3689.2510776352283</c:v>
                </c:pt>
                <c:pt idx="50">
                  <c:v>3571.1625621259736</c:v>
                </c:pt>
                <c:pt idx="51">
                  <c:v>3742.1718321200824</c:v>
                </c:pt>
                <c:pt idx="52">
                  <c:v>3491.4780890529146</c:v>
                </c:pt>
                <c:pt idx="53">
                  <c:v>3588.0217838326353</c:v>
                </c:pt>
                <c:pt idx="54">
                  <c:v>4172.8436509631938</c:v>
                </c:pt>
                <c:pt idx="55">
                  <c:v>4211.4040554745225</c:v>
                </c:pt>
                <c:pt idx="56">
                  <c:v>4189.5877098232522</c:v>
                </c:pt>
                <c:pt idx="57">
                  <c:v>4632.5199622572691</c:v>
                </c:pt>
                <c:pt idx="58">
                  <c:v>4765.6820890344461</c:v>
                </c:pt>
                <c:pt idx="59">
                  <c:v>4584.5051508196775</c:v>
                </c:pt>
                <c:pt idx="60">
                  <c:v>4403.4106611553143</c:v>
                </c:pt>
                <c:pt idx="61">
                  <c:v>4711.598589668647</c:v>
                </c:pt>
                <c:pt idx="62">
                  <c:v>5076.4216794170279</c:v>
                </c:pt>
                <c:pt idx="63">
                  <c:v>5245.8302528526692</c:v>
                </c:pt>
                <c:pt idx="64">
                  <c:v>5400.2743097095008</c:v>
                </c:pt>
                <c:pt idx="65">
                  <c:v>5856.2535845305392</c:v>
                </c:pt>
                <c:pt idx="66">
                  <c:v>6297.5146851972022</c:v>
                </c:pt>
                <c:pt idx="67">
                  <c:v>6147.9083931857604</c:v>
                </c:pt>
                <c:pt idx="68">
                  <c:v>6025.0086418320207</c:v>
                </c:pt>
                <c:pt idx="69">
                  <c:v>5791.0115057504809</c:v>
                </c:pt>
                <c:pt idx="70">
                  <c:v>5546.0191064845931</c:v>
                </c:pt>
                <c:pt idx="71">
                  <c:v>5842.2746838649691</c:v>
                </c:pt>
                <c:pt idx="72">
                  <c:v>5893.4729740812691</c:v>
                </c:pt>
                <c:pt idx="73">
                  <c:v>5759.9605139989362</c:v>
                </c:pt>
                <c:pt idx="74">
                  <c:v>6596.3805070906601</c:v>
                </c:pt>
                <c:pt idx="75">
                  <c:v>7015.4309676066623</c:v>
                </c:pt>
                <c:pt idx="76">
                  <c:v>6562.410053995307</c:v>
                </c:pt>
                <c:pt idx="77">
                  <c:v>6906.4869049795161</c:v>
                </c:pt>
                <c:pt idx="78">
                  <c:v>6810.6994239122068</c:v>
                </c:pt>
                <c:pt idx="79">
                  <c:v>7165.608740586882</c:v>
                </c:pt>
                <c:pt idx="80">
                  <c:v>6634.46547263307</c:v>
                </c:pt>
                <c:pt idx="81">
                  <c:v>6279.7688411638155</c:v>
                </c:pt>
                <c:pt idx="82">
                  <c:v>6578.2380165535942</c:v>
                </c:pt>
                <c:pt idx="83">
                  <c:v>6331.7204187803727</c:v>
                </c:pt>
                <c:pt idx="84">
                  <c:v>6474.3895337109352</c:v>
                </c:pt>
                <c:pt idx="85">
                  <c:v>6985.2681672070539</c:v>
                </c:pt>
                <c:pt idx="86">
                  <c:v>6535.704806633199</c:v>
                </c:pt>
                <c:pt idx="87">
                  <c:v>6656.3219304178565</c:v>
                </c:pt>
                <c:pt idx="88">
                  <c:v>6703.6714899313229</c:v>
                </c:pt>
                <c:pt idx="89">
                  <c:v>6943.3503477421255</c:v>
                </c:pt>
                <c:pt idx="90">
                  <c:v>6798.3754245648524</c:v>
                </c:pt>
                <c:pt idx="91">
                  <c:v>6847.5113632878711</c:v>
                </c:pt>
                <c:pt idx="92">
                  <c:v>6880.4266930358062</c:v>
                </c:pt>
                <c:pt idx="93">
                  <c:v>6469.7007340166092</c:v>
                </c:pt>
                <c:pt idx="94">
                  <c:v>6617.8897503009721</c:v>
                </c:pt>
                <c:pt idx="95">
                  <c:v>6908.0177762430176</c:v>
                </c:pt>
                <c:pt idx="96">
                  <c:v>8133.6580940339845</c:v>
                </c:pt>
                <c:pt idx="97">
                  <c:v>8216.1501702587339</c:v>
                </c:pt>
                <c:pt idx="98">
                  <c:v>8474.2049927700355</c:v>
                </c:pt>
                <c:pt idx="99">
                  <c:v>8696.4227156488996</c:v>
                </c:pt>
                <c:pt idx="100">
                  <c:v>8154.6591674649899</c:v>
                </c:pt>
                <c:pt idx="101">
                  <c:v>7684.2934292294885</c:v>
                </c:pt>
                <c:pt idx="102">
                  <c:v>7649.1193603246866</c:v>
                </c:pt>
                <c:pt idx="103">
                  <c:v>7969.1175402828812</c:v>
                </c:pt>
                <c:pt idx="104">
                  <c:v>7992.9596522372231</c:v>
                </c:pt>
                <c:pt idx="105">
                  <c:v>8033.8643717280138</c:v>
                </c:pt>
                <c:pt idx="106">
                  <c:v>8461.4294671552998</c:v>
                </c:pt>
                <c:pt idx="107">
                  <c:v>8334.1545914214148</c:v>
                </c:pt>
                <c:pt idx="108">
                  <c:v>8703.6230345582226</c:v>
                </c:pt>
                <c:pt idx="109">
                  <c:v>8329.1085352463488</c:v>
                </c:pt>
                <c:pt idx="110">
                  <c:v>8425.0956343273065</c:v>
                </c:pt>
                <c:pt idx="111">
                  <c:v>8668.1243871244878</c:v>
                </c:pt>
                <c:pt idx="112">
                  <c:v>8773.8337937401593</c:v>
                </c:pt>
                <c:pt idx="113">
                  <c:v>8610.2649302560167</c:v>
                </c:pt>
                <c:pt idx="114">
                  <c:v>8823.7045748320597</c:v>
                </c:pt>
                <c:pt idx="115">
                  <c:v>8574.3421057138985</c:v>
                </c:pt>
                <c:pt idx="116">
                  <c:v>8853.49646411102</c:v>
                </c:pt>
                <c:pt idx="117">
                  <c:v>8998.8544266471654</c:v>
                </c:pt>
                <c:pt idx="118">
                  <c:v>8669.6095957796861</c:v>
                </c:pt>
                <c:pt idx="119">
                  <c:v>8699.2784315971076</c:v>
                </c:pt>
                <c:pt idx="120">
                  <c:v>8807.7202944616365</c:v>
                </c:pt>
                <c:pt idx="121">
                  <c:v>8466.4864554638989</c:v>
                </c:pt>
                <c:pt idx="122">
                  <c:v>8041.2996948403525</c:v>
                </c:pt>
                <c:pt idx="123">
                  <c:v>7182.2936290105645</c:v>
                </c:pt>
                <c:pt idx="124">
                  <c:v>7948.4362860242327</c:v>
                </c:pt>
                <c:pt idx="125">
                  <c:v>7651.1780540675827</c:v>
                </c:pt>
                <c:pt idx="126">
                  <c:v>7126.2045806431706</c:v>
                </c:pt>
                <c:pt idx="127">
                  <c:v>6824.6185057280672</c:v>
                </c:pt>
                <c:pt idx="128">
                  <c:v>6977.3889383093992</c:v>
                </c:pt>
                <c:pt idx="129">
                  <c:v>7362.002928752634</c:v>
                </c:pt>
                <c:pt idx="130">
                  <c:v>7229.0367707334735</c:v>
                </c:pt>
                <c:pt idx="131">
                  <c:v>7851.2632675988643</c:v>
                </c:pt>
                <c:pt idx="132">
                  <c:v>8198.749032884145</c:v>
                </c:pt>
                <c:pt idx="133">
                  <c:v>8782.7494205617768</c:v>
                </c:pt>
                <c:pt idx="134">
                  <c:v>9310.6364307344847</c:v>
                </c:pt>
                <c:pt idx="135">
                  <c:v>8459.3098109545608</c:v>
                </c:pt>
                <c:pt idx="136">
                  <c:v>8150.032366154941</c:v>
                </c:pt>
                <c:pt idx="137">
                  <c:v>8450.7389342372189</c:v>
                </c:pt>
                <c:pt idx="138">
                  <c:v>8548.1789447829142</c:v>
                </c:pt>
                <c:pt idx="139">
                  <c:v>9139.5483500946357</c:v>
                </c:pt>
                <c:pt idx="140">
                  <c:v>9078.7188596006526</c:v>
                </c:pt>
                <c:pt idx="141">
                  <c:v>9124.4114908803967</c:v>
                </c:pt>
                <c:pt idx="142">
                  <c:v>8454.4712344110958</c:v>
                </c:pt>
                <c:pt idx="143">
                  <c:v>8899.734208965252</c:v>
                </c:pt>
                <c:pt idx="144">
                  <c:v>8940.2691608494933</c:v>
                </c:pt>
                <c:pt idx="145">
                  <c:v>8782.7463404432128</c:v>
                </c:pt>
                <c:pt idx="146">
                  <c:v>9209.8287228689369</c:v>
                </c:pt>
                <c:pt idx="147">
                  <c:v>8728.3526901093501</c:v>
                </c:pt>
                <c:pt idx="148">
                  <c:v>7856.0996731340783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91E-43CF-831B-B236BDA3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6310624"/>
        <c:axId val="1371508047"/>
      </c:lineChart>
      <c:dateAx>
        <c:axId val="1166310624"/>
        <c:scaling>
          <c:orientation val="minMax"/>
        </c:scaling>
        <c:delete val="0"/>
        <c:axPos val="b"/>
        <c:numFmt formatCode="[$-409]mmm\-yy;@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371508047"/>
        <c:crosses val="autoZero"/>
        <c:auto val="0"/>
        <c:lblOffset val="100"/>
        <c:baseTimeUnit val="days"/>
        <c:majorUnit val="20"/>
        <c:majorTimeUnit val="days"/>
      </c:dateAx>
      <c:valAx>
        <c:axId val="137150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1166310624"/>
        <c:crosses val="autoZero"/>
        <c:crossBetween val="between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914400</xdr:colOff>
      <xdr:row>153</xdr:row>
      <xdr:rowOff>11430</xdr:rowOff>
    </xdr:from>
    <xdr:to>
      <xdr:col>12</xdr:col>
      <xdr:colOff>563880</xdr:colOff>
      <xdr:row>168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F67C46-353A-4879-7F6B-0A60CC766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128</xdr:row>
      <xdr:rowOff>76200</xdr:rowOff>
    </xdr:from>
    <xdr:to>
      <xdr:col>13</xdr:col>
      <xdr:colOff>247650</xdr:colOff>
      <xdr:row>142</xdr:row>
      <xdr:rowOff>152400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EBBD0F12-C115-43CB-C42C-E6619A8AD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42257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16C010-C481-4E4B-A0B6-6B399B97C4B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87435" cy="60691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4D11E4-1514-471D-BE8C-196BC045A9A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andi1/Downloads/Perfomance_FInal_2024-2025%20(1).xlsx" TargetMode="External"/><Relationship Id="rId1" Type="http://schemas.openxmlformats.org/officeDocument/2006/relationships/externalLinkPath" Target="https://bocconi-my.sharepoint.com/Users/andi1/Downloads/Perfomance_FInal_2024-2025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st Table"/>
      <sheetName val="S&amp;P500"/>
      <sheetName val="ISINS"/>
      <sheetName val="STOXX600"/>
      <sheetName val="EuroSTOXX Perf"/>
      <sheetName val="S&amp;P Perf"/>
      <sheetName val="Performance"/>
      <sheetName val="Semester"/>
      <sheetName val="Historical"/>
      <sheetName val="Cumulative"/>
      <sheetName val="Best and wors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A3">
            <v>45621</v>
          </cell>
        </row>
        <row r="4">
          <cell r="A4">
            <v>45622</v>
          </cell>
        </row>
        <row r="5">
          <cell r="A5">
            <v>45623</v>
          </cell>
        </row>
        <row r="6">
          <cell r="A6">
            <v>45624</v>
          </cell>
        </row>
        <row r="7">
          <cell r="A7">
            <v>45625</v>
          </cell>
        </row>
        <row r="8">
          <cell r="A8">
            <v>45628</v>
          </cell>
        </row>
        <row r="9">
          <cell r="A9">
            <v>45629</v>
          </cell>
        </row>
        <row r="10">
          <cell r="A10">
            <v>45630</v>
          </cell>
        </row>
        <row r="11">
          <cell r="A11">
            <v>45631</v>
          </cell>
        </row>
        <row r="12">
          <cell r="A12">
            <v>45632</v>
          </cell>
        </row>
        <row r="13">
          <cell r="A13">
            <v>45635</v>
          </cell>
        </row>
        <row r="14">
          <cell r="A14">
            <v>45636</v>
          </cell>
        </row>
        <row r="15">
          <cell r="A15">
            <v>45637</v>
          </cell>
        </row>
        <row r="16">
          <cell r="A16">
            <v>45638</v>
          </cell>
        </row>
        <row r="17">
          <cell r="A17">
            <v>45639</v>
          </cell>
        </row>
        <row r="18">
          <cell r="A18">
            <v>45642</v>
          </cell>
        </row>
        <row r="19">
          <cell r="A19">
            <v>45643</v>
          </cell>
        </row>
        <row r="20">
          <cell r="A20">
            <v>45644</v>
          </cell>
        </row>
        <row r="21">
          <cell r="A21">
            <v>45645</v>
          </cell>
        </row>
        <row r="22">
          <cell r="A22">
            <v>45646</v>
          </cell>
        </row>
        <row r="23">
          <cell r="A23">
            <v>45649</v>
          </cell>
        </row>
        <row r="24">
          <cell r="A24">
            <v>45650</v>
          </cell>
        </row>
        <row r="25">
          <cell r="A25">
            <v>45652</v>
          </cell>
        </row>
        <row r="26">
          <cell r="A26">
            <v>45653</v>
          </cell>
        </row>
        <row r="27">
          <cell r="A27">
            <v>45656</v>
          </cell>
        </row>
        <row r="28">
          <cell r="A28">
            <v>45657</v>
          </cell>
        </row>
        <row r="29">
          <cell r="A29">
            <v>45659</v>
          </cell>
        </row>
        <row r="30">
          <cell r="A30">
            <v>45660</v>
          </cell>
        </row>
        <row r="31">
          <cell r="A31">
            <v>45663</v>
          </cell>
        </row>
        <row r="32">
          <cell r="A32">
            <v>45664</v>
          </cell>
        </row>
        <row r="33">
          <cell r="A33">
            <v>45665</v>
          </cell>
        </row>
        <row r="34">
          <cell r="A34">
            <v>45666</v>
          </cell>
        </row>
        <row r="35">
          <cell r="A35">
            <v>45667</v>
          </cell>
        </row>
        <row r="36">
          <cell r="A36">
            <v>45670</v>
          </cell>
        </row>
        <row r="37">
          <cell r="A37">
            <v>45671</v>
          </cell>
        </row>
        <row r="38">
          <cell r="A38">
            <v>45672</v>
          </cell>
        </row>
        <row r="39">
          <cell r="A39">
            <v>45673</v>
          </cell>
        </row>
        <row r="40">
          <cell r="A40">
            <v>45674</v>
          </cell>
        </row>
        <row r="41">
          <cell r="A41">
            <v>45677</v>
          </cell>
        </row>
        <row r="42">
          <cell r="A42">
            <v>45678</v>
          </cell>
        </row>
        <row r="43">
          <cell r="A43">
            <v>45679</v>
          </cell>
        </row>
        <row r="44">
          <cell r="A44">
            <v>45680</v>
          </cell>
        </row>
        <row r="45">
          <cell r="A45">
            <v>45681</v>
          </cell>
        </row>
        <row r="46">
          <cell r="A46">
            <v>45684</v>
          </cell>
        </row>
        <row r="47">
          <cell r="A47">
            <v>45685</v>
          </cell>
        </row>
        <row r="48">
          <cell r="A48">
            <v>45686</v>
          </cell>
        </row>
        <row r="49">
          <cell r="A49">
            <v>45687</v>
          </cell>
        </row>
        <row r="50">
          <cell r="A50">
            <v>45688</v>
          </cell>
        </row>
        <row r="51">
          <cell r="A51">
            <v>45691</v>
          </cell>
        </row>
        <row r="52">
          <cell r="A52">
            <v>45692</v>
          </cell>
        </row>
        <row r="53">
          <cell r="A53">
            <v>45693</v>
          </cell>
        </row>
        <row r="54">
          <cell r="A54">
            <v>45694</v>
          </cell>
        </row>
        <row r="55">
          <cell r="A55">
            <v>45695</v>
          </cell>
        </row>
        <row r="56">
          <cell r="A56">
            <v>45698</v>
          </cell>
        </row>
        <row r="57">
          <cell r="A57">
            <v>45699</v>
          </cell>
        </row>
        <row r="58">
          <cell r="A58">
            <v>45700</v>
          </cell>
        </row>
        <row r="59">
          <cell r="A59">
            <v>45701</v>
          </cell>
        </row>
        <row r="60">
          <cell r="A60">
            <v>45702</v>
          </cell>
        </row>
        <row r="61">
          <cell r="A61">
            <v>45705</v>
          </cell>
        </row>
        <row r="62">
          <cell r="A62">
            <v>45706</v>
          </cell>
        </row>
        <row r="63">
          <cell r="A63">
            <v>45707</v>
          </cell>
        </row>
        <row r="64">
          <cell r="A64">
            <v>45708</v>
          </cell>
        </row>
        <row r="65">
          <cell r="A65">
            <v>45709</v>
          </cell>
        </row>
        <row r="66">
          <cell r="A66">
            <v>45712</v>
          </cell>
        </row>
        <row r="67">
          <cell r="A67">
            <v>45713</v>
          </cell>
        </row>
        <row r="68">
          <cell r="A68">
            <v>45714</v>
          </cell>
        </row>
        <row r="69">
          <cell r="A69">
            <v>45715</v>
          </cell>
        </row>
        <row r="70">
          <cell r="A70">
            <v>45716</v>
          </cell>
        </row>
        <row r="71">
          <cell r="A71">
            <v>45719</v>
          </cell>
        </row>
        <row r="72">
          <cell r="A72">
            <v>45720</v>
          </cell>
        </row>
        <row r="73">
          <cell r="A73">
            <v>45721</v>
          </cell>
        </row>
        <row r="74">
          <cell r="A74">
            <v>45722</v>
          </cell>
        </row>
        <row r="75">
          <cell r="A75">
            <v>45723</v>
          </cell>
        </row>
        <row r="76">
          <cell r="A76">
            <v>45726</v>
          </cell>
        </row>
        <row r="77">
          <cell r="A77">
            <v>45727</v>
          </cell>
        </row>
        <row r="78">
          <cell r="A78">
            <v>45728</v>
          </cell>
        </row>
        <row r="79">
          <cell r="A79">
            <v>45729</v>
          </cell>
        </row>
        <row r="80">
          <cell r="A80">
            <v>45730</v>
          </cell>
        </row>
        <row r="81">
          <cell r="A81">
            <v>45733</v>
          </cell>
        </row>
        <row r="82">
          <cell r="A82">
            <v>45734</v>
          </cell>
        </row>
        <row r="83">
          <cell r="A83">
            <v>45735</v>
          </cell>
        </row>
        <row r="84">
          <cell r="A84">
            <v>45736</v>
          </cell>
        </row>
        <row r="85">
          <cell r="A85">
            <v>45737</v>
          </cell>
        </row>
        <row r="86">
          <cell r="A86">
            <v>45740</v>
          </cell>
        </row>
        <row r="87">
          <cell r="A87">
            <v>45741</v>
          </cell>
        </row>
        <row r="88">
          <cell r="A88">
            <v>45742</v>
          </cell>
        </row>
        <row r="89">
          <cell r="A89">
            <v>45743</v>
          </cell>
        </row>
        <row r="90">
          <cell r="A90">
            <v>45744</v>
          </cell>
        </row>
        <row r="91">
          <cell r="A91">
            <v>45747</v>
          </cell>
        </row>
        <row r="92">
          <cell r="A92">
            <v>45748</v>
          </cell>
        </row>
        <row r="93">
          <cell r="A93">
            <v>45749</v>
          </cell>
        </row>
        <row r="94">
          <cell r="A94">
            <v>45750</v>
          </cell>
        </row>
        <row r="95">
          <cell r="A95">
            <v>45751</v>
          </cell>
        </row>
        <row r="96">
          <cell r="A96">
            <v>45754</v>
          </cell>
        </row>
        <row r="97">
          <cell r="A97">
            <v>45755</v>
          </cell>
        </row>
        <row r="98">
          <cell r="A98">
            <v>45756</v>
          </cell>
        </row>
        <row r="99">
          <cell r="A99">
            <v>45757</v>
          </cell>
        </row>
        <row r="100">
          <cell r="A100">
            <v>45758</v>
          </cell>
        </row>
        <row r="101">
          <cell r="A101">
            <v>45761</v>
          </cell>
        </row>
        <row r="102">
          <cell r="A102">
            <v>45762</v>
          </cell>
        </row>
        <row r="103">
          <cell r="A103">
            <v>45763</v>
          </cell>
        </row>
        <row r="104">
          <cell r="A104">
            <v>45764</v>
          </cell>
        </row>
        <row r="105">
          <cell r="A105">
            <v>45768</v>
          </cell>
        </row>
        <row r="106">
          <cell r="A106">
            <v>45769</v>
          </cell>
        </row>
        <row r="107">
          <cell r="A107">
            <v>45770</v>
          </cell>
        </row>
        <row r="108">
          <cell r="A108">
            <v>45771</v>
          </cell>
        </row>
        <row r="109">
          <cell r="A109">
            <v>45772</v>
          </cell>
        </row>
      </sheetData>
      <sheetData sheetId="7" refreshError="1"/>
      <sheetData sheetId="8"/>
      <sheetData sheetId="9" refreshError="1"/>
      <sheetData sheetId="10"/>
      <sheetData sheetId="1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88EE9C2-80FD-4EAF-A796-E9458D6E8AA8}">
  <we:reference id="wa200000565" version="1.0.0.79" store="it-IT" storeType="OMEX"/>
  <we:alternateReferences>
    <we:reference id="WA200000565" version="1.0.0.79" store="" storeType="OMEX"/>
  </we:alternateReferences>
  <we:properties>
    <we:property name="userSettings_GEDTC-981320" value="&quot;{\&quot;dex2RequestClickThrough\&quot;:true,\&quot;isKeepRICUpperCase\&quot;:false,\&quot;functionSeparator\&quot;:\&quot;;\&quot;,\&quot;instrumentsHeaderSetting\&quot;:{\&quot;isInclude\&quot;:true,\&quot;headerPosition\&quot;:\&quot;Row\&quot;},\&quot;fieldsHeaderSetting\&quot;:{\&quot;isInclude\&quot;:true,\&quot;headerPosition\&quot;:\&quot;Column\&quot;},\&quot;dateHeaderSetting\&quot;:{\&quot;isInclude\&quot;:false,\&quot;headerPosition\&quot;:\&quot;Column\&quot;},\&quot;commonUserFundamentalsType\&quot;:\&quot;PLATFORM_DEFAULT\&quot;,\&quot;pauseMode\&quot;:false}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9BA3155E-2422-40D4-BF3C-57C5703A47CA}">
  <we:reference id="026e7b2b-fa4d-4fe0-bf3b-b965f6f25bee" version="1.0.0.79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RDP.Data</we:customFunctionIds>
        <we:customFunctionIds>RDP.Price</we:customFunctionIds>
        <we:customFunctionIds>RDP.HistoricalPricing</we:customFunctionIds>
        <we:customFunctionIds>RDP.Analytics</we:customFunctionIds>
        <we:customFunctionIds>RDP.Search</we:customFunctionIds>
        <we:customFunctionIds>RDP.Now</we:customFunctionIds>
        <we:customFunctionIds>RDP.Today</we:customFunctionIds>
        <we:customFunctionIds>RDP.Aggregate</we:customFunctionIds>
      </we:customFunctionIdList>
    </a:ext>
    <a:ext xmlns:a="http://schemas.openxmlformats.org/drawingml/2006/main" uri="{0858819E-0033-43BF-8937-05EC82904868}">
      <we:backgroundApp state="0" runtimeId="RibbonUrl"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CCDB7-288F-4FA5-999C-213A9C5F2DC4}">
  <dimension ref="A1:AQ392"/>
  <sheetViews>
    <sheetView zoomScale="85" zoomScaleNormal="85" workbookViewId="0">
      <selection activeCell="F28" sqref="F28"/>
    </sheetView>
  </sheetViews>
  <sheetFormatPr baseColWidth="10" defaultColWidth="8.83203125" defaultRowHeight="15" x14ac:dyDescent="0.2"/>
  <cols>
    <col min="2" max="2" width="13.33203125" customWidth="1"/>
    <col min="23" max="23" width="14.1640625" customWidth="1"/>
  </cols>
  <sheetData>
    <row r="1" spans="1:43" ht="16" x14ac:dyDescent="0.2">
      <c r="A1" s="24" t="s">
        <v>92</v>
      </c>
      <c r="B1" s="24" t="s">
        <v>93</v>
      </c>
      <c r="C1" s="24" t="s">
        <v>94</v>
      </c>
      <c r="D1" s="24" t="s">
        <v>95</v>
      </c>
      <c r="E1" s="24" t="s">
        <v>96</v>
      </c>
      <c r="F1" s="24" t="s">
        <v>97</v>
      </c>
      <c r="G1" s="24" t="s">
        <v>98</v>
      </c>
      <c r="H1" s="24" t="s">
        <v>99</v>
      </c>
      <c r="I1" s="24" t="s">
        <v>100</v>
      </c>
      <c r="J1" s="24" t="s">
        <v>101</v>
      </c>
      <c r="K1" s="24" t="s">
        <v>4</v>
      </c>
      <c r="L1" s="24" t="s">
        <v>102</v>
      </c>
      <c r="M1" s="24" t="s">
        <v>103</v>
      </c>
      <c r="N1" s="24" t="s">
        <v>104</v>
      </c>
      <c r="O1" s="24" t="s">
        <v>105</v>
      </c>
      <c r="P1" s="24" t="s">
        <v>106</v>
      </c>
      <c r="Q1" s="24" t="s">
        <v>107</v>
      </c>
      <c r="R1" s="24" t="s">
        <v>108</v>
      </c>
      <c r="S1" s="25" t="s">
        <v>109</v>
      </c>
      <c r="T1" s="24" t="s">
        <v>0</v>
      </c>
      <c r="U1" s="24" t="s">
        <v>110</v>
      </c>
      <c r="V1" s="24" t="s">
        <v>111</v>
      </c>
      <c r="W1" s="24" t="s">
        <v>112</v>
      </c>
      <c r="X1" s="24" t="s">
        <v>2</v>
      </c>
      <c r="Y1" s="24" t="s">
        <v>113</v>
      </c>
      <c r="Z1" s="24" t="s">
        <v>114</v>
      </c>
      <c r="AA1" s="24" t="s">
        <v>115</v>
      </c>
      <c r="AB1" s="24" t="s">
        <v>1</v>
      </c>
      <c r="AC1" s="24" t="s">
        <v>116</v>
      </c>
      <c r="AD1" s="24" t="s">
        <v>117</v>
      </c>
      <c r="AE1" s="24" t="s">
        <v>118</v>
      </c>
      <c r="AF1" s="24" t="s">
        <v>119</v>
      </c>
      <c r="AG1" s="24" t="s">
        <v>120</v>
      </c>
      <c r="AH1" s="24" t="s">
        <v>121</v>
      </c>
      <c r="AI1" s="24" t="s">
        <v>122</v>
      </c>
      <c r="AJ1" s="24" t="s">
        <v>123</v>
      </c>
      <c r="AK1" s="24" t="s">
        <v>124</v>
      </c>
      <c r="AL1" s="24" t="s">
        <v>3</v>
      </c>
      <c r="AM1" s="24" t="s">
        <v>125</v>
      </c>
      <c r="AN1" s="25" t="s">
        <v>126</v>
      </c>
    </row>
    <row r="3" spans="1:43" x14ac:dyDescent="0.2">
      <c r="A3" t="e">
        <f ca="1">_xll.RDP.Data($A$1:$T$1,"TR.PriceClose","SDate=2025-11-21 EDate=2026-01-31 CH=IN RH=date",B4)</f>
        <v>#N/A</v>
      </c>
      <c r="V3" s="2" t="e">
        <f ca="1">_xll.RDP.Data($U$1:$AN$1,"TR.PriceClose","SDate=2025-11-21 EDate=2026-01-31 CH=IN RH=date",W4)</f>
        <v>#N/A</v>
      </c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</row>
    <row r="4" spans="1:43" x14ac:dyDescent="0.2">
      <c r="C4" s="2" t="s">
        <v>92</v>
      </c>
      <c r="D4" s="2" t="s">
        <v>93</v>
      </c>
      <c r="E4" s="2" t="s">
        <v>94</v>
      </c>
      <c r="F4" s="2" t="s">
        <v>95</v>
      </c>
      <c r="G4" s="2" t="s">
        <v>96</v>
      </c>
      <c r="H4" s="2" t="s">
        <v>97</v>
      </c>
      <c r="I4" s="2" t="s">
        <v>98</v>
      </c>
      <c r="J4" s="2" t="s">
        <v>99</v>
      </c>
      <c r="K4" s="2" t="s">
        <v>100</v>
      </c>
      <c r="L4" s="2" t="s">
        <v>101</v>
      </c>
      <c r="M4" s="2" t="s">
        <v>4</v>
      </c>
      <c r="N4" s="2" t="s">
        <v>102</v>
      </c>
      <c r="O4" s="2" t="s">
        <v>103</v>
      </c>
      <c r="P4" s="2" t="s">
        <v>104</v>
      </c>
      <c r="Q4" s="2" t="s">
        <v>105</v>
      </c>
      <c r="R4" s="2" t="s">
        <v>106</v>
      </c>
      <c r="S4" s="2" t="s">
        <v>107</v>
      </c>
      <c r="T4" s="2" t="s">
        <v>108</v>
      </c>
      <c r="U4" s="2" t="s">
        <v>109</v>
      </c>
      <c r="V4" s="2" t="s">
        <v>0</v>
      </c>
      <c r="X4" s="2" t="s">
        <v>110</v>
      </c>
      <c r="Y4" s="2" t="s">
        <v>111</v>
      </c>
      <c r="Z4" s="2" t="s">
        <v>112</v>
      </c>
      <c r="AA4" s="2" t="s">
        <v>2</v>
      </c>
      <c r="AB4" s="2" t="s">
        <v>113</v>
      </c>
      <c r="AC4" s="2" t="s">
        <v>114</v>
      </c>
      <c r="AD4" s="2" t="s">
        <v>115</v>
      </c>
      <c r="AE4" s="2" t="s">
        <v>1</v>
      </c>
      <c r="AF4" s="2" t="s">
        <v>116</v>
      </c>
      <c r="AG4" s="2" t="s">
        <v>117</v>
      </c>
      <c r="AH4" s="2" t="s">
        <v>118</v>
      </c>
      <c r="AI4" s="2" t="s">
        <v>119</v>
      </c>
      <c r="AJ4" s="2" t="s">
        <v>120</v>
      </c>
      <c r="AK4" s="2" t="s">
        <v>121</v>
      </c>
      <c r="AL4" s="2" t="s">
        <v>122</v>
      </c>
      <c r="AM4" s="2" t="s">
        <v>123</v>
      </c>
      <c r="AN4" s="2" t="s">
        <v>124</v>
      </c>
      <c r="AO4" s="2" t="s">
        <v>3</v>
      </c>
      <c r="AP4" s="2" t="s">
        <v>125</v>
      </c>
      <c r="AQ4" s="2" t="s">
        <v>126</v>
      </c>
    </row>
    <row r="5" spans="1:43" x14ac:dyDescent="0.2">
      <c r="B5" s="3">
        <v>45982</v>
      </c>
      <c r="C5">
        <v>520.26</v>
      </c>
      <c r="D5">
        <v>180.98</v>
      </c>
      <c r="E5">
        <v>168.18</v>
      </c>
      <c r="F5">
        <v>131.46</v>
      </c>
      <c r="G5">
        <v>296.36</v>
      </c>
      <c r="H5">
        <v>92.46</v>
      </c>
      <c r="I5">
        <v>298.80970119</v>
      </c>
      <c r="J5">
        <v>101.62</v>
      </c>
      <c r="K5">
        <v>33.78</v>
      </c>
      <c r="L5">
        <v>305.49</v>
      </c>
      <c r="M5">
        <v>89.9</v>
      </c>
      <c r="N5">
        <v>60.23</v>
      </c>
      <c r="O5">
        <v>755.9</v>
      </c>
      <c r="P5">
        <v>226.82</v>
      </c>
      <c r="Q5">
        <v>85.13</v>
      </c>
      <c r="R5">
        <v>83.48</v>
      </c>
      <c r="S5">
        <v>141.56</v>
      </c>
      <c r="T5">
        <v>195.02</v>
      </c>
      <c r="U5">
        <v>134.28</v>
      </c>
      <c r="V5">
        <v>32.19</v>
      </c>
      <c r="W5" s="3">
        <v>45982</v>
      </c>
      <c r="X5">
        <v>143.21</v>
      </c>
      <c r="Y5">
        <v>76.63</v>
      </c>
      <c r="Z5">
        <v>17.277138579999999</v>
      </c>
      <c r="AA5">
        <v>39.869999999999997</v>
      </c>
      <c r="AB5">
        <v>154.85</v>
      </c>
      <c r="AC5">
        <v>352.89</v>
      </c>
      <c r="AD5">
        <v>203.9</v>
      </c>
      <c r="AE5">
        <v>183.08</v>
      </c>
      <c r="AF5">
        <v>106.4</v>
      </c>
      <c r="AG5">
        <v>41.44</v>
      </c>
      <c r="AH5">
        <v>74.87</v>
      </c>
      <c r="AI5">
        <v>119.6</v>
      </c>
      <c r="AJ5">
        <v>32.549999999999997</v>
      </c>
      <c r="AK5">
        <v>295.83999999999997</v>
      </c>
      <c r="AL5">
        <v>83.11</v>
      </c>
      <c r="AM5">
        <v>135.77000000000001</v>
      </c>
      <c r="AN5">
        <v>50.9</v>
      </c>
      <c r="AO5">
        <v>23.72</v>
      </c>
      <c r="AP5">
        <v>504.04</v>
      </c>
      <c r="AQ5">
        <v>87.37</v>
      </c>
    </row>
    <row r="6" spans="1:43" x14ac:dyDescent="0.2">
      <c r="B6" s="3">
        <v>45985</v>
      </c>
      <c r="C6">
        <v>559.79999999999995</v>
      </c>
      <c r="D6">
        <v>183.23</v>
      </c>
      <c r="E6">
        <v>169.67</v>
      </c>
      <c r="F6">
        <v>130.35</v>
      </c>
      <c r="G6">
        <v>291.92</v>
      </c>
      <c r="H6">
        <v>91.94</v>
      </c>
      <c r="I6">
        <v>292.23970775999999</v>
      </c>
      <c r="J6">
        <v>100.53</v>
      </c>
      <c r="K6">
        <v>33.71</v>
      </c>
      <c r="L6">
        <v>309.92</v>
      </c>
      <c r="M6">
        <v>93.39</v>
      </c>
      <c r="N6">
        <v>62.21</v>
      </c>
      <c r="O6">
        <v>761.45</v>
      </c>
      <c r="P6">
        <v>226.02</v>
      </c>
      <c r="Q6">
        <v>83.13</v>
      </c>
      <c r="R6">
        <v>84.23</v>
      </c>
      <c r="S6">
        <v>145.30000000000001</v>
      </c>
      <c r="T6">
        <v>193.09</v>
      </c>
      <c r="U6">
        <v>132.33000000000001</v>
      </c>
      <c r="V6">
        <v>33.32</v>
      </c>
      <c r="W6" s="3">
        <v>45985</v>
      </c>
      <c r="X6">
        <v>144.26</v>
      </c>
      <c r="Y6">
        <v>74.7</v>
      </c>
      <c r="Z6">
        <v>17.187876670000001</v>
      </c>
      <c r="AA6">
        <v>40.79</v>
      </c>
      <c r="AB6">
        <v>162.25</v>
      </c>
      <c r="AC6">
        <v>355.93</v>
      </c>
      <c r="AD6">
        <v>206.05</v>
      </c>
      <c r="AE6">
        <v>182.66</v>
      </c>
      <c r="AF6">
        <v>107.2</v>
      </c>
      <c r="AG6">
        <v>41.43</v>
      </c>
      <c r="AH6">
        <v>74.83</v>
      </c>
      <c r="AI6">
        <v>123.24</v>
      </c>
      <c r="AJ6">
        <v>32.380000000000003</v>
      </c>
      <c r="AK6">
        <v>296.23</v>
      </c>
      <c r="AL6">
        <v>84.66</v>
      </c>
      <c r="AM6">
        <v>136.07</v>
      </c>
      <c r="AN6">
        <v>51.25</v>
      </c>
      <c r="AO6">
        <v>24.15</v>
      </c>
      <c r="AP6">
        <v>507.81</v>
      </c>
      <c r="AQ6">
        <v>87.56</v>
      </c>
    </row>
    <row r="7" spans="1:43" x14ac:dyDescent="0.2">
      <c r="B7" s="3">
        <v>45986</v>
      </c>
      <c r="C7">
        <v>556.03</v>
      </c>
      <c r="D7">
        <v>185.8</v>
      </c>
      <c r="E7">
        <v>177.51</v>
      </c>
      <c r="F7">
        <v>132.37</v>
      </c>
      <c r="G7">
        <v>295.63</v>
      </c>
      <c r="H7">
        <v>93.61</v>
      </c>
      <c r="I7">
        <v>288.13637853</v>
      </c>
      <c r="J7">
        <v>108.97</v>
      </c>
      <c r="K7">
        <v>34.96</v>
      </c>
      <c r="L7">
        <v>314.73</v>
      </c>
      <c r="M7">
        <v>91.94</v>
      </c>
      <c r="N7">
        <v>61.69</v>
      </c>
      <c r="O7">
        <v>787.32</v>
      </c>
      <c r="P7">
        <v>228.17</v>
      </c>
      <c r="Q7">
        <v>85.47</v>
      </c>
      <c r="R7">
        <v>84.83</v>
      </c>
      <c r="S7">
        <v>146.77000000000001</v>
      </c>
      <c r="T7">
        <v>193.3</v>
      </c>
      <c r="U7">
        <v>134.33000000000001</v>
      </c>
      <c r="V7">
        <v>32.479999999999997</v>
      </c>
      <c r="W7" s="3">
        <v>45986</v>
      </c>
      <c r="X7">
        <v>147.58000000000001</v>
      </c>
      <c r="Y7">
        <v>75.91</v>
      </c>
      <c r="Z7">
        <v>17.644104209999998</v>
      </c>
      <c r="AA7">
        <v>41.07</v>
      </c>
      <c r="AB7">
        <v>163.55000000000001</v>
      </c>
      <c r="AC7">
        <v>362.64</v>
      </c>
      <c r="AD7">
        <v>206.67</v>
      </c>
      <c r="AE7">
        <v>185.13</v>
      </c>
      <c r="AF7">
        <v>107.95</v>
      </c>
      <c r="AG7">
        <v>41.41</v>
      </c>
      <c r="AH7">
        <v>72.849999999999994</v>
      </c>
      <c r="AI7">
        <v>127.47</v>
      </c>
      <c r="AJ7">
        <v>34.14</v>
      </c>
      <c r="AK7">
        <v>304.12</v>
      </c>
      <c r="AL7">
        <v>85.1</v>
      </c>
      <c r="AM7">
        <v>136.07</v>
      </c>
      <c r="AN7">
        <v>51.83</v>
      </c>
      <c r="AO7">
        <v>24.75</v>
      </c>
      <c r="AP7">
        <v>508.57</v>
      </c>
      <c r="AQ7">
        <v>86.62</v>
      </c>
    </row>
    <row r="8" spans="1:43" x14ac:dyDescent="0.2">
      <c r="B8" s="3">
        <v>45987</v>
      </c>
      <c r="C8">
        <v>586.37</v>
      </c>
      <c r="D8">
        <v>184.69</v>
      </c>
      <c r="E8">
        <v>181.94</v>
      </c>
      <c r="F8">
        <v>133.29</v>
      </c>
      <c r="G8">
        <v>294.24</v>
      </c>
      <c r="H8">
        <v>94.4</v>
      </c>
      <c r="I8">
        <v>287.63637903</v>
      </c>
      <c r="J8">
        <v>111.75</v>
      </c>
      <c r="K8">
        <v>35.78</v>
      </c>
      <c r="L8">
        <v>314.31</v>
      </c>
      <c r="M8">
        <v>93.7</v>
      </c>
      <c r="N8">
        <v>62.53</v>
      </c>
      <c r="O8">
        <v>784.61</v>
      </c>
      <c r="P8">
        <v>228.52</v>
      </c>
      <c r="Q8">
        <v>87.19</v>
      </c>
      <c r="R8">
        <v>85.54</v>
      </c>
      <c r="S8">
        <v>148.33000000000001</v>
      </c>
      <c r="T8">
        <v>194.79</v>
      </c>
      <c r="U8">
        <v>134.91</v>
      </c>
      <c r="V8">
        <v>32.83</v>
      </c>
      <c r="W8" s="3">
        <v>45987</v>
      </c>
      <c r="X8">
        <v>147.36000000000001</v>
      </c>
      <c r="Y8">
        <v>75.900000000000006</v>
      </c>
      <c r="Z8">
        <v>17.59451426</v>
      </c>
      <c r="AA8">
        <v>42.15</v>
      </c>
      <c r="AB8">
        <v>165.77</v>
      </c>
      <c r="AC8">
        <v>363.97</v>
      </c>
      <c r="AD8">
        <v>207.56</v>
      </c>
      <c r="AE8">
        <v>185.56</v>
      </c>
      <c r="AF8">
        <v>108.26</v>
      </c>
      <c r="AG8">
        <v>41.42</v>
      </c>
      <c r="AH8">
        <v>71.5</v>
      </c>
      <c r="AI8">
        <v>129.46</v>
      </c>
      <c r="AJ8">
        <v>34.78</v>
      </c>
      <c r="AK8">
        <v>304.64999999999998</v>
      </c>
      <c r="AL8">
        <v>85.56</v>
      </c>
      <c r="AM8">
        <v>136.78</v>
      </c>
      <c r="AN8">
        <v>52.57</v>
      </c>
      <c r="AO8">
        <v>25.01</v>
      </c>
      <c r="AP8">
        <v>511.23</v>
      </c>
      <c r="AQ8">
        <v>87.09</v>
      </c>
    </row>
    <row r="9" spans="1:43" x14ac:dyDescent="0.2">
      <c r="B9" s="3">
        <v>45989</v>
      </c>
      <c r="C9">
        <v>599.48</v>
      </c>
      <c r="D9">
        <v>187</v>
      </c>
      <c r="E9">
        <v>184.18</v>
      </c>
      <c r="F9">
        <v>133.16999999999999</v>
      </c>
      <c r="G9">
        <v>295.49</v>
      </c>
      <c r="H9">
        <v>93.92</v>
      </c>
      <c r="I9">
        <v>288.09637857000001</v>
      </c>
      <c r="J9">
        <v>112.23</v>
      </c>
      <c r="K9">
        <v>35.69</v>
      </c>
      <c r="L9">
        <v>313.62</v>
      </c>
      <c r="M9">
        <v>94.07</v>
      </c>
      <c r="N9">
        <v>63.47</v>
      </c>
      <c r="O9">
        <v>780.19</v>
      </c>
      <c r="P9">
        <v>228.16</v>
      </c>
      <c r="Q9">
        <v>88.03</v>
      </c>
      <c r="R9">
        <v>86.29</v>
      </c>
      <c r="S9">
        <v>148.26</v>
      </c>
      <c r="T9">
        <v>194.27</v>
      </c>
      <c r="U9">
        <v>135.29</v>
      </c>
      <c r="V9">
        <v>33.85</v>
      </c>
      <c r="W9" s="3">
        <v>45989</v>
      </c>
      <c r="X9">
        <v>146.9</v>
      </c>
      <c r="Y9">
        <v>76.2</v>
      </c>
      <c r="Z9">
        <v>17.485416369999999</v>
      </c>
      <c r="AA9">
        <v>42.98</v>
      </c>
      <c r="AB9">
        <v>168.45</v>
      </c>
      <c r="AC9">
        <v>365.27</v>
      </c>
      <c r="AD9">
        <v>206.92</v>
      </c>
      <c r="AE9">
        <v>186.32</v>
      </c>
      <c r="AF9">
        <v>107.87</v>
      </c>
      <c r="AG9">
        <v>42</v>
      </c>
      <c r="AH9">
        <v>71.62</v>
      </c>
      <c r="AI9">
        <v>128.68</v>
      </c>
      <c r="AJ9">
        <v>35.29</v>
      </c>
      <c r="AK9">
        <v>304.79000000000002</v>
      </c>
      <c r="AL9">
        <v>85.85</v>
      </c>
      <c r="AM9">
        <v>137.03</v>
      </c>
      <c r="AN9">
        <v>53.58</v>
      </c>
      <c r="AO9">
        <v>25.98</v>
      </c>
      <c r="AP9">
        <v>513.80999999999995</v>
      </c>
      <c r="AQ9">
        <v>88.69</v>
      </c>
    </row>
    <row r="10" spans="1:43" x14ac:dyDescent="0.2">
      <c r="B10" s="3">
        <v>45992</v>
      </c>
      <c r="C10">
        <v>623.59</v>
      </c>
      <c r="D10">
        <v>190.42</v>
      </c>
      <c r="E10">
        <v>182.41</v>
      </c>
      <c r="F10">
        <v>131.94</v>
      </c>
      <c r="G10">
        <v>293.76</v>
      </c>
      <c r="H10">
        <v>93.16</v>
      </c>
      <c r="I10">
        <v>284.57971542000001</v>
      </c>
      <c r="J10">
        <v>113.18</v>
      </c>
      <c r="K10">
        <v>35.65</v>
      </c>
      <c r="L10">
        <v>306.64999999999998</v>
      </c>
      <c r="M10">
        <v>94.71</v>
      </c>
      <c r="N10">
        <v>63.52</v>
      </c>
      <c r="O10">
        <v>750.11</v>
      </c>
      <c r="P10">
        <v>225.43</v>
      </c>
      <c r="Q10">
        <v>92.02</v>
      </c>
      <c r="R10">
        <v>84.65</v>
      </c>
      <c r="S10">
        <v>145</v>
      </c>
      <c r="T10">
        <v>188.57</v>
      </c>
      <c r="U10">
        <v>139.66999999999999</v>
      </c>
      <c r="V10">
        <v>33.409999999999997</v>
      </c>
      <c r="W10" s="3">
        <v>45992</v>
      </c>
      <c r="X10">
        <v>146.44999999999999</v>
      </c>
      <c r="Y10">
        <v>75.91</v>
      </c>
      <c r="Z10">
        <v>17.40607245</v>
      </c>
      <c r="AA10">
        <v>43.07</v>
      </c>
      <c r="AB10">
        <v>167.49</v>
      </c>
      <c r="AC10">
        <v>360.31</v>
      </c>
      <c r="AD10">
        <v>205.34</v>
      </c>
      <c r="AE10">
        <v>185.14</v>
      </c>
      <c r="AF10">
        <v>106.4</v>
      </c>
      <c r="AG10">
        <v>42.34</v>
      </c>
      <c r="AH10">
        <v>72.010000000000005</v>
      </c>
      <c r="AI10">
        <v>132.77000000000001</v>
      </c>
      <c r="AJ10">
        <v>35.44</v>
      </c>
      <c r="AK10">
        <v>303.44</v>
      </c>
      <c r="AL10">
        <v>85.4</v>
      </c>
      <c r="AM10">
        <v>133.27000000000001</v>
      </c>
      <c r="AN10">
        <v>53.43</v>
      </c>
      <c r="AO10">
        <v>24.16</v>
      </c>
      <c r="AP10">
        <v>508.55</v>
      </c>
      <c r="AQ10">
        <v>90.26</v>
      </c>
    </row>
    <row r="11" spans="1:43" x14ac:dyDescent="0.2">
      <c r="B11" s="3">
        <v>45993</v>
      </c>
      <c r="C11">
        <v>653</v>
      </c>
      <c r="D11">
        <v>192.99</v>
      </c>
      <c r="E11">
        <v>182.4</v>
      </c>
      <c r="F11">
        <v>132.52000000000001</v>
      </c>
      <c r="G11">
        <v>295.95</v>
      </c>
      <c r="H11">
        <v>92.69</v>
      </c>
      <c r="I11">
        <v>288.22304510999999</v>
      </c>
      <c r="J11">
        <v>112.1</v>
      </c>
      <c r="K11">
        <v>34.450000000000003</v>
      </c>
      <c r="L11">
        <v>307.2</v>
      </c>
      <c r="M11">
        <v>99.64</v>
      </c>
      <c r="N11">
        <v>64.45</v>
      </c>
      <c r="O11">
        <v>742</v>
      </c>
      <c r="P11">
        <v>221.37</v>
      </c>
      <c r="Q11">
        <v>91.77</v>
      </c>
      <c r="R11">
        <v>84.58</v>
      </c>
      <c r="S11">
        <v>145.97</v>
      </c>
      <c r="T11">
        <v>186.97</v>
      </c>
      <c r="U11">
        <v>141.46</v>
      </c>
      <c r="V11">
        <v>32.92</v>
      </c>
      <c r="W11" s="3">
        <v>45993</v>
      </c>
      <c r="X11">
        <v>146.47999999999999</v>
      </c>
      <c r="Y11">
        <v>74.44</v>
      </c>
      <c r="Z11">
        <v>17.38623647</v>
      </c>
      <c r="AA11">
        <v>42.97</v>
      </c>
      <c r="AB11">
        <v>170.69</v>
      </c>
      <c r="AC11">
        <v>360.7</v>
      </c>
      <c r="AD11">
        <v>205.42</v>
      </c>
      <c r="AE11">
        <v>182.17</v>
      </c>
      <c r="AF11">
        <v>106.31</v>
      </c>
      <c r="AG11">
        <v>41.98</v>
      </c>
      <c r="AH11">
        <v>72.47</v>
      </c>
      <c r="AI11">
        <v>133.09</v>
      </c>
      <c r="AJ11">
        <v>35.340000000000003</v>
      </c>
      <c r="AK11">
        <v>304.64999999999998</v>
      </c>
      <c r="AL11">
        <v>86.32</v>
      </c>
      <c r="AM11">
        <v>131.55000000000001</v>
      </c>
      <c r="AN11">
        <v>56.71</v>
      </c>
      <c r="AO11">
        <v>24.06</v>
      </c>
      <c r="AP11">
        <v>506.65</v>
      </c>
      <c r="AQ11">
        <v>89.29</v>
      </c>
    </row>
    <row r="12" spans="1:43" x14ac:dyDescent="0.2">
      <c r="B12" s="3">
        <v>45994</v>
      </c>
      <c r="C12">
        <v>662.21</v>
      </c>
      <c r="D12">
        <v>200</v>
      </c>
      <c r="E12">
        <v>182.3</v>
      </c>
      <c r="F12">
        <v>132.24</v>
      </c>
      <c r="G12">
        <v>296.20999999999998</v>
      </c>
      <c r="H12">
        <v>92.72</v>
      </c>
      <c r="I12">
        <v>304.90636175999998</v>
      </c>
      <c r="J12">
        <v>114.44</v>
      </c>
      <c r="K12">
        <v>36.119999999999997</v>
      </c>
      <c r="L12">
        <v>309.23</v>
      </c>
      <c r="M12">
        <v>102.03</v>
      </c>
      <c r="N12">
        <v>64.849999999999994</v>
      </c>
      <c r="O12">
        <v>723.67</v>
      </c>
      <c r="P12">
        <v>222.33</v>
      </c>
      <c r="Q12">
        <v>94.97</v>
      </c>
      <c r="R12">
        <v>84.95</v>
      </c>
      <c r="S12">
        <v>149.09</v>
      </c>
      <c r="T12">
        <v>187.34</v>
      </c>
      <c r="U12">
        <v>150.94499999999999</v>
      </c>
      <c r="V12">
        <v>33.68</v>
      </c>
      <c r="W12" s="3">
        <v>45994</v>
      </c>
      <c r="X12">
        <v>148.09</v>
      </c>
      <c r="Y12">
        <v>73.36</v>
      </c>
      <c r="Z12">
        <v>17.515170340000001</v>
      </c>
      <c r="AA12">
        <v>44.53</v>
      </c>
      <c r="AB12">
        <v>176.08</v>
      </c>
      <c r="AC12">
        <v>368.13</v>
      </c>
      <c r="AD12">
        <v>205.33</v>
      </c>
      <c r="AE12">
        <v>182.3</v>
      </c>
      <c r="AF12">
        <v>105.75</v>
      </c>
      <c r="AG12">
        <v>42.45</v>
      </c>
      <c r="AH12">
        <v>71</v>
      </c>
      <c r="AI12">
        <v>131.53</v>
      </c>
      <c r="AJ12">
        <v>35.54</v>
      </c>
      <c r="AK12">
        <v>306.64999999999998</v>
      </c>
      <c r="AL12">
        <v>89.35</v>
      </c>
      <c r="AM12">
        <v>133.18</v>
      </c>
      <c r="AN12">
        <v>63.61</v>
      </c>
      <c r="AO12">
        <v>25.18</v>
      </c>
      <c r="AP12">
        <v>503.6</v>
      </c>
      <c r="AQ12">
        <v>91.81</v>
      </c>
    </row>
    <row r="13" spans="1:43" x14ac:dyDescent="0.2">
      <c r="B13" s="3">
        <v>45995</v>
      </c>
      <c r="C13">
        <v>683.78</v>
      </c>
      <c r="D13">
        <v>201.5</v>
      </c>
      <c r="E13">
        <v>183.6</v>
      </c>
      <c r="F13">
        <v>131.09</v>
      </c>
      <c r="G13">
        <v>299.77999999999997</v>
      </c>
      <c r="H13">
        <v>92.39</v>
      </c>
      <c r="I13">
        <v>306.58302674999999</v>
      </c>
      <c r="J13">
        <v>111.01</v>
      </c>
      <c r="K13">
        <v>36.450000000000003</v>
      </c>
      <c r="L13">
        <v>315.88</v>
      </c>
      <c r="M13">
        <v>103.82</v>
      </c>
      <c r="N13">
        <v>65.25</v>
      </c>
      <c r="O13">
        <v>722.8</v>
      </c>
      <c r="P13">
        <v>224.27</v>
      </c>
      <c r="Q13">
        <v>96.25</v>
      </c>
      <c r="R13">
        <v>83.39</v>
      </c>
      <c r="S13">
        <v>150.57</v>
      </c>
      <c r="T13">
        <v>190</v>
      </c>
      <c r="U13">
        <v>153.51</v>
      </c>
      <c r="V13">
        <v>34.229999999999997</v>
      </c>
      <c r="W13" s="3">
        <v>45995</v>
      </c>
      <c r="X13">
        <v>150.5</v>
      </c>
      <c r="Y13">
        <v>73.44</v>
      </c>
      <c r="Z13">
        <v>17.019270840000001</v>
      </c>
      <c r="AA13">
        <v>44.61</v>
      </c>
      <c r="AB13">
        <v>177.92</v>
      </c>
      <c r="AC13">
        <v>371.15</v>
      </c>
      <c r="AD13">
        <v>202.48</v>
      </c>
      <c r="AE13">
        <v>183.32</v>
      </c>
      <c r="AF13">
        <v>104.49</v>
      </c>
      <c r="AG13">
        <v>42.67</v>
      </c>
      <c r="AH13">
        <v>70.17</v>
      </c>
      <c r="AI13">
        <v>125.72</v>
      </c>
      <c r="AJ13">
        <v>35.39</v>
      </c>
      <c r="AK13">
        <v>296</v>
      </c>
      <c r="AL13">
        <v>90.21</v>
      </c>
      <c r="AM13">
        <v>132.16</v>
      </c>
      <c r="AN13">
        <v>64.72</v>
      </c>
      <c r="AO13">
        <v>25.49</v>
      </c>
      <c r="AP13">
        <v>503.23</v>
      </c>
      <c r="AQ13">
        <v>93.12</v>
      </c>
    </row>
    <row r="14" spans="1:43" x14ac:dyDescent="0.2">
      <c r="B14" s="3">
        <v>45996</v>
      </c>
      <c r="C14">
        <v>691.94</v>
      </c>
      <c r="D14">
        <v>203.6</v>
      </c>
      <c r="E14">
        <v>190.01</v>
      </c>
      <c r="F14">
        <v>129.56</v>
      </c>
      <c r="G14">
        <v>296.45999999999998</v>
      </c>
      <c r="H14">
        <v>91.72</v>
      </c>
      <c r="I14">
        <v>308.35969163999999</v>
      </c>
      <c r="J14">
        <v>110.01</v>
      </c>
      <c r="K14">
        <v>36.04</v>
      </c>
      <c r="L14">
        <v>304.58</v>
      </c>
      <c r="M14">
        <v>105.13</v>
      </c>
      <c r="N14">
        <v>65.489999999999995</v>
      </c>
      <c r="O14">
        <v>718.36</v>
      </c>
      <c r="P14">
        <v>222.87</v>
      </c>
      <c r="Q14">
        <v>99.7</v>
      </c>
      <c r="R14">
        <v>83.13</v>
      </c>
      <c r="S14">
        <v>151.86000000000001</v>
      </c>
      <c r="T14">
        <v>189.58</v>
      </c>
      <c r="U14">
        <v>155.15</v>
      </c>
      <c r="V14">
        <v>34.69</v>
      </c>
      <c r="W14" s="3">
        <v>45996</v>
      </c>
      <c r="X14">
        <v>151.47</v>
      </c>
      <c r="Y14">
        <v>73.099999999999994</v>
      </c>
      <c r="Z14">
        <v>17.11845074</v>
      </c>
      <c r="AA14">
        <v>45.2</v>
      </c>
      <c r="AB14">
        <v>181.76</v>
      </c>
      <c r="AC14">
        <v>370.35</v>
      </c>
      <c r="AD14">
        <v>201.93</v>
      </c>
      <c r="AE14">
        <v>182.56</v>
      </c>
      <c r="AF14">
        <v>102.82</v>
      </c>
      <c r="AG14">
        <v>42.43</v>
      </c>
      <c r="AH14">
        <v>73.44</v>
      </c>
      <c r="AI14">
        <v>125.51</v>
      </c>
      <c r="AJ14">
        <v>36.07</v>
      </c>
      <c r="AK14">
        <v>292.58999999999997</v>
      </c>
      <c r="AL14">
        <v>89.83</v>
      </c>
      <c r="AM14">
        <v>131.22999999999999</v>
      </c>
      <c r="AN14">
        <v>65.81</v>
      </c>
      <c r="AO14">
        <v>27.7</v>
      </c>
      <c r="AP14">
        <v>504.34</v>
      </c>
      <c r="AQ14">
        <v>93.69</v>
      </c>
    </row>
    <row r="15" spans="1:43" x14ac:dyDescent="0.2">
      <c r="B15" s="3">
        <v>45999</v>
      </c>
      <c r="C15">
        <v>689.76</v>
      </c>
      <c r="D15">
        <v>203.64</v>
      </c>
      <c r="E15">
        <v>183.04</v>
      </c>
      <c r="F15">
        <v>128.54</v>
      </c>
      <c r="G15">
        <v>280.81</v>
      </c>
      <c r="H15">
        <v>90.94</v>
      </c>
      <c r="I15">
        <v>301.38303194999997</v>
      </c>
      <c r="J15">
        <v>107.46</v>
      </c>
      <c r="K15">
        <v>36.06</v>
      </c>
      <c r="L15">
        <v>315.88</v>
      </c>
      <c r="M15">
        <v>102.78</v>
      </c>
      <c r="N15">
        <v>65.62</v>
      </c>
      <c r="O15">
        <v>703.26</v>
      </c>
      <c r="P15">
        <v>221.76</v>
      </c>
      <c r="Q15">
        <v>101.21</v>
      </c>
      <c r="R15">
        <v>80.55</v>
      </c>
      <c r="S15">
        <v>155.51</v>
      </c>
      <c r="T15">
        <v>190.98</v>
      </c>
      <c r="U15">
        <v>151.68</v>
      </c>
      <c r="V15">
        <v>35.369999999999997</v>
      </c>
      <c r="W15" s="3">
        <v>45999</v>
      </c>
      <c r="X15">
        <v>148.05000000000001</v>
      </c>
      <c r="Y15">
        <v>72.709999999999994</v>
      </c>
      <c r="Z15">
        <v>16.959762900000001</v>
      </c>
      <c r="AA15">
        <v>45</v>
      </c>
      <c r="AB15">
        <v>181.49</v>
      </c>
      <c r="AC15">
        <v>362.28</v>
      </c>
      <c r="AD15">
        <v>201.62</v>
      </c>
      <c r="AE15">
        <v>180.07</v>
      </c>
      <c r="AF15">
        <v>101.41</v>
      </c>
      <c r="AG15">
        <v>41.36</v>
      </c>
      <c r="AH15">
        <v>73.150000000000006</v>
      </c>
      <c r="AI15">
        <v>127.13</v>
      </c>
      <c r="AJ15">
        <v>35.32</v>
      </c>
      <c r="AK15">
        <v>287.82</v>
      </c>
      <c r="AL15">
        <v>90.06</v>
      </c>
      <c r="AM15">
        <v>130</v>
      </c>
      <c r="AN15">
        <v>67.349999999999994</v>
      </c>
      <c r="AO15">
        <v>27.97</v>
      </c>
      <c r="AP15">
        <v>497.23</v>
      </c>
      <c r="AQ15">
        <v>92.88</v>
      </c>
    </row>
    <row r="16" spans="1:43" x14ac:dyDescent="0.2">
      <c r="B16" s="3">
        <v>46000</v>
      </c>
      <c r="C16">
        <v>724.62</v>
      </c>
      <c r="D16">
        <v>207.97</v>
      </c>
      <c r="E16">
        <v>182.28</v>
      </c>
      <c r="F16">
        <v>126.69</v>
      </c>
      <c r="G16">
        <v>277.39999999999998</v>
      </c>
      <c r="H16">
        <v>91.92</v>
      </c>
      <c r="I16">
        <v>293.60637306000001</v>
      </c>
      <c r="J16">
        <v>105.01</v>
      </c>
      <c r="K16">
        <v>35.31</v>
      </c>
      <c r="L16">
        <v>314.95</v>
      </c>
      <c r="M16">
        <v>102.64</v>
      </c>
      <c r="N16">
        <v>66.33</v>
      </c>
      <c r="O16">
        <v>692.58</v>
      </c>
      <c r="P16">
        <v>222.4</v>
      </c>
      <c r="Q16">
        <v>100.81</v>
      </c>
      <c r="R16">
        <v>79.64</v>
      </c>
      <c r="S16">
        <v>156.88</v>
      </c>
      <c r="T16">
        <v>189.29</v>
      </c>
      <c r="U16">
        <v>148.88999999999999</v>
      </c>
      <c r="V16">
        <v>35.020000000000003</v>
      </c>
      <c r="W16" s="3">
        <v>46000</v>
      </c>
      <c r="X16">
        <v>147.71</v>
      </c>
      <c r="Y16">
        <v>72.59</v>
      </c>
      <c r="Z16">
        <v>17.306892550000001</v>
      </c>
      <c r="AA16">
        <v>44.8</v>
      </c>
      <c r="AB16">
        <v>181.84</v>
      </c>
      <c r="AC16">
        <v>363.91</v>
      </c>
      <c r="AD16">
        <v>199.96</v>
      </c>
      <c r="AE16">
        <v>181.05</v>
      </c>
      <c r="AF16">
        <v>102.56</v>
      </c>
      <c r="AG16">
        <v>41.55</v>
      </c>
      <c r="AH16">
        <v>73.239999999999995</v>
      </c>
      <c r="AI16">
        <v>124.22</v>
      </c>
      <c r="AJ16">
        <v>35.89</v>
      </c>
      <c r="AK16">
        <v>283.83999999999997</v>
      </c>
      <c r="AL16">
        <v>88.89</v>
      </c>
      <c r="AM16">
        <v>130.25</v>
      </c>
      <c r="AN16">
        <v>66.849999999999994</v>
      </c>
      <c r="AO16">
        <v>28.24</v>
      </c>
      <c r="AP16">
        <v>491.43</v>
      </c>
      <c r="AQ16">
        <v>93.43</v>
      </c>
    </row>
    <row r="17" spans="2:43" x14ac:dyDescent="0.2">
      <c r="B17" s="3">
        <v>46001</v>
      </c>
      <c r="C17">
        <v>703.28</v>
      </c>
      <c r="D17">
        <v>211.72</v>
      </c>
      <c r="E17">
        <v>187.62</v>
      </c>
      <c r="F17">
        <v>129.77000000000001</v>
      </c>
      <c r="G17">
        <v>275</v>
      </c>
      <c r="H17">
        <v>91.77</v>
      </c>
      <c r="I17">
        <v>297.49970250000001</v>
      </c>
      <c r="J17">
        <v>109.58</v>
      </c>
      <c r="K17">
        <v>37.17</v>
      </c>
      <c r="L17">
        <v>323.14</v>
      </c>
      <c r="M17">
        <v>107.28</v>
      </c>
      <c r="N17">
        <v>67.56</v>
      </c>
      <c r="O17">
        <v>726.21</v>
      </c>
      <c r="P17">
        <v>222.96</v>
      </c>
      <c r="Q17">
        <v>100.71</v>
      </c>
      <c r="R17">
        <v>81.27</v>
      </c>
      <c r="S17">
        <v>160.52000000000001</v>
      </c>
      <c r="T17">
        <v>189.22</v>
      </c>
      <c r="U17">
        <v>157.32</v>
      </c>
      <c r="V17">
        <v>34.9</v>
      </c>
      <c r="W17" s="3">
        <v>46001</v>
      </c>
      <c r="X17">
        <v>151.35</v>
      </c>
      <c r="Y17">
        <v>73.569999999999993</v>
      </c>
      <c r="Z17">
        <v>17.683776170000002</v>
      </c>
      <c r="AA17">
        <v>46.45</v>
      </c>
      <c r="AB17">
        <v>187.91</v>
      </c>
      <c r="AC17">
        <v>375.57</v>
      </c>
      <c r="AD17">
        <v>206.54</v>
      </c>
      <c r="AE17">
        <v>181.65</v>
      </c>
      <c r="AF17">
        <v>102.61</v>
      </c>
      <c r="AG17">
        <v>41.75</v>
      </c>
      <c r="AH17">
        <v>77.42</v>
      </c>
      <c r="AI17">
        <v>123.6</v>
      </c>
      <c r="AJ17">
        <v>37.200000000000003</v>
      </c>
      <c r="AK17">
        <v>286.95999999999998</v>
      </c>
      <c r="AL17">
        <v>90.69</v>
      </c>
      <c r="AM17">
        <v>129.99</v>
      </c>
      <c r="AN17">
        <v>67.900000000000006</v>
      </c>
      <c r="AO17">
        <v>29.03</v>
      </c>
      <c r="AP17">
        <v>490.43</v>
      </c>
      <c r="AQ17">
        <v>96.8</v>
      </c>
    </row>
    <row r="18" spans="2:43" x14ac:dyDescent="0.2">
      <c r="B18" s="3">
        <v>46002</v>
      </c>
      <c r="C18">
        <v>716.98</v>
      </c>
      <c r="D18">
        <v>211.11</v>
      </c>
      <c r="E18">
        <v>187.01</v>
      </c>
      <c r="F18">
        <v>133.02000000000001</v>
      </c>
      <c r="G18">
        <v>278.95999999999998</v>
      </c>
      <c r="H18">
        <v>93.64</v>
      </c>
      <c r="I18">
        <v>296.76636989999997</v>
      </c>
      <c r="J18">
        <v>109.87</v>
      </c>
      <c r="K18">
        <v>38.01</v>
      </c>
      <c r="L18">
        <v>326.72000000000003</v>
      </c>
      <c r="M18">
        <v>105.56</v>
      </c>
      <c r="N18">
        <v>68.94</v>
      </c>
      <c r="O18">
        <v>746.8</v>
      </c>
      <c r="P18">
        <v>228.02</v>
      </c>
      <c r="Q18">
        <v>101.36</v>
      </c>
      <c r="R18">
        <v>81.209999999999994</v>
      </c>
      <c r="S18">
        <v>166.9</v>
      </c>
      <c r="T18">
        <v>192.83</v>
      </c>
      <c r="U18">
        <v>158.91999999999999</v>
      </c>
      <c r="V18">
        <v>34.020000000000003</v>
      </c>
      <c r="W18" s="3">
        <v>46002</v>
      </c>
      <c r="X18">
        <v>153.02000000000001</v>
      </c>
      <c r="Y18">
        <v>74.23</v>
      </c>
      <c r="Z18">
        <v>17.98131587</v>
      </c>
      <c r="AA18">
        <v>48.11</v>
      </c>
      <c r="AB18">
        <v>187.54</v>
      </c>
      <c r="AC18">
        <v>384.89</v>
      </c>
      <c r="AD18">
        <v>210.01</v>
      </c>
      <c r="AE18">
        <v>181.85</v>
      </c>
      <c r="AF18">
        <v>104.65</v>
      </c>
      <c r="AG18">
        <v>41.2</v>
      </c>
      <c r="AH18">
        <v>80.069999999999993</v>
      </c>
      <c r="AI18">
        <v>124.85</v>
      </c>
      <c r="AJ18">
        <v>37.44</v>
      </c>
      <c r="AK18">
        <v>296.45999999999998</v>
      </c>
      <c r="AL18">
        <v>92.59</v>
      </c>
      <c r="AM18">
        <v>130.75</v>
      </c>
      <c r="AN18">
        <v>69.09</v>
      </c>
      <c r="AO18">
        <v>29.63</v>
      </c>
      <c r="AP18">
        <v>495.85</v>
      </c>
      <c r="AQ18">
        <v>96.71</v>
      </c>
    </row>
    <row r="19" spans="2:43" x14ac:dyDescent="0.2">
      <c r="B19" s="3">
        <v>46003</v>
      </c>
      <c r="C19">
        <v>670.67</v>
      </c>
      <c r="D19">
        <v>209.63</v>
      </c>
      <c r="E19">
        <v>204.97</v>
      </c>
      <c r="F19">
        <v>134.47999999999999</v>
      </c>
      <c r="G19">
        <v>287.33</v>
      </c>
      <c r="H19">
        <v>93.92</v>
      </c>
      <c r="I19">
        <v>279.54638712000002</v>
      </c>
      <c r="J19">
        <v>108.48</v>
      </c>
      <c r="K19">
        <v>37.19</v>
      </c>
      <c r="L19">
        <v>326.92</v>
      </c>
      <c r="M19">
        <v>104.1</v>
      </c>
      <c r="N19">
        <v>66.959999999999994</v>
      </c>
      <c r="O19">
        <v>741.29</v>
      </c>
      <c r="P19">
        <v>229.3</v>
      </c>
      <c r="Q19">
        <v>101.18</v>
      </c>
      <c r="R19">
        <v>81.650000000000006</v>
      </c>
      <c r="S19">
        <v>168.5</v>
      </c>
      <c r="T19">
        <v>191.66</v>
      </c>
      <c r="U19">
        <v>159.49</v>
      </c>
      <c r="V19">
        <v>32.33</v>
      </c>
      <c r="W19" s="3">
        <v>46003</v>
      </c>
      <c r="X19">
        <v>151.76</v>
      </c>
      <c r="Y19">
        <v>74.34</v>
      </c>
      <c r="Z19">
        <v>18.20942964</v>
      </c>
      <c r="AA19">
        <v>47.38</v>
      </c>
      <c r="AB19">
        <v>183.57</v>
      </c>
      <c r="AC19">
        <v>382.56</v>
      </c>
      <c r="AD19">
        <v>211.58</v>
      </c>
      <c r="AE19">
        <v>182.02</v>
      </c>
      <c r="AF19">
        <v>104.31</v>
      </c>
      <c r="AG19">
        <v>41.07</v>
      </c>
      <c r="AH19">
        <v>80.25</v>
      </c>
      <c r="AI19">
        <v>123.66</v>
      </c>
      <c r="AJ19">
        <v>37.4</v>
      </c>
      <c r="AK19">
        <v>298.72000000000003</v>
      </c>
      <c r="AL19">
        <v>92.76</v>
      </c>
      <c r="AM19">
        <v>129.80000000000001</v>
      </c>
      <c r="AN19">
        <v>67.180000000000007</v>
      </c>
      <c r="AO19">
        <v>29.46</v>
      </c>
      <c r="AP19">
        <v>499.52</v>
      </c>
      <c r="AQ19">
        <v>95.54</v>
      </c>
    </row>
    <row r="20" spans="2:43" x14ac:dyDescent="0.2">
      <c r="B20" s="3">
        <v>46006</v>
      </c>
      <c r="C20">
        <v>675.16499999999996</v>
      </c>
      <c r="D20">
        <v>212.14</v>
      </c>
      <c r="E20">
        <v>206.29</v>
      </c>
      <c r="F20">
        <v>133.30000000000001</v>
      </c>
      <c r="G20">
        <v>287.04000000000002</v>
      </c>
      <c r="H20">
        <v>95.72</v>
      </c>
      <c r="I20">
        <v>279.87638679000003</v>
      </c>
      <c r="J20">
        <v>104.66</v>
      </c>
      <c r="K20">
        <v>37.54</v>
      </c>
      <c r="L20">
        <v>329.16</v>
      </c>
      <c r="M20">
        <v>101.03</v>
      </c>
      <c r="N20">
        <v>65.73</v>
      </c>
      <c r="O20">
        <v>752.62</v>
      </c>
      <c r="P20">
        <v>233.26</v>
      </c>
      <c r="Q20">
        <v>103.99</v>
      </c>
      <c r="R20">
        <v>81.650000000000006</v>
      </c>
      <c r="S20">
        <v>166.5</v>
      </c>
      <c r="T20">
        <v>193.13</v>
      </c>
      <c r="U20">
        <v>157.46</v>
      </c>
      <c r="V20">
        <v>31.37</v>
      </c>
      <c r="W20" s="3">
        <v>46006</v>
      </c>
      <c r="X20">
        <v>151.57</v>
      </c>
      <c r="Y20">
        <v>75.430000000000007</v>
      </c>
      <c r="Z20">
        <v>18.487133360000001</v>
      </c>
      <c r="AA20">
        <v>47.52</v>
      </c>
      <c r="AB20">
        <v>183.25</v>
      </c>
      <c r="AC20">
        <v>382.57</v>
      </c>
      <c r="AD20">
        <v>214.17</v>
      </c>
      <c r="AE20">
        <v>184.17</v>
      </c>
      <c r="AF20">
        <v>105.41</v>
      </c>
      <c r="AG20">
        <v>40.19</v>
      </c>
      <c r="AH20">
        <v>80.48</v>
      </c>
      <c r="AI20">
        <v>126.25</v>
      </c>
      <c r="AJ20">
        <v>37.380000000000003</v>
      </c>
      <c r="AK20">
        <v>308.49</v>
      </c>
      <c r="AL20">
        <v>92.9</v>
      </c>
      <c r="AM20">
        <v>128.81</v>
      </c>
      <c r="AN20">
        <v>67.180000000000007</v>
      </c>
      <c r="AO20">
        <v>29.92</v>
      </c>
      <c r="AP20">
        <v>506.38</v>
      </c>
      <c r="AQ20">
        <v>94.36</v>
      </c>
    </row>
    <row r="21" spans="2:43" x14ac:dyDescent="0.2">
      <c r="B21" s="3">
        <v>46007</v>
      </c>
      <c r="C21">
        <v>677.3</v>
      </c>
      <c r="D21">
        <v>205.85</v>
      </c>
      <c r="E21">
        <v>206.74</v>
      </c>
      <c r="F21">
        <v>130.69999999999999</v>
      </c>
      <c r="G21">
        <v>287.51</v>
      </c>
      <c r="H21">
        <v>95.58</v>
      </c>
      <c r="I21">
        <v>273.56305977</v>
      </c>
      <c r="J21">
        <v>103.18</v>
      </c>
      <c r="K21">
        <v>37.69</v>
      </c>
      <c r="L21">
        <v>326.8</v>
      </c>
      <c r="M21">
        <v>104.39</v>
      </c>
      <c r="N21">
        <v>66.37</v>
      </c>
      <c r="O21">
        <v>746.36</v>
      </c>
      <c r="P21">
        <v>233.32</v>
      </c>
      <c r="Q21">
        <v>104.2</v>
      </c>
      <c r="R21">
        <v>81.319999999999993</v>
      </c>
      <c r="S21">
        <v>160.88</v>
      </c>
      <c r="T21">
        <v>189.98</v>
      </c>
      <c r="U21">
        <v>156.94</v>
      </c>
      <c r="V21">
        <v>31.66</v>
      </c>
      <c r="W21" s="3">
        <v>46007</v>
      </c>
      <c r="X21">
        <v>149.97999999999999</v>
      </c>
      <c r="Y21">
        <v>75.12</v>
      </c>
      <c r="Z21">
        <v>18.140003709999998</v>
      </c>
      <c r="AA21">
        <v>47.54</v>
      </c>
      <c r="AB21">
        <v>187.75</v>
      </c>
      <c r="AC21">
        <v>380.75</v>
      </c>
      <c r="AD21">
        <v>209.3</v>
      </c>
      <c r="AE21">
        <v>182.53</v>
      </c>
      <c r="AF21">
        <v>103.96</v>
      </c>
      <c r="AG21">
        <v>38.92</v>
      </c>
      <c r="AH21">
        <v>80.64</v>
      </c>
      <c r="AI21">
        <v>126.04</v>
      </c>
      <c r="AJ21">
        <v>36.840000000000003</v>
      </c>
      <c r="AK21">
        <v>305.97000000000003</v>
      </c>
      <c r="AL21">
        <v>92.19</v>
      </c>
      <c r="AM21">
        <v>128.66</v>
      </c>
      <c r="AN21">
        <v>65.900000000000006</v>
      </c>
      <c r="AO21">
        <v>29.89</v>
      </c>
      <c r="AP21">
        <v>499.84</v>
      </c>
      <c r="AQ21">
        <v>90.77</v>
      </c>
    </row>
    <row r="22" spans="2:43" x14ac:dyDescent="0.2">
      <c r="B22" s="3">
        <v>46008</v>
      </c>
      <c r="C22">
        <v>657.13</v>
      </c>
      <c r="D22">
        <v>204.33</v>
      </c>
      <c r="E22">
        <v>207.87</v>
      </c>
      <c r="F22">
        <v>131.88</v>
      </c>
      <c r="G22">
        <v>288.81</v>
      </c>
      <c r="H22">
        <v>95.89</v>
      </c>
      <c r="I22">
        <v>294.33303899999999</v>
      </c>
      <c r="J22">
        <v>103.51</v>
      </c>
      <c r="K22">
        <v>38.020000000000003</v>
      </c>
      <c r="L22">
        <v>321.29000000000002</v>
      </c>
      <c r="M22">
        <v>105.3</v>
      </c>
      <c r="N22">
        <v>65.75</v>
      </c>
      <c r="O22">
        <v>749.79</v>
      </c>
      <c r="P22">
        <v>237.04</v>
      </c>
      <c r="Q22">
        <v>102.39</v>
      </c>
      <c r="R22">
        <v>80.290000000000006</v>
      </c>
      <c r="S22">
        <v>162.30000000000001</v>
      </c>
      <c r="T22">
        <v>190.95</v>
      </c>
      <c r="U22">
        <v>155.72999999999999</v>
      </c>
      <c r="V22">
        <v>29.84</v>
      </c>
      <c r="W22" s="3">
        <v>46008</v>
      </c>
      <c r="X22">
        <v>149.75</v>
      </c>
      <c r="Y22">
        <v>75.75</v>
      </c>
      <c r="Z22">
        <v>18.41770743</v>
      </c>
      <c r="AA22">
        <v>47.82</v>
      </c>
      <c r="AB22">
        <v>177.29</v>
      </c>
      <c r="AC22">
        <v>375.61</v>
      </c>
      <c r="AD22">
        <v>210.33</v>
      </c>
      <c r="AE22">
        <v>184.22</v>
      </c>
      <c r="AF22">
        <v>106.04</v>
      </c>
      <c r="AG22">
        <v>40.630000000000003</v>
      </c>
      <c r="AH22">
        <v>82.7</v>
      </c>
      <c r="AI22">
        <v>125.44</v>
      </c>
      <c r="AJ22">
        <v>36.200000000000003</v>
      </c>
      <c r="AK22">
        <v>310.07</v>
      </c>
      <c r="AL22">
        <v>92.59</v>
      </c>
      <c r="AM22">
        <v>128.88999999999999</v>
      </c>
      <c r="AN22">
        <v>63.99</v>
      </c>
      <c r="AO22">
        <v>30.51</v>
      </c>
      <c r="AP22">
        <v>504.27</v>
      </c>
      <c r="AQ22">
        <v>94.96</v>
      </c>
    </row>
    <row r="23" spans="2:43" x14ac:dyDescent="0.2">
      <c r="B23" s="3">
        <v>46009</v>
      </c>
      <c r="C23">
        <v>694.37</v>
      </c>
      <c r="D23">
        <v>207.02</v>
      </c>
      <c r="E23">
        <v>215.11</v>
      </c>
      <c r="F23">
        <v>130.88999999999999</v>
      </c>
      <c r="G23">
        <v>289.05</v>
      </c>
      <c r="H23">
        <v>96.45</v>
      </c>
      <c r="I23">
        <v>298.46970153000001</v>
      </c>
      <c r="J23">
        <v>105.62</v>
      </c>
      <c r="K23">
        <v>38.619999999999997</v>
      </c>
      <c r="L23">
        <v>322.63</v>
      </c>
      <c r="M23">
        <v>107.94</v>
      </c>
      <c r="N23">
        <v>65.91</v>
      </c>
      <c r="O23">
        <v>748.71</v>
      </c>
      <c r="P23">
        <v>238.03</v>
      </c>
      <c r="Q23">
        <v>100.55</v>
      </c>
      <c r="R23">
        <v>80.849999999999994</v>
      </c>
      <c r="S23">
        <v>162.72</v>
      </c>
      <c r="T23">
        <v>190.36</v>
      </c>
      <c r="U23">
        <v>158.55000000000001</v>
      </c>
      <c r="V23">
        <v>29.37</v>
      </c>
      <c r="W23" s="3">
        <v>46009</v>
      </c>
      <c r="X23">
        <v>150.72</v>
      </c>
      <c r="Y23">
        <v>75.069999999999993</v>
      </c>
      <c r="Z23">
        <v>18.308609539999999</v>
      </c>
      <c r="AA23">
        <v>47.92</v>
      </c>
      <c r="AB23">
        <v>185.69</v>
      </c>
      <c r="AC23">
        <v>375.52</v>
      </c>
      <c r="AD23">
        <v>208.31</v>
      </c>
      <c r="AE23">
        <v>185.07</v>
      </c>
      <c r="AF23">
        <v>105.86</v>
      </c>
      <c r="AG23">
        <v>39.729999999999997</v>
      </c>
      <c r="AH23">
        <v>81.66</v>
      </c>
      <c r="AI23">
        <v>126.51</v>
      </c>
      <c r="AJ23">
        <v>36.770000000000003</v>
      </c>
      <c r="AK23">
        <v>306.82</v>
      </c>
      <c r="AL23">
        <v>91.48</v>
      </c>
      <c r="AM23">
        <v>129.9</v>
      </c>
      <c r="AN23">
        <v>64.06</v>
      </c>
      <c r="AO23">
        <v>30.95</v>
      </c>
      <c r="AP23">
        <v>503.39</v>
      </c>
      <c r="AQ23">
        <v>92.23</v>
      </c>
    </row>
    <row r="24" spans="2:43" x14ac:dyDescent="0.2">
      <c r="B24" s="3">
        <v>46010</v>
      </c>
      <c r="C24">
        <v>721.37</v>
      </c>
      <c r="D24">
        <v>209.17</v>
      </c>
      <c r="E24">
        <v>209.45</v>
      </c>
      <c r="F24">
        <v>130.07</v>
      </c>
      <c r="G24">
        <v>283.82</v>
      </c>
      <c r="H24">
        <v>96.2</v>
      </c>
      <c r="I24">
        <v>299.61970037999998</v>
      </c>
      <c r="J24">
        <v>103.79</v>
      </c>
      <c r="K24">
        <v>38.11</v>
      </c>
      <c r="L24">
        <v>336.64</v>
      </c>
      <c r="M24">
        <v>108</v>
      </c>
      <c r="N24">
        <v>66.06</v>
      </c>
      <c r="O24">
        <v>767.96</v>
      </c>
      <c r="P24">
        <v>239.02</v>
      </c>
      <c r="Q24">
        <v>99.47</v>
      </c>
      <c r="R24">
        <v>79.540000000000006</v>
      </c>
      <c r="S24">
        <v>163.69</v>
      </c>
      <c r="T24">
        <v>190.01</v>
      </c>
      <c r="U24">
        <v>157.38999999999999</v>
      </c>
      <c r="V24">
        <v>31.11</v>
      </c>
      <c r="W24" s="3">
        <v>46010</v>
      </c>
      <c r="X24">
        <v>152.87</v>
      </c>
      <c r="Y24">
        <v>74.489999999999995</v>
      </c>
      <c r="Z24">
        <v>18.358199490000001</v>
      </c>
      <c r="AA24">
        <v>49.15</v>
      </c>
      <c r="AB24">
        <v>193.38</v>
      </c>
      <c r="AC24">
        <v>376.51</v>
      </c>
      <c r="AD24">
        <v>206.37</v>
      </c>
      <c r="AE24">
        <v>184.93</v>
      </c>
      <c r="AF24">
        <v>106.58</v>
      </c>
      <c r="AG24">
        <v>39.619999999999997</v>
      </c>
      <c r="AH24">
        <v>80.23</v>
      </c>
      <c r="AI24">
        <v>127.94</v>
      </c>
      <c r="AJ24">
        <v>37.299999999999997</v>
      </c>
      <c r="AK24">
        <v>310.16000000000003</v>
      </c>
      <c r="AL24">
        <v>93.01</v>
      </c>
      <c r="AM24">
        <v>127.64</v>
      </c>
      <c r="AN24">
        <v>64.91</v>
      </c>
      <c r="AO24">
        <v>33.799999999999997</v>
      </c>
      <c r="AP24">
        <v>494.53</v>
      </c>
      <c r="AQ24">
        <v>91.94</v>
      </c>
    </row>
    <row r="25" spans="2:43" x14ac:dyDescent="0.2">
      <c r="B25" s="3">
        <v>46013</v>
      </c>
      <c r="C25">
        <v>733.6</v>
      </c>
      <c r="D25">
        <v>211.59</v>
      </c>
      <c r="E25">
        <v>212.37</v>
      </c>
      <c r="F25">
        <v>130.76</v>
      </c>
      <c r="G25">
        <v>286.14999999999998</v>
      </c>
      <c r="H25">
        <v>97.12</v>
      </c>
      <c r="I25">
        <v>302.79969720000003</v>
      </c>
      <c r="J25">
        <v>103.65</v>
      </c>
      <c r="K25">
        <v>38.090000000000003</v>
      </c>
      <c r="L25">
        <v>353.52</v>
      </c>
      <c r="M25">
        <v>108.65</v>
      </c>
      <c r="N25">
        <v>67.430000000000007</v>
      </c>
      <c r="O25">
        <v>779.36</v>
      </c>
      <c r="P25">
        <v>241.51</v>
      </c>
      <c r="Q25">
        <v>101.91</v>
      </c>
      <c r="R25">
        <v>80.040000000000006</v>
      </c>
      <c r="S25">
        <v>163.68</v>
      </c>
      <c r="T25">
        <v>190.63</v>
      </c>
      <c r="U25">
        <v>159.30000000000001</v>
      </c>
      <c r="V25">
        <v>31.07</v>
      </c>
      <c r="W25" s="3">
        <v>46013</v>
      </c>
      <c r="X25">
        <v>153.02000000000001</v>
      </c>
      <c r="Y25">
        <v>74.58</v>
      </c>
      <c r="Z25">
        <v>18.47721537</v>
      </c>
      <c r="AA25">
        <v>50.64</v>
      </c>
      <c r="AB25">
        <v>193.98</v>
      </c>
      <c r="AC25">
        <v>380.85</v>
      </c>
      <c r="AD25">
        <v>207.32</v>
      </c>
      <c r="AE25">
        <v>186.66</v>
      </c>
      <c r="AF25">
        <v>108.08</v>
      </c>
      <c r="AG25">
        <v>40.270000000000003</v>
      </c>
      <c r="AH25">
        <v>79.64</v>
      </c>
      <c r="AI25">
        <v>125.98</v>
      </c>
      <c r="AJ25">
        <v>37.549999999999997</v>
      </c>
      <c r="AK25">
        <v>313.75</v>
      </c>
      <c r="AL25">
        <v>94.28</v>
      </c>
      <c r="AM25">
        <v>128.31</v>
      </c>
      <c r="AN25">
        <v>66.239999999999995</v>
      </c>
      <c r="AO25">
        <v>34.9</v>
      </c>
      <c r="AP25">
        <v>499.95</v>
      </c>
      <c r="AQ25">
        <v>93.31</v>
      </c>
    </row>
    <row r="26" spans="2:43" x14ac:dyDescent="0.2">
      <c r="B26" s="3">
        <v>46014</v>
      </c>
      <c r="C26">
        <v>728.45</v>
      </c>
      <c r="D26">
        <v>208</v>
      </c>
      <c r="E26">
        <v>212.68</v>
      </c>
      <c r="F26">
        <v>129.4</v>
      </c>
      <c r="G26">
        <v>283.77999999999997</v>
      </c>
      <c r="H26">
        <v>96.96</v>
      </c>
      <c r="I26">
        <v>297.33</v>
      </c>
      <c r="J26">
        <v>102.7</v>
      </c>
      <c r="K26">
        <v>38.24</v>
      </c>
      <c r="L26">
        <v>354.52</v>
      </c>
      <c r="M26">
        <v>107.64</v>
      </c>
      <c r="N26">
        <v>66.86</v>
      </c>
      <c r="O26">
        <v>785.17</v>
      </c>
      <c r="P26">
        <v>241.25</v>
      </c>
      <c r="Q26">
        <v>100.68</v>
      </c>
      <c r="R26">
        <v>79.790000000000006</v>
      </c>
      <c r="S26">
        <v>164.02</v>
      </c>
      <c r="T26">
        <v>191.91</v>
      </c>
      <c r="U26">
        <v>158.62</v>
      </c>
      <c r="V26">
        <v>30.76</v>
      </c>
      <c r="W26" s="3">
        <v>46014</v>
      </c>
      <c r="X26">
        <v>151.65</v>
      </c>
      <c r="Y26">
        <v>73.989999999999995</v>
      </c>
      <c r="Z26">
        <v>18.20942964</v>
      </c>
      <c r="AA26">
        <v>51.9</v>
      </c>
      <c r="AB26">
        <v>194.13</v>
      </c>
      <c r="AC26">
        <v>382.19</v>
      </c>
      <c r="AD26">
        <v>205.78</v>
      </c>
      <c r="AE26">
        <v>187.6</v>
      </c>
      <c r="AF26">
        <v>107.51</v>
      </c>
      <c r="AG26">
        <v>40.1</v>
      </c>
      <c r="AH26">
        <v>78.7</v>
      </c>
      <c r="AI26">
        <v>124.96</v>
      </c>
      <c r="AJ26">
        <v>36.97</v>
      </c>
      <c r="AK26">
        <v>314.07</v>
      </c>
      <c r="AL26">
        <v>94.47</v>
      </c>
      <c r="AM26">
        <v>128.52000000000001</v>
      </c>
      <c r="AN26">
        <v>65.349999999999994</v>
      </c>
      <c r="AO26">
        <v>32.29</v>
      </c>
      <c r="AP26">
        <v>500.51</v>
      </c>
      <c r="AQ26">
        <v>92.73</v>
      </c>
    </row>
    <row r="27" spans="2:43" x14ac:dyDescent="0.2">
      <c r="B27" s="3">
        <v>46015</v>
      </c>
      <c r="C27">
        <v>727.5</v>
      </c>
      <c r="D27">
        <v>209.08</v>
      </c>
      <c r="E27">
        <v>210.4</v>
      </c>
      <c r="F27">
        <v>130.26</v>
      </c>
      <c r="G27">
        <v>284</v>
      </c>
      <c r="H27">
        <v>96.4</v>
      </c>
      <c r="I27">
        <v>296</v>
      </c>
      <c r="J27">
        <v>104.03</v>
      </c>
      <c r="K27">
        <v>38.130000000000003</v>
      </c>
      <c r="L27">
        <v>355.45</v>
      </c>
      <c r="M27">
        <v>107.48</v>
      </c>
      <c r="N27">
        <v>67.42</v>
      </c>
      <c r="O27">
        <v>783.71</v>
      </c>
      <c r="P27">
        <v>241.89</v>
      </c>
      <c r="Q27">
        <v>100.95</v>
      </c>
      <c r="R27">
        <v>80.45</v>
      </c>
      <c r="S27">
        <v>163.47</v>
      </c>
      <c r="T27">
        <v>192.6</v>
      </c>
      <c r="U27">
        <v>159.36000000000001</v>
      </c>
      <c r="V27">
        <v>30.55</v>
      </c>
      <c r="W27" s="3">
        <v>46015</v>
      </c>
      <c r="X27">
        <v>151.56</v>
      </c>
      <c r="Y27">
        <v>74.25</v>
      </c>
      <c r="Z27">
        <v>18.368117479999999</v>
      </c>
      <c r="AA27">
        <v>51.92</v>
      </c>
      <c r="AB27">
        <v>194.17</v>
      </c>
      <c r="AC27">
        <v>383.11</v>
      </c>
      <c r="AD27">
        <v>207.78</v>
      </c>
      <c r="AE27">
        <v>188.29</v>
      </c>
      <c r="AF27">
        <v>107.33</v>
      </c>
      <c r="AG27">
        <v>40</v>
      </c>
      <c r="AH27">
        <v>79.95</v>
      </c>
      <c r="AI27">
        <v>125.02</v>
      </c>
      <c r="AJ27">
        <v>37.090000000000003</v>
      </c>
      <c r="AK27">
        <v>315.16000000000003</v>
      </c>
      <c r="AL27">
        <v>95.3</v>
      </c>
      <c r="AM27">
        <v>128.79</v>
      </c>
      <c r="AN27">
        <v>65.36</v>
      </c>
      <c r="AO27">
        <v>32.75</v>
      </c>
      <c r="AP27">
        <v>501.34</v>
      </c>
      <c r="AQ27">
        <v>91.8</v>
      </c>
    </row>
    <row r="28" spans="2:43" x14ac:dyDescent="0.2">
      <c r="B28" s="3">
        <v>46017</v>
      </c>
      <c r="C28">
        <v>714.23</v>
      </c>
      <c r="D28">
        <v>211.41</v>
      </c>
      <c r="E28">
        <v>208.97</v>
      </c>
      <c r="F28">
        <v>130.79</v>
      </c>
      <c r="G28">
        <v>282.39999999999998</v>
      </c>
      <c r="H28">
        <v>95.87</v>
      </c>
      <c r="I28">
        <v>287.54000000000002</v>
      </c>
      <c r="J28">
        <v>103.99</v>
      </c>
      <c r="K28">
        <v>38.74</v>
      </c>
      <c r="L28">
        <v>351.13</v>
      </c>
      <c r="M28">
        <v>107.65</v>
      </c>
      <c r="N28">
        <v>67.569999999999993</v>
      </c>
      <c r="O28">
        <v>784.97</v>
      </c>
      <c r="P28">
        <v>240.13</v>
      </c>
      <c r="Q28">
        <v>103.09</v>
      </c>
      <c r="R28">
        <v>80.41</v>
      </c>
      <c r="S28">
        <v>164.84</v>
      </c>
      <c r="T28">
        <v>192.6</v>
      </c>
      <c r="U28">
        <v>159.49</v>
      </c>
      <c r="V28">
        <v>30.64</v>
      </c>
      <c r="W28" s="3">
        <v>46017</v>
      </c>
      <c r="X28">
        <v>152.24</v>
      </c>
      <c r="Y28">
        <v>74.23</v>
      </c>
      <c r="Z28">
        <v>18.288773559999999</v>
      </c>
      <c r="AA28">
        <v>53.04</v>
      </c>
      <c r="AB28">
        <v>188.71</v>
      </c>
      <c r="AC28">
        <v>381.05</v>
      </c>
      <c r="AD28">
        <v>207.63</v>
      </c>
      <c r="AE28">
        <v>187.71</v>
      </c>
      <c r="AF28">
        <v>106.4</v>
      </c>
      <c r="AG28">
        <v>39.85</v>
      </c>
      <c r="AH28">
        <v>80.03</v>
      </c>
      <c r="AI28">
        <v>124.36</v>
      </c>
      <c r="AJ28">
        <v>37.68</v>
      </c>
      <c r="AK28">
        <v>315.58</v>
      </c>
      <c r="AL28">
        <v>95.26</v>
      </c>
      <c r="AM28">
        <v>129.05000000000001</v>
      </c>
      <c r="AN28">
        <v>64.94</v>
      </c>
      <c r="AO28">
        <v>31.2</v>
      </c>
      <c r="AP28">
        <v>498.3</v>
      </c>
      <c r="AQ28">
        <v>91.54</v>
      </c>
    </row>
    <row r="29" spans="2:43" x14ac:dyDescent="0.2">
      <c r="B29" s="3">
        <v>46020</v>
      </c>
      <c r="C29">
        <v>698.82</v>
      </c>
      <c r="D29">
        <v>211.64</v>
      </c>
      <c r="E29">
        <v>212.54</v>
      </c>
      <c r="F29">
        <v>130.74</v>
      </c>
      <c r="G29">
        <v>287.43</v>
      </c>
      <c r="H29">
        <v>96.39</v>
      </c>
      <c r="I29">
        <v>294.52999999999997</v>
      </c>
      <c r="J29">
        <v>103.45</v>
      </c>
      <c r="K29">
        <v>38.68</v>
      </c>
      <c r="L29">
        <v>345.73</v>
      </c>
      <c r="M29">
        <v>106.7</v>
      </c>
      <c r="N29">
        <v>67.47</v>
      </c>
      <c r="O29">
        <v>780.5</v>
      </c>
      <c r="P29">
        <v>241.44</v>
      </c>
      <c r="Q29">
        <v>103.71</v>
      </c>
      <c r="R29">
        <v>80.27</v>
      </c>
      <c r="S29">
        <v>166.54</v>
      </c>
      <c r="T29">
        <v>193.69</v>
      </c>
      <c r="U29">
        <v>159.56</v>
      </c>
      <c r="V29">
        <v>30.08</v>
      </c>
      <c r="W29" s="3">
        <v>46020</v>
      </c>
      <c r="X29">
        <v>151.06</v>
      </c>
      <c r="Y29">
        <v>74.459999999999994</v>
      </c>
      <c r="Z29">
        <v>18.239183610000001</v>
      </c>
      <c r="AA29">
        <v>51.48</v>
      </c>
      <c r="AB29">
        <v>184.18</v>
      </c>
      <c r="AC29">
        <v>375.32</v>
      </c>
      <c r="AD29">
        <v>207.56</v>
      </c>
      <c r="AE29">
        <v>187.62</v>
      </c>
      <c r="AF29">
        <v>106.24</v>
      </c>
      <c r="AG29">
        <v>40.409999999999997</v>
      </c>
      <c r="AH29">
        <v>80.47</v>
      </c>
      <c r="AI29">
        <v>122.27</v>
      </c>
      <c r="AJ29">
        <v>37.159999999999997</v>
      </c>
      <c r="AK29">
        <v>314.41000000000003</v>
      </c>
      <c r="AL29">
        <v>94.52</v>
      </c>
      <c r="AM29">
        <v>129.63999999999999</v>
      </c>
      <c r="AN29">
        <v>64.650000000000006</v>
      </c>
      <c r="AO29">
        <v>31.15</v>
      </c>
      <c r="AP29">
        <v>501.05</v>
      </c>
      <c r="AQ29">
        <v>92.63</v>
      </c>
    </row>
    <row r="30" spans="2:43" x14ac:dyDescent="0.2">
      <c r="B30" s="3">
        <v>46021</v>
      </c>
      <c r="C30">
        <v>693.71</v>
      </c>
      <c r="D30">
        <v>206.31</v>
      </c>
      <c r="E30">
        <v>210.67</v>
      </c>
      <c r="F30">
        <v>131.56</v>
      </c>
      <c r="G30">
        <v>287.85000000000002</v>
      </c>
      <c r="H30">
        <v>96.66</v>
      </c>
      <c r="I30">
        <v>292.68</v>
      </c>
      <c r="J30">
        <v>103.19</v>
      </c>
      <c r="K30">
        <v>38.840000000000003</v>
      </c>
      <c r="L30">
        <v>341.98</v>
      </c>
      <c r="M30">
        <v>105.84</v>
      </c>
      <c r="N30">
        <v>67.06</v>
      </c>
      <c r="O30">
        <v>773.94</v>
      </c>
      <c r="P30">
        <v>242.13</v>
      </c>
      <c r="Q30">
        <v>105.03</v>
      </c>
      <c r="R30">
        <v>80.53</v>
      </c>
      <c r="S30">
        <v>170.66</v>
      </c>
      <c r="T30">
        <v>194.76</v>
      </c>
      <c r="U30">
        <v>159.31</v>
      </c>
      <c r="V30">
        <v>29.65</v>
      </c>
      <c r="W30" s="3">
        <v>46021</v>
      </c>
      <c r="X30">
        <v>150.12</v>
      </c>
      <c r="Y30">
        <v>74.2</v>
      </c>
      <c r="Z30">
        <v>18.140003709999998</v>
      </c>
      <c r="AA30">
        <v>51.41</v>
      </c>
      <c r="AB30">
        <v>180.84</v>
      </c>
      <c r="AC30">
        <v>373.39</v>
      </c>
      <c r="AD30">
        <v>206.91</v>
      </c>
      <c r="AE30">
        <v>186.83</v>
      </c>
      <c r="AF30">
        <v>106.19</v>
      </c>
      <c r="AG30">
        <v>41.46</v>
      </c>
      <c r="AH30">
        <v>80.73</v>
      </c>
      <c r="AI30">
        <v>120.33</v>
      </c>
      <c r="AJ30">
        <v>36.729999999999997</v>
      </c>
      <c r="AK30">
        <v>313.94</v>
      </c>
      <c r="AL30">
        <v>94.31</v>
      </c>
      <c r="AM30">
        <v>129.78</v>
      </c>
      <c r="AN30">
        <v>64.680000000000007</v>
      </c>
      <c r="AO30">
        <v>30.41</v>
      </c>
      <c r="AP30">
        <v>503.71</v>
      </c>
      <c r="AQ30">
        <v>94.1</v>
      </c>
    </row>
    <row r="31" spans="2:43" x14ac:dyDescent="0.2">
      <c r="B31" s="3">
        <v>46022</v>
      </c>
      <c r="C31">
        <v>673.82</v>
      </c>
      <c r="D31">
        <v>204.88</v>
      </c>
      <c r="E31">
        <v>207.81</v>
      </c>
      <c r="F31">
        <v>130.22</v>
      </c>
      <c r="G31">
        <v>286.64999999999998</v>
      </c>
      <c r="H31">
        <v>95.92</v>
      </c>
      <c r="I31">
        <v>287.22000000000003</v>
      </c>
      <c r="J31">
        <v>102.89</v>
      </c>
      <c r="K31">
        <v>38.67</v>
      </c>
      <c r="L31">
        <v>340.07</v>
      </c>
      <c r="M31">
        <v>104.72</v>
      </c>
      <c r="N31">
        <v>66.37</v>
      </c>
      <c r="O31">
        <v>771.87</v>
      </c>
      <c r="P31">
        <v>240.85</v>
      </c>
      <c r="Q31">
        <v>103.67</v>
      </c>
      <c r="R31">
        <v>80.28</v>
      </c>
      <c r="S31">
        <v>173.54</v>
      </c>
      <c r="T31">
        <v>193.43</v>
      </c>
      <c r="U31">
        <v>156.80000000000001</v>
      </c>
      <c r="V31">
        <v>29.27</v>
      </c>
      <c r="W31" s="3">
        <v>46022</v>
      </c>
      <c r="X31">
        <v>149.01</v>
      </c>
      <c r="Y31">
        <v>73.69</v>
      </c>
      <c r="Z31">
        <v>17.73</v>
      </c>
      <c r="AA31">
        <v>50.79</v>
      </c>
      <c r="AB31">
        <v>177.75</v>
      </c>
      <c r="AC31">
        <v>369.95</v>
      </c>
      <c r="AD31">
        <v>206.95</v>
      </c>
      <c r="AE31">
        <v>185.11</v>
      </c>
      <c r="AF31">
        <v>105.31</v>
      </c>
      <c r="AG31">
        <v>41.12</v>
      </c>
      <c r="AH31">
        <v>80.75</v>
      </c>
      <c r="AI31">
        <v>120.33</v>
      </c>
      <c r="AJ31">
        <v>36.49</v>
      </c>
      <c r="AK31">
        <v>310.24</v>
      </c>
      <c r="AL31">
        <v>93.2</v>
      </c>
      <c r="AM31">
        <v>128.97999999999999</v>
      </c>
      <c r="AN31">
        <v>63.72</v>
      </c>
      <c r="AO31">
        <v>29.49</v>
      </c>
      <c r="AP31">
        <v>502.65</v>
      </c>
      <c r="AQ31">
        <v>93.61</v>
      </c>
    </row>
    <row r="32" spans="2:43" x14ac:dyDescent="0.2">
      <c r="B32" s="3">
        <v>46024</v>
      </c>
      <c r="C32">
        <v>618.32000000000005</v>
      </c>
      <c r="D32">
        <v>200.46</v>
      </c>
      <c r="E32">
        <v>210.81</v>
      </c>
      <c r="F32">
        <v>130.97</v>
      </c>
      <c r="G32">
        <v>277.81</v>
      </c>
      <c r="H32">
        <v>93.86</v>
      </c>
      <c r="I32">
        <v>297.97000000000003</v>
      </c>
      <c r="J32">
        <v>104.63</v>
      </c>
      <c r="K32">
        <v>39.6</v>
      </c>
      <c r="L32">
        <v>349.75</v>
      </c>
      <c r="M32">
        <v>106.76</v>
      </c>
      <c r="N32">
        <v>66.540000000000006</v>
      </c>
      <c r="O32">
        <v>776.31</v>
      </c>
      <c r="P32">
        <v>237.72</v>
      </c>
      <c r="Q32">
        <v>106.79</v>
      </c>
      <c r="R32">
        <v>80.930000000000007</v>
      </c>
      <c r="S32">
        <v>178.46</v>
      </c>
      <c r="T32">
        <v>192.48</v>
      </c>
      <c r="U32">
        <v>159.19</v>
      </c>
      <c r="V32">
        <v>30.96</v>
      </c>
      <c r="W32" s="3">
        <v>46024</v>
      </c>
      <c r="X32">
        <v>151.86000000000001</v>
      </c>
      <c r="Y32">
        <v>72.62</v>
      </c>
      <c r="Z32">
        <v>18.16</v>
      </c>
      <c r="AA32">
        <v>51.93</v>
      </c>
      <c r="AB32">
        <v>167.86</v>
      </c>
      <c r="AC32">
        <v>372.73</v>
      </c>
      <c r="AD32">
        <v>207.35</v>
      </c>
      <c r="AE32">
        <v>183.97</v>
      </c>
      <c r="AF32">
        <v>104.66</v>
      </c>
      <c r="AG32">
        <v>42.38</v>
      </c>
      <c r="AH32">
        <v>81.319999999999993</v>
      </c>
      <c r="AI32">
        <v>122.57</v>
      </c>
      <c r="AJ32">
        <v>36.49</v>
      </c>
      <c r="AK32">
        <v>313.41000000000003</v>
      </c>
      <c r="AL32">
        <v>95.2</v>
      </c>
      <c r="AM32">
        <v>130.36000000000001</v>
      </c>
      <c r="AN32">
        <v>65.03</v>
      </c>
      <c r="AO32">
        <v>30.86</v>
      </c>
      <c r="AP32">
        <v>496.85</v>
      </c>
      <c r="AQ32">
        <v>96.7</v>
      </c>
    </row>
    <row r="33" spans="2:43" x14ac:dyDescent="0.2">
      <c r="B33" s="3">
        <v>46027</v>
      </c>
      <c r="C33">
        <v>632.91</v>
      </c>
      <c r="D33">
        <v>206.61</v>
      </c>
      <c r="E33">
        <v>212.4</v>
      </c>
      <c r="F33">
        <v>131.1</v>
      </c>
      <c r="G33">
        <v>281.93</v>
      </c>
      <c r="H33">
        <v>94.44</v>
      </c>
      <c r="I33">
        <v>297.54000000000002</v>
      </c>
      <c r="J33">
        <v>108.44</v>
      </c>
      <c r="K33">
        <v>40.07</v>
      </c>
      <c r="L33">
        <v>363.48</v>
      </c>
      <c r="M33">
        <v>108.16</v>
      </c>
      <c r="N33">
        <v>67.650000000000006</v>
      </c>
      <c r="O33">
        <v>763.23</v>
      </c>
      <c r="P33">
        <v>240.42</v>
      </c>
      <c r="Q33">
        <v>108.1</v>
      </c>
      <c r="R33">
        <v>81.319999999999993</v>
      </c>
      <c r="S33">
        <v>182.8</v>
      </c>
      <c r="T33">
        <v>190.06</v>
      </c>
      <c r="U33">
        <v>163.72999999999999</v>
      </c>
      <c r="V33">
        <v>30.07</v>
      </c>
      <c r="W33" s="3">
        <v>46027</v>
      </c>
      <c r="X33">
        <v>154.4</v>
      </c>
      <c r="Y33">
        <v>72.790000000000006</v>
      </c>
      <c r="Z33">
        <v>18.12</v>
      </c>
      <c r="AA33">
        <v>54.41</v>
      </c>
      <c r="AB33">
        <v>174.04</v>
      </c>
      <c r="AC33">
        <v>379.8</v>
      </c>
      <c r="AD33">
        <v>204.31</v>
      </c>
      <c r="AE33">
        <v>183.11</v>
      </c>
      <c r="AF33">
        <v>105.67</v>
      </c>
      <c r="AG33">
        <v>41.23</v>
      </c>
      <c r="AH33">
        <v>78.349999999999994</v>
      </c>
      <c r="AI33">
        <v>119.68</v>
      </c>
      <c r="AJ33">
        <v>35.96</v>
      </c>
      <c r="AK33">
        <v>311.02999999999997</v>
      </c>
      <c r="AL33">
        <v>96.38</v>
      </c>
      <c r="AM33">
        <v>128.80000000000001</v>
      </c>
      <c r="AN33">
        <v>67.06</v>
      </c>
      <c r="AO33">
        <v>32.17</v>
      </c>
      <c r="AP33">
        <v>498.52</v>
      </c>
      <c r="AQ33">
        <v>99.2</v>
      </c>
    </row>
    <row r="34" spans="2:43" x14ac:dyDescent="0.2">
      <c r="B34" s="3">
        <v>46028</v>
      </c>
      <c r="C34">
        <v>617.24</v>
      </c>
      <c r="D34">
        <v>218.38</v>
      </c>
      <c r="E34">
        <v>215.88</v>
      </c>
      <c r="F34">
        <v>135.46</v>
      </c>
      <c r="G34">
        <v>285.51</v>
      </c>
      <c r="H34">
        <v>93.92</v>
      </c>
      <c r="I34">
        <v>293.81</v>
      </c>
      <c r="J34">
        <v>111.26</v>
      </c>
      <c r="K34">
        <v>40.950000000000003</v>
      </c>
      <c r="L34">
        <v>367.6</v>
      </c>
      <c r="M34">
        <v>108.55</v>
      </c>
      <c r="N34">
        <v>69.89</v>
      </c>
      <c r="O34">
        <v>776.54</v>
      </c>
      <c r="P34">
        <v>235.62</v>
      </c>
      <c r="Q34">
        <v>107.46</v>
      </c>
      <c r="R34">
        <v>81.05</v>
      </c>
      <c r="S34">
        <v>184.73</v>
      </c>
      <c r="T34">
        <v>188.12</v>
      </c>
      <c r="U34">
        <v>168.88</v>
      </c>
      <c r="V34">
        <v>30.54</v>
      </c>
      <c r="W34" s="3">
        <v>46028</v>
      </c>
      <c r="X34">
        <v>157.5</v>
      </c>
      <c r="Y34">
        <v>73.02</v>
      </c>
      <c r="Z34">
        <v>18.260000000000002</v>
      </c>
      <c r="AA34">
        <v>56.15</v>
      </c>
      <c r="AB34">
        <v>179.71</v>
      </c>
      <c r="AC34">
        <v>383.56</v>
      </c>
      <c r="AD34">
        <v>204.79</v>
      </c>
      <c r="AE34">
        <v>186.3</v>
      </c>
      <c r="AF34">
        <v>105.19</v>
      </c>
      <c r="AG34">
        <v>41.74</v>
      </c>
      <c r="AH34">
        <v>79.63</v>
      </c>
      <c r="AI34">
        <v>120.53</v>
      </c>
      <c r="AJ34">
        <v>35.74</v>
      </c>
      <c r="AK34">
        <v>321.86</v>
      </c>
      <c r="AL34">
        <v>96.39</v>
      </c>
      <c r="AM34">
        <v>130.04</v>
      </c>
      <c r="AN34">
        <v>74.87</v>
      </c>
      <c r="AO34">
        <v>35.659999999999997</v>
      </c>
      <c r="AP34">
        <v>499.05</v>
      </c>
      <c r="AQ34">
        <v>97.11</v>
      </c>
    </row>
    <row r="35" spans="2:43" x14ac:dyDescent="0.2">
      <c r="B35" s="3">
        <v>46029</v>
      </c>
      <c r="C35">
        <v>632.91999999999996</v>
      </c>
      <c r="D35">
        <v>218.2</v>
      </c>
      <c r="E35">
        <v>211.72</v>
      </c>
      <c r="F35">
        <v>133.88</v>
      </c>
      <c r="G35">
        <v>281.89999999999998</v>
      </c>
      <c r="H35">
        <v>95.16</v>
      </c>
      <c r="I35">
        <v>281.39</v>
      </c>
      <c r="J35">
        <v>105.05</v>
      </c>
      <c r="K35">
        <v>39.64</v>
      </c>
      <c r="L35">
        <v>356.45</v>
      </c>
      <c r="M35">
        <v>105.27</v>
      </c>
      <c r="N35">
        <v>70.099999999999994</v>
      </c>
      <c r="O35">
        <v>812.27</v>
      </c>
      <c r="P35">
        <v>236.5</v>
      </c>
      <c r="Q35">
        <v>103.04</v>
      </c>
      <c r="R35">
        <v>78.37</v>
      </c>
      <c r="S35">
        <v>176.38</v>
      </c>
      <c r="T35">
        <v>181.42</v>
      </c>
      <c r="U35">
        <v>165.72</v>
      </c>
      <c r="V35">
        <v>30.01</v>
      </c>
      <c r="W35" s="3">
        <v>46029</v>
      </c>
      <c r="X35">
        <v>156.9</v>
      </c>
      <c r="Y35">
        <v>72.12</v>
      </c>
      <c r="Z35">
        <v>17.79</v>
      </c>
      <c r="AA35">
        <v>55.5</v>
      </c>
      <c r="AB35">
        <v>181.68</v>
      </c>
      <c r="AC35">
        <v>378.22</v>
      </c>
      <c r="AD35">
        <v>207.49</v>
      </c>
      <c r="AE35">
        <v>183.95</v>
      </c>
      <c r="AF35">
        <v>105.45</v>
      </c>
      <c r="AG35">
        <v>40.99</v>
      </c>
      <c r="AH35">
        <v>77.58</v>
      </c>
      <c r="AI35">
        <v>116.37</v>
      </c>
      <c r="AJ35">
        <v>34.119999999999997</v>
      </c>
      <c r="AK35">
        <v>319.26</v>
      </c>
      <c r="AL35">
        <v>94.29</v>
      </c>
      <c r="AM35">
        <v>128.26</v>
      </c>
      <c r="AN35">
        <v>73.94</v>
      </c>
      <c r="AO35">
        <v>35.89</v>
      </c>
      <c r="AP35">
        <v>496.12</v>
      </c>
      <c r="AQ35">
        <v>93.94</v>
      </c>
    </row>
    <row r="36" spans="2:43" x14ac:dyDescent="0.2">
      <c r="B36" s="3">
        <v>46030</v>
      </c>
      <c r="C36">
        <v>616.53</v>
      </c>
      <c r="D36">
        <v>219.78</v>
      </c>
      <c r="E36">
        <v>212.17</v>
      </c>
      <c r="F36">
        <v>136.35</v>
      </c>
      <c r="G36">
        <v>285.36</v>
      </c>
      <c r="H36">
        <v>96.38</v>
      </c>
      <c r="I36">
        <v>302.95</v>
      </c>
      <c r="J36">
        <v>111.29</v>
      </c>
      <c r="K36">
        <v>42.3</v>
      </c>
      <c r="L36">
        <v>378.47</v>
      </c>
      <c r="M36">
        <v>110.27</v>
      </c>
      <c r="N36">
        <v>68.430000000000007</v>
      </c>
      <c r="O36">
        <v>801.01</v>
      </c>
      <c r="P36">
        <v>238.02</v>
      </c>
      <c r="Q36">
        <v>107.36</v>
      </c>
      <c r="R36">
        <v>79.489999999999995</v>
      </c>
      <c r="S36">
        <v>183.5</v>
      </c>
      <c r="T36">
        <v>181.36</v>
      </c>
      <c r="U36">
        <v>171.07</v>
      </c>
      <c r="V36">
        <v>29.9</v>
      </c>
      <c r="W36" s="3">
        <v>46030</v>
      </c>
      <c r="X36">
        <v>158.15</v>
      </c>
      <c r="Y36">
        <v>74.27</v>
      </c>
      <c r="Z36">
        <v>18.21</v>
      </c>
      <c r="AA36">
        <v>54.22</v>
      </c>
      <c r="AB36">
        <v>176.86</v>
      </c>
      <c r="AC36">
        <v>382.98</v>
      </c>
      <c r="AD36">
        <v>205.75</v>
      </c>
      <c r="AE36">
        <v>184.98</v>
      </c>
      <c r="AF36">
        <v>105.49</v>
      </c>
      <c r="AG36">
        <v>43.23</v>
      </c>
      <c r="AH36">
        <v>78.790000000000006</v>
      </c>
      <c r="AI36">
        <v>118.27</v>
      </c>
      <c r="AJ36">
        <v>35.15</v>
      </c>
      <c r="AK36">
        <v>324.91000000000003</v>
      </c>
      <c r="AL36">
        <v>95.6</v>
      </c>
      <c r="AM36">
        <v>129.63</v>
      </c>
      <c r="AN36">
        <v>73.53</v>
      </c>
      <c r="AO36">
        <v>33.86</v>
      </c>
      <c r="AP36">
        <v>499.77</v>
      </c>
      <c r="AQ36">
        <v>98.72</v>
      </c>
    </row>
    <row r="37" spans="2:43" x14ac:dyDescent="0.2">
      <c r="B37" s="3">
        <v>46031</v>
      </c>
      <c r="C37">
        <v>647.72</v>
      </c>
      <c r="D37">
        <v>211.93</v>
      </c>
      <c r="E37">
        <v>203.9</v>
      </c>
      <c r="F37">
        <v>139.19999999999999</v>
      </c>
      <c r="G37">
        <v>280.52</v>
      </c>
      <c r="H37">
        <v>95.18</v>
      </c>
      <c r="I37">
        <v>311.87</v>
      </c>
      <c r="J37">
        <v>124.66</v>
      </c>
      <c r="K37">
        <v>42.98</v>
      </c>
      <c r="L37">
        <v>386.99</v>
      </c>
      <c r="M37">
        <v>113.73</v>
      </c>
      <c r="N37">
        <v>67.400000000000006</v>
      </c>
      <c r="O37">
        <v>796.55</v>
      </c>
      <c r="P37">
        <v>238</v>
      </c>
      <c r="Q37">
        <v>103.76</v>
      </c>
      <c r="R37">
        <v>79.89</v>
      </c>
      <c r="S37">
        <v>181.5</v>
      </c>
      <c r="T37">
        <v>181.2</v>
      </c>
      <c r="U37">
        <v>173.13</v>
      </c>
      <c r="V37">
        <v>30.16</v>
      </c>
      <c r="W37" s="3">
        <v>46031</v>
      </c>
      <c r="X37">
        <v>158.88999999999999</v>
      </c>
      <c r="Y37">
        <v>74.28</v>
      </c>
      <c r="Z37">
        <v>18.440000000000001</v>
      </c>
      <c r="AA37">
        <v>56.53</v>
      </c>
      <c r="AB37">
        <v>177.49</v>
      </c>
      <c r="AC37">
        <v>375.61</v>
      </c>
      <c r="AD37">
        <v>204.39</v>
      </c>
      <c r="AE37">
        <v>184.69</v>
      </c>
      <c r="AF37">
        <v>104.58</v>
      </c>
      <c r="AG37">
        <v>42.86</v>
      </c>
      <c r="AH37">
        <v>79.08</v>
      </c>
      <c r="AI37">
        <v>117.83</v>
      </c>
      <c r="AJ37">
        <v>34.450000000000003</v>
      </c>
      <c r="AK37">
        <v>328.18</v>
      </c>
      <c r="AL37">
        <v>95.95</v>
      </c>
      <c r="AM37">
        <v>129.88999999999999</v>
      </c>
      <c r="AN37">
        <v>75.22</v>
      </c>
      <c r="AO37">
        <v>34.299999999999997</v>
      </c>
      <c r="AP37">
        <v>499.1</v>
      </c>
      <c r="AQ37">
        <v>97.51</v>
      </c>
    </row>
    <row r="38" spans="2:43" x14ac:dyDescent="0.2">
      <c r="B38" s="3">
        <v>46034</v>
      </c>
      <c r="C38">
        <v>658.65</v>
      </c>
      <c r="D38">
        <v>211.82</v>
      </c>
      <c r="E38">
        <v>209.04</v>
      </c>
      <c r="F38">
        <v>140.37</v>
      </c>
      <c r="G38">
        <v>282.3</v>
      </c>
      <c r="H38">
        <v>93.24</v>
      </c>
      <c r="I38">
        <v>310.08</v>
      </c>
      <c r="J38">
        <v>124.08</v>
      </c>
      <c r="K38">
        <v>42.94</v>
      </c>
      <c r="L38">
        <v>398.25</v>
      </c>
      <c r="M38">
        <v>113.02</v>
      </c>
      <c r="N38">
        <v>70.98</v>
      </c>
      <c r="O38">
        <v>768</v>
      </c>
      <c r="P38">
        <v>238.23</v>
      </c>
      <c r="Q38">
        <v>101.81</v>
      </c>
      <c r="R38">
        <v>81.12</v>
      </c>
      <c r="S38">
        <v>181.82</v>
      </c>
      <c r="T38">
        <v>185</v>
      </c>
      <c r="U38">
        <v>173.57</v>
      </c>
      <c r="V38">
        <v>30.12</v>
      </c>
      <c r="W38" s="3">
        <v>46034</v>
      </c>
      <c r="X38">
        <v>161.12</v>
      </c>
      <c r="Y38">
        <v>74.33</v>
      </c>
      <c r="Z38">
        <v>18.34</v>
      </c>
      <c r="AA38">
        <v>58.71</v>
      </c>
      <c r="AB38">
        <v>179.41</v>
      </c>
      <c r="AC38">
        <v>359.59</v>
      </c>
      <c r="AD38">
        <v>209.72</v>
      </c>
      <c r="AE38">
        <v>184.83</v>
      </c>
      <c r="AF38">
        <v>104.52</v>
      </c>
      <c r="AG38">
        <v>42.72</v>
      </c>
      <c r="AH38">
        <v>78.16</v>
      </c>
      <c r="AI38">
        <v>116.84</v>
      </c>
      <c r="AJ38">
        <v>34.82</v>
      </c>
      <c r="AK38">
        <v>323.35000000000002</v>
      </c>
      <c r="AL38">
        <v>94.96</v>
      </c>
      <c r="AM38">
        <v>130.31</v>
      </c>
      <c r="AN38">
        <v>73.39</v>
      </c>
      <c r="AO38">
        <v>33.840000000000003</v>
      </c>
      <c r="AP38">
        <v>498.67</v>
      </c>
      <c r="AQ38">
        <v>95.5</v>
      </c>
    </row>
    <row r="39" spans="2:43" x14ac:dyDescent="0.2">
      <c r="B39" s="3">
        <v>46035</v>
      </c>
      <c r="C39">
        <v>668.63</v>
      </c>
      <c r="D39">
        <v>211.99</v>
      </c>
      <c r="E39">
        <v>211.9</v>
      </c>
      <c r="F39">
        <v>140.5</v>
      </c>
      <c r="G39">
        <v>281.41000000000003</v>
      </c>
      <c r="H39">
        <v>90.77</v>
      </c>
      <c r="I39">
        <v>321.83</v>
      </c>
      <c r="J39">
        <v>124.86</v>
      </c>
      <c r="K39">
        <v>42.68</v>
      </c>
      <c r="L39">
        <v>411.66</v>
      </c>
      <c r="M39">
        <v>115.37</v>
      </c>
      <c r="N39">
        <v>70.25</v>
      </c>
      <c r="O39">
        <v>758.91</v>
      </c>
      <c r="P39">
        <v>235.01</v>
      </c>
      <c r="Q39">
        <v>101.71</v>
      </c>
      <c r="R39">
        <v>81.64</v>
      </c>
      <c r="S39">
        <v>180.93</v>
      </c>
      <c r="T39">
        <v>188.04</v>
      </c>
      <c r="U39">
        <v>171.65</v>
      </c>
      <c r="V39">
        <v>28.6</v>
      </c>
      <c r="W39" s="3">
        <v>46035</v>
      </c>
      <c r="X39">
        <v>160.69</v>
      </c>
      <c r="Y39">
        <v>76.06</v>
      </c>
      <c r="Z39">
        <v>18.510000000000002</v>
      </c>
      <c r="AA39">
        <v>59.34</v>
      </c>
      <c r="AB39">
        <v>178.96</v>
      </c>
      <c r="AC39">
        <v>358</v>
      </c>
      <c r="AD39">
        <v>213.65</v>
      </c>
      <c r="AE39">
        <v>184.38</v>
      </c>
      <c r="AF39">
        <v>102.77</v>
      </c>
      <c r="AG39">
        <v>43.31</v>
      </c>
      <c r="AH39">
        <v>77.510000000000005</v>
      </c>
      <c r="AI39">
        <v>116.4</v>
      </c>
      <c r="AJ39">
        <v>34.65</v>
      </c>
      <c r="AK39">
        <v>322.95999999999998</v>
      </c>
      <c r="AL39">
        <v>93.56</v>
      </c>
      <c r="AM39">
        <v>132.19999999999999</v>
      </c>
      <c r="AN39">
        <v>74.069999999999993</v>
      </c>
      <c r="AO39">
        <v>39.6</v>
      </c>
      <c r="AP39">
        <v>495.24</v>
      </c>
      <c r="AQ39">
        <v>96.46</v>
      </c>
    </row>
    <row r="40" spans="2:43" x14ac:dyDescent="0.2">
      <c r="B40" s="3">
        <v>46036</v>
      </c>
      <c r="C40">
        <v>617.76</v>
      </c>
      <c r="D40">
        <v>221.4</v>
      </c>
      <c r="E40">
        <v>203.14</v>
      </c>
      <c r="F40">
        <v>144.72</v>
      </c>
      <c r="G40">
        <v>283.85000000000002</v>
      </c>
      <c r="H40">
        <v>91.29</v>
      </c>
      <c r="I40">
        <v>326.93</v>
      </c>
      <c r="J40">
        <v>126.38</v>
      </c>
      <c r="K40">
        <v>42.74</v>
      </c>
      <c r="L40">
        <v>415.39</v>
      </c>
      <c r="M40">
        <v>116.91</v>
      </c>
      <c r="N40">
        <v>69.7</v>
      </c>
      <c r="O40">
        <v>754.14</v>
      </c>
      <c r="P40">
        <v>238</v>
      </c>
      <c r="Q40">
        <v>101.4</v>
      </c>
      <c r="R40">
        <v>81.98</v>
      </c>
      <c r="S40">
        <v>188.88</v>
      </c>
      <c r="T40">
        <v>192.06</v>
      </c>
      <c r="U40">
        <v>173.52</v>
      </c>
      <c r="V40">
        <v>28.27</v>
      </c>
      <c r="W40" s="3">
        <v>46036</v>
      </c>
      <c r="X40">
        <v>162.22</v>
      </c>
      <c r="Y40">
        <v>77.11</v>
      </c>
      <c r="Z40">
        <v>18.22</v>
      </c>
      <c r="AA40">
        <v>60.35</v>
      </c>
      <c r="AB40">
        <v>178.4</v>
      </c>
      <c r="AC40">
        <v>358.26</v>
      </c>
      <c r="AD40">
        <v>218.55</v>
      </c>
      <c r="AE40">
        <v>185.72</v>
      </c>
      <c r="AF40">
        <v>103.6</v>
      </c>
      <c r="AG40">
        <v>44.32</v>
      </c>
      <c r="AH40">
        <v>80.180000000000007</v>
      </c>
      <c r="AI40">
        <v>116.88</v>
      </c>
      <c r="AJ40">
        <v>34.409999999999997</v>
      </c>
      <c r="AK40">
        <v>319.68</v>
      </c>
      <c r="AL40">
        <v>89.25</v>
      </c>
      <c r="AM40">
        <v>133.94999999999999</v>
      </c>
      <c r="AN40">
        <v>74.680000000000007</v>
      </c>
      <c r="AO40">
        <v>40.58</v>
      </c>
      <c r="AP40">
        <v>493.15</v>
      </c>
      <c r="AQ40">
        <v>100.34</v>
      </c>
    </row>
    <row r="41" spans="2:43" x14ac:dyDescent="0.2">
      <c r="B41" s="3">
        <v>46037</v>
      </c>
      <c r="C41">
        <v>606.99</v>
      </c>
      <c r="D41">
        <v>215.24</v>
      </c>
      <c r="E41">
        <v>205.01</v>
      </c>
      <c r="F41">
        <v>147.13</v>
      </c>
      <c r="G41">
        <v>283.07</v>
      </c>
      <c r="H41">
        <v>90.94</v>
      </c>
      <c r="I41">
        <v>330.94</v>
      </c>
      <c r="J41">
        <v>128.96</v>
      </c>
      <c r="K41">
        <v>43.33</v>
      </c>
      <c r="L41">
        <v>418.86</v>
      </c>
      <c r="M41">
        <v>115.65</v>
      </c>
      <c r="N41">
        <v>69.239999999999995</v>
      </c>
      <c r="O41">
        <v>741.92</v>
      </c>
      <c r="P41">
        <v>237.45</v>
      </c>
      <c r="Q41">
        <v>103.07</v>
      </c>
      <c r="R41">
        <v>82.19</v>
      </c>
      <c r="S41">
        <v>193.74</v>
      </c>
      <c r="T41">
        <v>191.99</v>
      </c>
      <c r="U41">
        <v>178.21</v>
      </c>
      <c r="V41">
        <v>29.42</v>
      </c>
      <c r="W41" s="3">
        <v>46037</v>
      </c>
      <c r="X41">
        <v>163.76</v>
      </c>
      <c r="Y41">
        <v>79.180000000000007</v>
      </c>
      <c r="Z41">
        <v>18.47</v>
      </c>
      <c r="AA41">
        <v>59.96</v>
      </c>
      <c r="AB41">
        <v>177.07</v>
      </c>
      <c r="AC41">
        <v>357.37</v>
      </c>
      <c r="AD41">
        <v>219.57</v>
      </c>
      <c r="AE41">
        <v>182.31</v>
      </c>
      <c r="AF41">
        <v>103.16</v>
      </c>
      <c r="AG41">
        <v>43.17</v>
      </c>
      <c r="AH41">
        <v>80.84</v>
      </c>
      <c r="AI41">
        <v>117.37</v>
      </c>
      <c r="AJ41">
        <v>35.409999999999997</v>
      </c>
      <c r="AK41">
        <v>325.79000000000002</v>
      </c>
      <c r="AL41">
        <v>88.96</v>
      </c>
      <c r="AM41">
        <v>134.61000000000001</v>
      </c>
      <c r="AN41">
        <v>74.45</v>
      </c>
      <c r="AO41">
        <v>39.36</v>
      </c>
      <c r="AP41">
        <v>492.62</v>
      </c>
      <c r="AQ41">
        <v>98.93</v>
      </c>
    </row>
    <row r="42" spans="2:43" x14ac:dyDescent="0.2">
      <c r="B42" s="3">
        <v>46038</v>
      </c>
      <c r="C42">
        <v>568.76</v>
      </c>
      <c r="D42">
        <v>212.61</v>
      </c>
      <c r="E42">
        <v>201.87</v>
      </c>
      <c r="F42">
        <v>148.87</v>
      </c>
      <c r="G42">
        <v>283.20999999999998</v>
      </c>
      <c r="H42">
        <v>90.65</v>
      </c>
      <c r="I42">
        <v>337.48</v>
      </c>
      <c r="J42">
        <v>126.79</v>
      </c>
      <c r="K42">
        <v>42.71</v>
      </c>
      <c r="L42">
        <v>425.9</v>
      </c>
      <c r="M42">
        <v>115.05</v>
      </c>
      <c r="N42">
        <v>69.540000000000006</v>
      </c>
      <c r="O42">
        <v>733.04</v>
      </c>
      <c r="P42">
        <v>234</v>
      </c>
      <c r="Q42">
        <v>100.69</v>
      </c>
      <c r="R42">
        <v>83.63</v>
      </c>
      <c r="S42">
        <v>191.4</v>
      </c>
      <c r="T42">
        <v>194.11</v>
      </c>
      <c r="U42">
        <v>175.65</v>
      </c>
      <c r="V42">
        <v>32.64</v>
      </c>
      <c r="W42" s="3">
        <v>46038</v>
      </c>
      <c r="X42">
        <v>162.41</v>
      </c>
      <c r="Y42">
        <v>78.8</v>
      </c>
      <c r="Z42">
        <v>18.59</v>
      </c>
      <c r="AA42">
        <v>58.71</v>
      </c>
      <c r="AB42">
        <v>170.96</v>
      </c>
      <c r="AC42">
        <v>364.79</v>
      </c>
      <c r="AD42">
        <v>218.66</v>
      </c>
      <c r="AE42">
        <v>184.92</v>
      </c>
      <c r="AF42">
        <v>102.49</v>
      </c>
      <c r="AG42">
        <v>42.7</v>
      </c>
      <c r="AH42">
        <v>79.790000000000006</v>
      </c>
      <c r="AI42">
        <v>114.33</v>
      </c>
      <c r="AJ42">
        <v>34.979999999999997</v>
      </c>
      <c r="AK42">
        <v>325.88</v>
      </c>
      <c r="AL42">
        <v>88.38</v>
      </c>
      <c r="AM42">
        <v>135.51</v>
      </c>
      <c r="AN42">
        <v>74.7</v>
      </c>
      <c r="AO42">
        <v>41.83</v>
      </c>
      <c r="AP42">
        <v>493.29</v>
      </c>
      <c r="AQ42">
        <v>98.19</v>
      </c>
    </row>
    <row r="43" spans="2:43" x14ac:dyDescent="0.2">
      <c r="B43" s="3">
        <v>46042</v>
      </c>
      <c r="C43">
        <v>565.52</v>
      </c>
      <c r="D43">
        <v>206.48</v>
      </c>
      <c r="E43">
        <v>188.76</v>
      </c>
      <c r="F43">
        <v>145.53</v>
      </c>
      <c r="G43">
        <v>286.88</v>
      </c>
      <c r="H43">
        <v>91.8</v>
      </c>
      <c r="I43">
        <v>327.87</v>
      </c>
      <c r="J43">
        <v>122.52</v>
      </c>
      <c r="K43">
        <v>40.950000000000003</v>
      </c>
      <c r="L43">
        <v>415.58</v>
      </c>
      <c r="M43">
        <v>114.46</v>
      </c>
      <c r="N43">
        <v>70.73</v>
      </c>
      <c r="O43">
        <v>733.78</v>
      </c>
      <c r="P43">
        <v>232.75</v>
      </c>
      <c r="Q43">
        <v>97.98</v>
      </c>
      <c r="R43">
        <v>83.51</v>
      </c>
      <c r="S43">
        <v>191.27</v>
      </c>
      <c r="T43">
        <v>185.88</v>
      </c>
      <c r="U43">
        <v>170</v>
      </c>
      <c r="V43">
        <v>31.41</v>
      </c>
      <c r="W43" s="3">
        <v>46042</v>
      </c>
      <c r="X43">
        <v>159.12</v>
      </c>
      <c r="Y43">
        <v>76.52</v>
      </c>
      <c r="Z43">
        <v>18.239999999999998</v>
      </c>
      <c r="AA43">
        <v>60.07</v>
      </c>
      <c r="AB43">
        <v>168.53</v>
      </c>
      <c r="AC43">
        <v>352.19</v>
      </c>
      <c r="AD43">
        <v>218.21</v>
      </c>
      <c r="AE43">
        <v>184.32</v>
      </c>
      <c r="AF43">
        <v>102.3</v>
      </c>
      <c r="AG43">
        <v>42.24</v>
      </c>
      <c r="AH43">
        <v>78.03</v>
      </c>
      <c r="AI43">
        <v>111.28</v>
      </c>
      <c r="AJ43">
        <v>33.6</v>
      </c>
      <c r="AK43">
        <v>313.83999999999997</v>
      </c>
      <c r="AL43">
        <v>86.66</v>
      </c>
      <c r="AM43">
        <v>135.61000000000001</v>
      </c>
      <c r="AN43">
        <v>73.17</v>
      </c>
      <c r="AO43">
        <v>43</v>
      </c>
      <c r="AP43">
        <v>485.39</v>
      </c>
      <c r="AQ43">
        <v>95.52</v>
      </c>
    </row>
    <row r="44" spans="2:43" x14ac:dyDescent="0.2">
      <c r="B44" s="3">
        <v>46043</v>
      </c>
      <c r="C44">
        <v>532.55999999999995</v>
      </c>
      <c r="D44">
        <v>212.95</v>
      </c>
      <c r="E44">
        <v>189.84</v>
      </c>
      <c r="F44">
        <v>145.41999999999999</v>
      </c>
      <c r="G44">
        <v>279.89999999999998</v>
      </c>
      <c r="H44">
        <v>92.28</v>
      </c>
      <c r="I44">
        <v>346.23</v>
      </c>
      <c r="J44">
        <v>126.82</v>
      </c>
      <c r="K44">
        <v>41.93</v>
      </c>
      <c r="L44">
        <v>422.68</v>
      </c>
      <c r="M44">
        <v>117.87</v>
      </c>
      <c r="N44">
        <v>72.11</v>
      </c>
      <c r="O44">
        <v>749.33</v>
      </c>
      <c r="P44">
        <v>238.23</v>
      </c>
      <c r="Q44">
        <v>101.94</v>
      </c>
      <c r="R44">
        <v>83.85</v>
      </c>
      <c r="S44">
        <v>194.6</v>
      </c>
      <c r="T44">
        <v>186.13</v>
      </c>
      <c r="U44">
        <v>178.4</v>
      </c>
      <c r="V44">
        <v>32.24</v>
      </c>
      <c r="W44" s="3">
        <v>46043</v>
      </c>
      <c r="X44">
        <v>162.51</v>
      </c>
      <c r="Y44">
        <v>76.930000000000007</v>
      </c>
      <c r="Z44">
        <v>18.68</v>
      </c>
      <c r="AA44">
        <v>60.58</v>
      </c>
      <c r="AB44">
        <v>165.33</v>
      </c>
      <c r="AC44">
        <v>359.61</v>
      </c>
      <c r="AD44">
        <v>218.01</v>
      </c>
      <c r="AE44">
        <v>185.17</v>
      </c>
      <c r="AF44">
        <v>102.38</v>
      </c>
      <c r="AG44">
        <v>43.51</v>
      </c>
      <c r="AH44">
        <v>78.58</v>
      </c>
      <c r="AI44">
        <v>114.13</v>
      </c>
      <c r="AJ44">
        <v>33.9</v>
      </c>
      <c r="AK44">
        <v>320.56</v>
      </c>
      <c r="AL44">
        <v>86.12</v>
      </c>
      <c r="AM44">
        <v>137.07</v>
      </c>
      <c r="AN44">
        <v>76.2</v>
      </c>
      <c r="AO44">
        <v>49.81</v>
      </c>
      <c r="AP44">
        <v>483.83</v>
      </c>
      <c r="AQ44">
        <v>97.15</v>
      </c>
    </row>
    <row r="45" spans="2:43" x14ac:dyDescent="0.2">
      <c r="B45" s="3">
        <v>46044</v>
      </c>
      <c r="C45">
        <v>521.94000000000005</v>
      </c>
      <c r="D45">
        <v>219.05</v>
      </c>
      <c r="E45">
        <v>194.66</v>
      </c>
      <c r="F45">
        <v>143.76</v>
      </c>
      <c r="G45">
        <v>285.35000000000002</v>
      </c>
      <c r="H45">
        <v>92.51</v>
      </c>
      <c r="I45">
        <v>345.78</v>
      </c>
      <c r="J45">
        <v>125.25</v>
      </c>
      <c r="K45">
        <v>41.78</v>
      </c>
      <c r="L45">
        <v>424.14</v>
      </c>
      <c r="M45">
        <v>119.49</v>
      </c>
      <c r="N45">
        <v>73.92</v>
      </c>
      <c r="O45">
        <v>755.51</v>
      </c>
      <c r="P45">
        <v>237.42</v>
      </c>
      <c r="Q45">
        <v>101.62</v>
      </c>
      <c r="R45">
        <v>85.07</v>
      </c>
      <c r="S45">
        <v>198.75</v>
      </c>
      <c r="T45">
        <v>185.29</v>
      </c>
      <c r="U45">
        <v>178.25</v>
      </c>
      <c r="V45">
        <v>32.450000000000003</v>
      </c>
      <c r="W45" s="3">
        <v>46044</v>
      </c>
      <c r="X45">
        <v>160.80000000000001</v>
      </c>
      <c r="Y45">
        <v>76.84</v>
      </c>
      <c r="Z45">
        <v>18.809999999999999</v>
      </c>
      <c r="AA45">
        <v>58.85</v>
      </c>
      <c r="AB45">
        <v>165.9</v>
      </c>
      <c r="AC45">
        <v>368.02</v>
      </c>
      <c r="AD45">
        <v>218.49</v>
      </c>
      <c r="AE45">
        <v>185.1</v>
      </c>
      <c r="AF45">
        <v>102.4</v>
      </c>
      <c r="AG45">
        <v>43.15</v>
      </c>
      <c r="AH45">
        <v>79.239999999999995</v>
      </c>
      <c r="AI45">
        <v>115.06</v>
      </c>
      <c r="AJ45">
        <v>34.42</v>
      </c>
      <c r="AK45">
        <v>321.67</v>
      </c>
      <c r="AL45">
        <v>88.04</v>
      </c>
      <c r="AM45">
        <v>135.19</v>
      </c>
      <c r="AN45">
        <v>75.47</v>
      </c>
      <c r="AO45">
        <v>51.87</v>
      </c>
      <c r="AP45">
        <v>484.49</v>
      </c>
      <c r="AQ45">
        <v>96.88</v>
      </c>
    </row>
    <row r="46" spans="2:43" x14ac:dyDescent="0.2">
      <c r="B46" s="3">
        <v>46045</v>
      </c>
      <c r="C46">
        <v>524.41</v>
      </c>
      <c r="D46">
        <v>218.21</v>
      </c>
      <c r="E46">
        <v>191.07</v>
      </c>
      <c r="F46">
        <v>141.52000000000001</v>
      </c>
      <c r="G46">
        <v>275.85000000000002</v>
      </c>
      <c r="H46">
        <v>92.96</v>
      </c>
      <c r="I46">
        <v>346.94</v>
      </c>
      <c r="J46">
        <v>122.36</v>
      </c>
      <c r="K46">
        <v>43.8</v>
      </c>
      <c r="L46">
        <v>418.58</v>
      </c>
      <c r="M46">
        <v>117.69</v>
      </c>
      <c r="N46">
        <v>72.86</v>
      </c>
      <c r="O46">
        <v>753.55</v>
      </c>
      <c r="P46">
        <v>233.39</v>
      </c>
      <c r="Q46">
        <v>99.98</v>
      </c>
      <c r="R46">
        <v>84.81</v>
      </c>
      <c r="S46">
        <v>201.89</v>
      </c>
      <c r="T46">
        <v>187.16</v>
      </c>
      <c r="U46">
        <v>174.3</v>
      </c>
      <c r="V46">
        <v>31.7</v>
      </c>
      <c r="W46" s="3">
        <v>46045</v>
      </c>
      <c r="X46">
        <v>159.21</v>
      </c>
      <c r="Y46">
        <v>76.209999999999994</v>
      </c>
      <c r="Z46">
        <v>18.7</v>
      </c>
      <c r="AA46">
        <v>60.41</v>
      </c>
      <c r="AB46">
        <v>169.6</v>
      </c>
      <c r="AC46">
        <v>361.69</v>
      </c>
      <c r="AD46">
        <v>220.14</v>
      </c>
      <c r="AE46">
        <v>184.73</v>
      </c>
      <c r="AF46">
        <v>101.86</v>
      </c>
      <c r="AG46">
        <v>44.1</v>
      </c>
      <c r="AH46">
        <v>79.790000000000006</v>
      </c>
      <c r="AI46">
        <v>113.55</v>
      </c>
      <c r="AJ46">
        <v>34.03</v>
      </c>
      <c r="AK46">
        <v>319.7</v>
      </c>
      <c r="AL46">
        <v>86.96</v>
      </c>
      <c r="AM46">
        <v>134.33000000000001</v>
      </c>
      <c r="AN46">
        <v>74.709999999999994</v>
      </c>
      <c r="AO46">
        <v>48.71</v>
      </c>
      <c r="AP46">
        <v>478.97</v>
      </c>
      <c r="AQ46">
        <v>98.35</v>
      </c>
    </row>
    <row r="47" spans="2:43" x14ac:dyDescent="0.2">
      <c r="B47" s="3">
        <v>46048</v>
      </c>
      <c r="C47">
        <v>535.44000000000005</v>
      </c>
      <c r="D47">
        <v>220.44</v>
      </c>
      <c r="E47">
        <v>192.79</v>
      </c>
      <c r="F47">
        <v>140.09</v>
      </c>
      <c r="G47">
        <v>280.55</v>
      </c>
      <c r="H47">
        <v>93.7</v>
      </c>
      <c r="I47">
        <v>341.74</v>
      </c>
      <c r="J47">
        <v>119.19</v>
      </c>
      <c r="K47">
        <v>43.38</v>
      </c>
      <c r="L47">
        <v>413.56</v>
      </c>
      <c r="M47">
        <v>116.39</v>
      </c>
      <c r="N47">
        <v>73.34</v>
      </c>
      <c r="O47">
        <v>762.65</v>
      </c>
      <c r="P47">
        <v>233.87</v>
      </c>
      <c r="Q47">
        <v>101.3</v>
      </c>
      <c r="R47">
        <v>85.47</v>
      </c>
      <c r="S47">
        <v>201.05</v>
      </c>
      <c r="T47">
        <v>187.67</v>
      </c>
      <c r="U47">
        <v>173.99</v>
      </c>
      <c r="V47">
        <v>30.8</v>
      </c>
      <c r="W47" s="3">
        <v>46048</v>
      </c>
      <c r="X47">
        <v>158.84</v>
      </c>
      <c r="Y47">
        <v>75.63</v>
      </c>
      <c r="Z47">
        <v>18.73</v>
      </c>
      <c r="AA47">
        <v>61.17</v>
      </c>
      <c r="AB47">
        <v>167.47</v>
      </c>
      <c r="AC47">
        <v>363.25</v>
      </c>
      <c r="AD47">
        <v>221.49</v>
      </c>
      <c r="AE47">
        <v>185.33</v>
      </c>
      <c r="AF47">
        <v>102.68</v>
      </c>
      <c r="AG47">
        <v>43.92</v>
      </c>
      <c r="AH47">
        <v>80.36</v>
      </c>
      <c r="AI47">
        <v>114.08</v>
      </c>
      <c r="AJ47">
        <v>34.1</v>
      </c>
      <c r="AK47">
        <v>316.7</v>
      </c>
      <c r="AL47">
        <v>88.05</v>
      </c>
      <c r="AM47">
        <v>135.53</v>
      </c>
      <c r="AN47">
        <v>74.790000000000006</v>
      </c>
      <c r="AO47">
        <v>47.99</v>
      </c>
      <c r="AP47">
        <v>483.47</v>
      </c>
      <c r="AQ47">
        <v>98.45</v>
      </c>
    </row>
    <row r="48" spans="2:43" x14ac:dyDescent="0.2">
      <c r="B48" s="3">
        <v>46049</v>
      </c>
      <c r="C48">
        <v>543.55999999999995</v>
      </c>
      <c r="D48">
        <v>218.04</v>
      </c>
      <c r="E48">
        <v>186.39</v>
      </c>
      <c r="F48">
        <v>139.79</v>
      </c>
      <c r="G48">
        <v>272.5</v>
      </c>
      <c r="H48">
        <v>93.46</v>
      </c>
      <c r="I48">
        <v>345.2</v>
      </c>
      <c r="J48">
        <v>117.29</v>
      </c>
      <c r="K48">
        <v>42.96</v>
      </c>
      <c r="L48">
        <v>422.79</v>
      </c>
      <c r="M48">
        <v>116.44</v>
      </c>
      <c r="N48">
        <v>73.67</v>
      </c>
      <c r="O48">
        <v>771.25</v>
      </c>
      <c r="P48">
        <v>237.05</v>
      </c>
      <c r="Q48">
        <v>100.16</v>
      </c>
      <c r="R48">
        <v>87.15</v>
      </c>
      <c r="S48">
        <v>184.12</v>
      </c>
      <c r="T48">
        <v>186.79</v>
      </c>
      <c r="U48">
        <v>174.44</v>
      </c>
      <c r="V48">
        <v>31.2</v>
      </c>
      <c r="W48" s="3">
        <v>46049</v>
      </c>
      <c r="X48">
        <v>158.38</v>
      </c>
      <c r="Y48">
        <v>83.92</v>
      </c>
      <c r="Z48">
        <v>18.579999999999998</v>
      </c>
      <c r="AA48">
        <v>62.87</v>
      </c>
      <c r="AB48">
        <v>165.7</v>
      </c>
      <c r="AC48">
        <v>359.45</v>
      </c>
      <c r="AD48">
        <v>224.44</v>
      </c>
      <c r="AE48">
        <v>184.56</v>
      </c>
      <c r="AF48">
        <v>102.3</v>
      </c>
      <c r="AG48">
        <v>44.55</v>
      </c>
      <c r="AH48">
        <v>78.03</v>
      </c>
      <c r="AI48">
        <v>113.77</v>
      </c>
      <c r="AJ48">
        <v>33.479999999999997</v>
      </c>
      <c r="AK48">
        <v>313.95</v>
      </c>
      <c r="AL48">
        <v>88.71</v>
      </c>
      <c r="AM48">
        <v>136.68</v>
      </c>
      <c r="AN48">
        <v>75.16</v>
      </c>
      <c r="AO48">
        <v>45.45</v>
      </c>
      <c r="AP48">
        <v>474.67</v>
      </c>
      <c r="AQ48">
        <v>99.87</v>
      </c>
    </row>
    <row r="49" spans="2:43" x14ac:dyDescent="0.2">
      <c r="B49" s="3">
        <v>46050</v>
      </c>
      <c r="C49">
        <v>542.36</v>
      </c>
      <c r="D49">
        <v>218.35</v>
      </c>
      <c r="E49">
        <v>180.35</v>
      </c>
      <c r="F49">
        <v>137.16</v>
      </c>
      <c r="G49">
        <v>273.52999999999997</v>
      </c>
      <c r="H49">
        <v>94.17</v>
      </c>
      <c r="I49">
        <v>354.78</v>
      </c>
      <c r="J49">
        <v>117.09</v>
      </c>
      <c r="K49">
        <v>42.41</v>
      </c>
      <c r="L49">
        <v>425.39</v>
      </c>
      <c r="M49">
        <v>114.62</v>
      </c>
      <c r="N49">
        <v>73.36</v>
      </c>
      <c r="O49">
        <v>751.13</v>
      </c>
      <c r="P49">
        <v>237.29</v>
      </c>
      <c r="Q49">
        <v>97.62</v>
      </c>
      <c r="R49">
        <v>87.57</v>
      </c>
      <c r="S49">
        <v>187</v>
      </c>
      <c r="T49">
        <v>184.16</v>
      </c>
      <c r="U49">
        <v>172.72</v>
      </c>
      <c r="V49">
        <v>31.21</v>
      </c>
      <c r="W49" s="3">
        <v>46050</v>
      </c>
      <c r="X49">
        <v>160.07</v>
      </c>
      <c r="Y49">
        <v>83.51</v>
      </c>
      <c r="Z49">
        <v>18.440000000000001</v>
      </c>
      <c r="AA49">
        <v>63.63</v>
      </c>
      <c r="AB49">
        <v>157.35</v>
      </c>
      <c r="AC49">
        <v>356.99</v>
      </c>
      <c r="AD49">
        <v>227.72</v>
      </c>
      <c r="AE49">
        <v>183.76</v>
      </c>
      <c r="AF49">
        <v>102.81</v>
      </c>
      <c r="AG49">
        <v>44.83</v>
      </c>
      <c r="AH49">
        <v>76.540000000000006</v>
      </c>
      <c r="AI49">
        <v>112.88</v>
      </c>
      <c r="AJ49">
        <v>32.75</v>
      </c>
      <c r="AK49">
        <v>312.07</v>
      </c>
      <c r="AL49">
        <v>88.03</v>
      </c>
      <c r="AM49">
        <v>136.56</v>
      </c>
      <c r="AN49">
        <v>80.28</v>
      </c>
      <c r="AO49">
        <v>45.3</v>
      </c>
      <c r="AP49">
        <v>473.49</v>
      </c>
      <c r="AQ49">
        <v>101.39</v>
      </c>
    </row>
    <row r="50" spans="2:43" x14ac:dyDescent="0.2">
      <c r="B50" s="3">
        <v>46051</v>
      </c>
      <c r="C50">
        <v>569.24</v>
      </c>
      <c r="D50">
        <v>208.92</v>
      </c>
      <c r="E50">
        <v>172.54</v>
      </c>
      <c r="F50">
        <v>138.87</v>
      </c>
      <c r="G50">
        <v>282.10000000000002</v>
      </c>
      <c r="H50">
        <v>95.72</v>
      </c>
      <c r="I50">
        <v>353.21</v>
      </c>
      <c r="J50">
        <v>115.23</v>
      </c>
      <c r="K50">
        <v>42.12</v>
      </c>
      <c r="L50">
        <v>427.83</v>
      </c>
      <c r="M50">
        <v>115.21</v>
      </c>
      <c r="N50">
        <v>74</v>
      </c>
      <c r="O50">
        <v>749.44</v>
      </c>
      <c r="P50">
        <v>238.54</v>
      </c>
      <c r="Q50">
        <v>99.9</v>
      </c>
      <c r="R50">
        <v>88.18</v>
      </c>
      <c r="S50">
        <v>184.93</v>
      </c>
      <c r="T50">
        <v>187.77</v>
      </c>
      <c r="U50">
        <v>172.59</v>
      </c>
      <c r="V50">
        <v>30.12</v>
      </c>
      <c r="W50" s="3">
        <v>46051</v>
      </c>
      <c r="X50">
        <v>161.5</v>
      </c>
      <c r="Y50">
        <v>84.11</v>
      </c>
      <c r="Z50">
        <v>18.66</v>
      </c>
      <c r="AA50">
        <v>65.13</v>
      </c>
      <c r="AB50">
        <v>151.86000000000001</v>
      </c>
      <c r="AC50">
        <v>358.5</v>
      </c>
      <c r="AD50">
        <v>227.29</v>
      </c>
      <c r="AE50">
        <v>189.8</v>
      </c>
      <c r="AF50">
        <v>104.68</v>
      </c>
      <c r="AG50">
        <v>45.42</v>
      </c>
      <c r="AH50">
        <v>75.77</v>
      </c>
      <c r="AI50">
        <v>108.91</v>
      </c>
      <c r="AJ50">
        <v>33.340000000000003</v>
      </c>
      <c r="AK50">
        <v>319.77</v>
      </c>
      <c r="AL50">
        <v>90.64</v>
      </c>
      <c r="AM50">
        <v>134.44</v>
      </c>
      <c r="AN50">
        <v>79.36</v>
      </c>
      <c r="AO50">
        <v>46.86</v>
      </c>
      <c r="AP50">
        <v>476.79</v>
      </c>
      <c r="AQ50">
        <v>102.8</v>
      </c>
    </row>
    <row r="51" spans="2:43" x14ac:dyDescent="0.2">
      <c r="B51" s="3">
        <v>46052</v>
      </c>
      <c r="C51">
        <v>473.11</v>
      </c>
      <c r="D51">
        <v>208.6</v>
      </c>
      <c r="E51">
        <v>174.5</v>
      </c>
      <c r="F51">
        <v>137.97</v>
      </c>
      <c r="G51">
        <v>283.01</v>
      </c>
      <c r="H51">
        <v>96.04</v>
      </c>
      <c r="I51">
        <v>348.36</v>
      </c>
      <c r="J51">
        <v>114.4</v>
      </c>
      <c r="K51">
        <v>41.63</v>
      </c>
      <c r="L51">
        <v>420.51</v>
      </c>
      <c r="M51">
        <v>115.28</v>
      </c>
      <c r="N51">
        <v>73.040000000000006</v>
      </c>
      <c r="O51">
        <v>741.45</v>
      </c>
      <c r="P51">
        <v>238.13</v>
      </c>
      <c r="Q51">
        <v>119.34</v>
      </c>
      <c r="R51">
        <v>87.9</v>
      </c>
      <c r="S51">
        <v>179.59</v>
      </c>
      <c r="T51">
        <v>184.11</v>
      </c>
      <c r="U51">
        <v>173.2</v>
      </c>
      <c r="V51">
        <v>29.11</v>
      </c>
      <c r="W51" s="3">
        <v>46052</v>
      </c>
      <c r="X51">
        <v>160.54</v>
      </c>
      <c r="Y51">
        <v>83.85</v>
      </c>
      <c r="Z51">
        <v>18.53</v>
      </c>
      <c r="AA51">
        <v>60.23</v>
      </c>
      <c r="AB51">
        <v>146.59</v>
      </c>
      <c r="AC51">
        <v>352.17</v>
      </c>
      <c r="AD51">
        <v>227.25</v>
      </c>
      <c r="AE51">
        <v>191.31</v>
      </c>
      <c r="AF51">
        <v>105.57</v>
      </c>
      <c r="AG51">
        <v>45.39</v>
      </c>
      <c r="AH51">
        <v>77.040000000000006</v>
      </c>
      <c r="AI51">
        <v>107.45</v>
      </c>
      <c r="AJ51">
        <v>33.54</v>
      </c>
      <c r="AK51">
        <v>315.3</v>
      </c>
      <c r="AL51">
        <v>90.49</v>
      </c>
      <c r="AM51">
        <v>134.38</v>
      </c>
      <c r="AN51">
        <v>75.92</v>
      </c>
      <c r="AO51">
        <v>44.07</v>
      </c>
      <c r="AP51">
        <v>480.53</v>
      </c>
      <c r="AQ51">
        <v>104.23</v>
      </c>
    </row>
    <row r="52" spans="2:43" x14ac:dyDescent="0.2">
      <c r="B52" s="3"/>
      <c r="W52" s="3"/>
    </row>
    <row r="53" spans="2:43" x14ac:dyDescent="0.2">
      <c r="B53" s="3"/>
      <c r="W53" s="3"/>
    </row>
    <row r="54" spans="2:43" x14ac:dyDescent="0.2">
      <c r="B54" s="3"/>
      <c r="W54" s="3"/>
    </row>
    <row r="55" spans="2:43" x14ac:dyDescent="0.2">
      <c r="B55" s="3"/>
      <c r="W55" s="3"/>
    </row>
    <row r="56" spans="2:43" x14ac:dyDescent="0.2">
      <c r="B56" s="3"/>
      <c r="W56" s="3"/>
    </row>
    <row r="57" spans="2:43" x14ac:dyDescent="0.2">
      <c r="B57" s="3"/>
      <c r="W57" s="3"/>
    </row>
    <row r="58" spans="2:43" x14ac:dyDescent="0.2">
      <c r="B58" s="3"/>
      <c r="W58" s="3"/>
    </row>
    <row r="59" spans="2:43" x14ac:dyDescent="0.2">
      <c r="B59" s="3"/>
      <c r="W59" s="3"/>
    </row>
    <row r="60" spans="2:43" x14ac:dyDescent="0.2">
      <c r="B60" s="3"/>
      <c r="W60" s="3"/>
      <c r="X60" s="2"/>
      <c r="Y60" s="2"/>
      <c r="Z60" s="2"/>
      <c r="AA60" s="2"/>
      <c r="AB60" s="2"/>
      <c r="AC60" s="2"/>
      <c r="AD60" s="2"/>
      <c r="AE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2:43" x14ac:dyDescent="0.2">
      <c r="B61" s="3"/>
      <c r="W61" s="3"/>
      <c r="X61" s="2"/>
      <c r="Y61" s="2"/>
      <c r="Z61" s="2"/>
      <c r="AA61" s="2"/>
      <c r="AB61" s="2"/>
      <c r="AC61" s="2"/>
      <c r="AD61" s="2"/>
      <c r="AE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2:43" x14ac:dyDescent="0.2">
      <c r="B62" s="3"/>
      <c r="W62" s="3"/>
      <c r="X62" s="2"/>
      <c r="Y62" s="2"/>
      <c r="Z62" s="2"/>
      <c r="AA62" s="2"/>
      <c r="AB62" s="2"/>
      <c r="AC62" s="2"/>
      <c r="AD62" s="2"/>
      <c r="AE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2:43" x14ac:dyDescent="0.2">
      <c r="B63" s="3"/>
      <c r="W63" s="3"/>
      <c r="X63" s="2"/>
      <c r="Y63" s="2"/>
      <c r="Z63" s="2"/>
      <c r="AA63" s="2"/>
      <c r="AB63" s="2"/>
      <c r="AC63" s="2"/>
      <c r="AD63" s="2"/>
      <c r="AE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2:43" x14ac:dyDescent="0.2">
      <c r="B64" s="3"/>
      <c r="W64" s="3"/>
      <c r="X64" s="2"/>
      <c r="Y64" s="2"/>
      <c r="Z64" s="2"/>
      <c r="AA64" s="2"/>
      <c r="AB64" s="2"/>
      <c r="AC64" s="2"/>
      <c r="AD64" s="2"/>
      <c r="AE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2:43" x14ac:dyDescent="0.2">
      <c r="B65" s="3"/>
      <c r="W65" s="3"/>
      <c r="X65" s="2"/>
      <c r="Y65" s="2"/>
      <c r="Z65" s="2"/>
      <c r="AA65" s="2"/>
      <c r="AB65" s="2"/>
      <c r="AC65" s="2"/>
      <c r="AD65" s="2"/>
      <c r="AE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2:43" x14ac:dyDescent="0.2">
      <c r="B66" s="3"/>
      <c r="W66" s="3"/>
      <c r="X66" s="2"/>
      <c r="Y66" s="2"/>
      <c r="Z66" s="2"/>
      <c r="AA66" s="2"/>
      <c r="AB66" s="2"/>
      <c r="AC66" s="2"/>
      <c r="AD66" s="2"/>
      <c r="AE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2:43" x14ac:dyDescent="0.2">
      <c r="B67" s="3"/>
      <c r="W67" s="3"/>
      <c r="X67" s="2"/>
      <c r="Y67" s="2"/>
      <c r="Z67" s="2"/>
      <c r="AA67" s="2"/>
      <c r="AB67" s="2"/>
      <c r="AC67" s="2"/>
      <c r="AD67" s="2"/>
      <c r="AE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2:43" x14ac:dyDescent="0.2">
      <c r="B68" s="3"/>
      <c r="W68" s="3"/>
      <c r="X68" s="2"/>
      <c r="Y68" s="2"/>
      <c r="Z68" s="2"/>
      <c r="AA68" s="2"/>
      <c r="AB68" s="2"/>
      <c r="AC68" s="2"/>
      <c r="AD68" s="2"/>
      <c r="AE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2:43" x14ac:dyDescent="0.2">
      <c r="B69" s="3"/>
      <c r="W69" s="3"/>
      <c r="X69" s="2"/>
      <c r="Y69" s="2"/>
      <c r="Z69" s="2"/>
      <c r="AA69" s="2"/>
      <c r="AB69" s="2"/>
      <c r="AC69" s="2"/>
      <c r="AD69" s="2"/>
      <c r="AE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2:43" x14ac:dyDescent="0.2">
      <c r="B70" s="3"/>
      <c r="W70" s="3"/>
      <c r="X70" s="2"/>
      <c r="Y70" s="2"/>
      <c r="Z70" s="2"/>
      <c r="AA70" s="2"/>
      <c r="AB70" s="2"/>
      <c r="AC70" s="2"/>
      <c r="AD70" s="2"/>
      <c r="AE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2:43" x14ac:dyDescent="0.2">
      <c r="B71" s="3"/>
      <c r="W71" s="3"/>
      <c r="X71" s="2"/>
      <c r="Y71" s="2"/>
      <c r="Z71" s="2"/>
      <c r="AA71" s="2"/>
      <c r="AB71" s="2"/>
      <c r="AC71" s="2"/>
      <c r="AD71" s="2"/>
      <c r="AE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2:43" x14ac:dyDescent="0.2">
      <c r="B72" s="3"/>
      <c r="W72" s="3"/>
      <c r="X72" s="2"/>
      <c r="Y72" s="2"/>
      <c r="Z72" s="2"/>
      <c r="AA72" s="2"/>
      <c r="AB72" s="2"/>
      <c r="AC72" s="2"/>
      <c r="AD72" s="2"/>
      <c r="AE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2:43" x14ac:dyDescent="0.2">
      <c r="B73" s="3"/>
      <c r="W73" s="3"/>
      <c r="X73" s="2"/>
      <c r="Y73" s="2"/>
      <c r="Z73" s="2"/>
      <c r="AA73" s="2"/>
      <c r="AB73" s="2"/>
      <c r="AC73" s="2"/>
      <c r="AD73" s="2"/>
      <c r="AE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2:43" x14ac:dyDescent="0.2">
      <c r="B74" s="3"/>
      <c r="W74" s="3"/>
      <c r="X74" s="2"/>
      <c r="Y74" s="2"/>
      <c r="Z74" s="2"/>
      <c r="AA74" s="2"/>
      <c r="AB74" s="2"/>
      <c r="AC74" s="2"/>
      <c r="AD74" s="2"/>
      <c r="AE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2:43" x14ac:dyDescent="0.2">
      <c r="B75" s="3"/>
      <c r="W75" s="3"/>
      <c r="X75" s="2"/>
      <c r="Y75" s="2"/>
      <c r="Z75" s="2"/>
      <c r="AA75" s="2"/>
      <c r="AB75" s="2"/>
      <c r="AC75" s="2"/>
      <c r="AD75" s="2"/>
      <c r="AE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2:43" x14ac:dyDescent="0.2">
      <c r="B76" s="3"/>
      <c r="W76" s="3"/>
      <c r="X76" s="2"/>
      <c r="Y76" s="2"/>
      <c r="Z76" s="2"/>
      <c r="AA76" s="2"/>
      <c r="AB76" s="2"/>
      <c r="AC76" s="2"/>
      <c r="AD76" s="2"/>
      <c r="AE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2:43" x14ac:dyDescent="0.2">
      <c r="B77" s="3"/>
      <c r="W77" s="3"/>
      <c r="X77" s="2"/>
      <c r="Y77" s="2"/>
      <c r="Z77" s="2"/>
      <c r="AA77" s="2"/>
      <c r="AB77" s="2"/>
      <c r="AC77" s="2"/>
      <c r="AD77" s="2"/>
      <c r="AE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2:43" x14ac:dyDescent="0.2">
      <c r="B78" s="3"/>
      <c r="W78" s="3"/>
      <c r="X78" s="2"/>
      <c r="Y78" s="2"/>
      <c r="Z78" s="2"/>
      <c r="AA78" s="2"/>
      <c r="AB78" s="2"/>
      <c r="AC78" s="2"/>
      <c r="AD78" s="2"/>
      <c r="AE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2:43" x14ac:dyDescent="0.2">
      <c r="B79" s="3"/>
      <c r="W79" s="3"/>
      <c r="X79" s="2"/>
      <c r="Y79" s="2"/>
      <c r="Z79" s="2"/>
      <c r="AA79" s="2"/>
      <c r="AB79" s="2"/>
      <c r="AC79" s="2"/>
      <c r="AD79" s="2"/>
      <c r="AE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2:43" x14ac:dyDescent="0.2">
      <c r="B80" s="3"/>
      <c r="W80" s="3"/>
      <c r="X80" s="2"/>
      <c r="Y80" s="2"/>
      <c r="Z80" s="2"/>
      <c r="AA80" s="2"/>
      <c r="AB80" s="2"/>
      <c r="AC80" s="2"/>
      <c r="AD80" s="2"/>
      <c r="AE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2:43" x14ac:dyDescent="0.2">
      <c r="B81" s="3"/>
      <c r="W81" s="3"/>
      <c r="X81" s="2"/>
      <c r="Y81" s="2"/>
      <c r="Z81" s="2"/>
      <c r="AA81" s="2"/>
      <c r="AB81" s="2"/>
      <c r="AC81" s="2"/>
      <c r="AD81" s="2"/>
      <c r="AE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2:43" x14ac:dyDescent="0.2">
      <c r="B82" s="3"/>
      <c r="W82" s="3"/>
      <c r="X82" s="2"/>
      <c r="Y82" s="2"/>
      <c r="Z82" s="2"/>
      <c r="AA82" s="2"/>
      <c r="AB82" s="2"/>
      <c r="AC82" s="2"/>
      <c r="AD82" s="2"/>
      <c r="AE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2:43" x14ac:dyDescent="0.2">
      <c r="B83" s="3"/>
      <c r="W83" s="3"/>
      <c r="X83" s="2"/>
      <c r="Y83" s="2"/>
      <c r="Z83" s="2"/>
      <c r="AA83" s="2"/>
      <c r="AB83" s="2"/>
      <c r="AC83" s="2"/>
      <c r="AD83" s="2"/>
      <c r="AE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2:43" x14ac:dyDescent="0.2">
      <c r="B84" s="3"/>
      <c r="W84" s="3"/>
      <c r="X84" s="2"/>
      <c r="Y84" s="2"/>
      <c r="Z84" s="2"/>
      <c r="AA84" s="2"/>
      <c r="AB84" s="2"/>
      <c r="AC84" s="2"/>
      <c r="AD84" s="2"/>
      <c r="AE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2:43" x14ac:dyDescent="0.2">
      <c r="B85" s="3"/>
      <c r="W85" s="3"/>
      <c r="X85" s="2"/>
      <c r="Y85" s="2"/>
      <c r="Z85" s="2"/>
      <c r="AA85" s="2"/>
      <c r="AB85" s="2"/>
      <c r="AC85" s="2"/>
      <c r="AD85" s="2"/>
      <c r="AE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2:43" x14ac:dyDescent="0.2">
      <c r="B86" s="3"/>
      <c r="W86" s="3"/>
      <c r="X86" s="2"/>
      <c r="Y86" s="2"/>
      <c r="Z86" s="2"/>
      <c r="AA86" s="2"/>
      <c r="AB86" s="2"/>
      <c r="AC86" s="2"/>
      <c r="AD86" s="2"/>
      <c r="AE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2:43" x14ac:dyDescent="0.2">
      <c r="B87" s="3"/>
      <c r="W87" s="3"/>
      <c r="X87" s="2"/>
      <c r="Y87" s="2"/>
      <c r="Z87" s="2"/>
      <c r="AA87" s="2"/>
      <c r="AB87" s="2"/>
      <c r="AC87" s="2"/>
      <c r="AD87" s="2"/>
      <c r="AE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2:43" x14ac:dyDescent="0.2">
      <c r="B88" s="3"/>
      <c r="W88" s="3"/>
      <c r="X88" s="2"/>
      <c r="Y88" s="2"/>
      <c r="Z88" s="2"/>
      <c r="AA88" s="2"/>
      <c r="AB88" s="2"/>
      <c r="AC88" s="2"/>
      <c r="AD88" s="2"/>
      <c r="AE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2:43" x14ac:dyDescent="0.2">
      <c r="B89" s="3"/>
      <c r="W89" s="3"/>
      <c r="X89" s="2"/>
      <c r="Y89" s="2"/>
      <c r="Z89" s="2"/>
      <c r="AA89" s="2"/>
      <c r="AB89" s="2"/>
      <c r="AC89" s="2"/>
      <c r="AD89" s="2"/>
      <c r="AE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2:43" x14ac:dyDescent="0.2">
      <c r="B90" s="3"/>
      <c r="W90" s="3"/>
      <c r="X90" s="2"/>
      <c r="Y90" s="2"/>
      <c r="Z90" s="2"/>
      <c r="AA90" s="2"/>
      <c r="AB90" s="2"/>
      <c r="AC90" s="2"/>
      <c r="AD90" s="2"/>
      <c r="AE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2:43" x14ac:dyDescent="0.2">
      <c r="B91" s="3"/>
      <c r="W91" s="3"/>
      <c r="X91" s="2"/>
      <c r="Y91" s="2"/>
      <c r="Z91" s="2"/>
      <c r="AA91" s="2"/>
      <c r="AB91" s="2"/>
      <c r="AC91" s="2"/>
      <c r="AD91" s="2"/>
      <c r="AE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2:43" x14ac:dyDescent="0.2">
      <c r="B92" s="3"/>
      <c r="W92" s="3"/>
      <c r="X92" s="2"/>
      <c r="Y92" s="2"/>
      <c r="Z92" s="2"/>
      <c r="AA92" s="2"/>
      <c r="AB92" s="2"/>
      <c r="AC92" s="2"/>
      <c r="AD92" s="2"/>
      <c r="AE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2:43" x14ac:dyDescent="0.2">
      <c r="B93" s="3"/>
      <c r="W93" s="3"/>
      <c r="X93" s="2"/>
      <c r="Y93" s="2"/>
      <c r="Z93" s="2"/>
      <c r="AA93" s="2"/>
      <c r="AB93" s="2"/>
      <c r="AC93" s="2"/>
      <c r="AD93" s="2"/>
      <c r="AE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2:43" x14ac:dyDescent="0.2">
      <c r="B94" s="3"/>
      <c r="W94" s="3"/>
      <c r="X94" s="2"/>
      <c r="Y94" s="2"/>
      <c r="Z94" s="2"/>
      <c r="AA94" s="2"/>
      <c r="AB94" s="2"/>
      <c r="AC94" s="2"/>
      <c r="AD94" s="2"/>
      <c r="AE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2:43" x14ac:dyDescent="0.2">
      <c r="B95" s="3"/>
      <c r="W95" s="3"/>
      <c r="X95" s="2"/>
      <c r="Y95" s="2"/>
      <c r="Z95" s="2"/>
      <c r="AA95" s="2"/>
      <c r="AB95" s="2"/>
      <c r="AC95" s="2"/>
      <c r="AD95" s="2"/>
      <c r="AE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2:43" x14ac:dyDescent="0.2">
      <c r="B96" s="3"/>
      <c r="W96" s="3"/>
      <c r="X96" s="2"/>
      <c r="Y96" s="2"/>
      <c r="Z96" s="2"/>
      <c r="AA96" s="2"/>
      <c r="AB96" s="2"/>
      <c r="AC96" s="2"/>
      <c r="AD96" s="2"/>
      <c r="AE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2:43" x14ac:dyDescent="0.2">
      <c r="B97" s="3"/>
      <c r="W97" s="3"/>
      <c r="X97" s="2"/>
      <c r="Y97" s="2"/>
      <c r="Z97" s="2"/>
      <c r="AA97" s="2"/>
      <c r="AB97" s="2"/>
      <c r="AC97" s="2"/>
      <c r="AD97" s="2"/>
      <c r="AE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2:43" x14ac:dyDescent="0.2">
      <c r="B98" s="3"/>
      <c r="W98" s="3"/>
      <c r="X98" s="2"/>
      <c r="Y98" s="2"/>
      <c r="Z98" s="2"/>
      <c r="AA98" s="2"/>
      <c r="AB98" s="2"/>
      <c r="AC98" s="2"/>
      <c r="AD98" s="2"/>
      <c r="AE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2:43" x14ac:dyDescent="0.2">
      <c r="B99" s="3"/>
      <c r="W99" s="3"/>
      <c r="X99" s="2"/>
      <c r="Y99" s="2"/>
      <c r="Z99" s="2"/>
      <c r="AA99" s="2"/>
      <c r="AB99" s="2"/>
      <c r="AC99" s="2"/>
      <c r="AD99" s="2"/>
      <c r="AE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2:43" x14ac:dyDescent="0.2">
      <c r="B100" s="3"/>
      <c r="W100" s="3"/>
      <c r="X100" s="2"/>
      <c r="Y100" s="2"/>
      <c r="Z100" s="2"/>
      <c r="AA100" s="2"/>
      <c r="AB100" s="2"/>
      <c r="AC100" s="2"/>
      <c r="AD100" s="2"/>
      <c r="AE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2:43" x14ac:dyDescent="0.2">
      <c r="B101" s="3"/>
      <c r="W101" s="3"/>
      <c r="X101" s="2"/>
      <c r="Y101" s="2"/>
      <c r="Z101" s="2"/>
      <c r="AA101" s="2"/>
      <c r="AB101" s="2"/>
      <c r="AC101" s="2"/>
      <c r="AD101" s="2"/>
      <c r="AE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2:43" x14ac:dyDescent="0.2">
      <c r="B102" s="3"/>
      <c r="W102" s="3"/>
      <c r="X102" s="2"/>
      <c r="Y102" s="2"/>
      <c r="Z102" s="2"/>
      <c r="AA102" s="2"/>
      <c r="AB102" s="2"/>
      <c r="AC102" s="2"/>
      <c r="AD102" s="2"/>
      <c r="AE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2:43" x14ac:dyDescent="0.2">
      <c r="B103" s="3"/>
      <c r="W103" s="3"/>
      <c r="X103" s="2"/>
      <c r="Y103" s="2"/>
      <c r="Z103" s="2"/>
      <c r="AA103" s="2"/>
      <c r="AB103" s="2"/>
      <c r="AC103" s="2"/>
      <c r="AD103" s="2"/>
      <c r="AE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2:43" x14ac:dyDescent="0.2">
      <c r="B104" s="3"/>
      <c r="W104" s="3"/>
      <c r="X104" s="2"/>
      <c r="Y104" s="2"/>
      <c r="Z104" s="2"/>
      <c r="AA104" s="2"/>
      <c r="AB104" s="2"/>
      <c r="AC104" s="2"/>
      <c r="AD104" s="2"/>
      <c r="AE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2:43" x14ac:dyDescent="0.2">
      <c r="B105" s="3"/>
      <c r="W105" s="3"/>
      <c r="X105" s="2"/>
      <c r="Y105" s="2"/>
      <c r="Z105" s="2"/>
      <c r="AA105" s="2"/>
      <c r="AB105" s="2"/>
      <c r="AC105" s="2"/>
      <c r="AD105" s="2"/>
      <c r="AE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2:43" x14ac:dyDescent="0.2">
      <c r="B106" s="3"/>
      <c r="W106" s="3"/>
      <c r="X106" s="2"/>
      <c r="Y106" s="2"/>
      <c r="Z106" s="2"/>
      <c r="AA106" s="2"/>
      <c r="AB106" s="2"/>
      <c r="AC106" s="2"/>
      <c r="AD106" s="2"/>
      <c r="AE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2:43" x14ac:dyDescent="0.2">
      <c r="B107" s="3"/>
      <c r="W107" s="3"/>
      <c r="X107" s="2"/>
      <c r="Y107" s="2"/>
      <c r="Z107" s="2"/>
      <c r="AA107" s="2"/>
      <c r="AB107" s="2"/>
      <c r="AC107" s="2"/>
      <c r="AD107" s="2"/>
      <c r="AE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2:43" x14ac:dyDescent="0.2">
      <c r="B108" s="3"/>
      <c r="W108" s="3"/>
      <c r="X108" s="2"/>
      <c r="Y108" s="2"/>
      <c r="Z108" s="2"/>
      <c r="AA108" s="2"/>
      <c r="AB108" s="2"/>
      <c r="AC108" s="2"/>
      <c r="AD108" s="2"/>
      <c r="AE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2:43" x14ac:dyDescent="0.2">
      <c r="B109" s="3"/>
      <c r="W109" s="3"/>
      <c r="X109" s="2"/>
      <c r="Y109" s="2"/>
      <c r="Z109" s="2"/>
      <c r="AA109" s="2"/>
      <c r="AB109" s="2"/>
      <c r="AC109" s="2"/>
      <c r="AD109" s="2"/>
      <c r="AE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2:43" x14ac:dyDescent="0.2">
      <c r="B110" s="3"/>
      <c r="W110" s="3"/>
      <c r="X110" s="2"/>
      <c r="Y110" s="2"/>
      <c r="Z110" s="2"/>
      <c r="AA110" s="2"/>
      <c r="AB110" s="2"/>
      <c r="AC110" s="2"/>
      <c r="AD110" s="2"/>
      <c r="AE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2:43" x14ac:dyDescent="0.2">
      <c r="B111" s="3"/>
      <c r="W111" s="3"/>
      <c r="X111" s="2"/>
      <c r="Y111" s="2"/>
      <c r="Z111" s="2"/>
      <c r="AA111" s="2"/>
      <c r="AB111" s="2"/>
      <c r="AC111" s="2"/>
      <c r="AD111" s="2"/>
      <c r="AE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2:43" x14ac:dyDescent="0.2">
      <c r="B112" s="3"/>
      <c r="W112" s="3"/>
      <c r="X112" s="2"/>
      <c r="Y112" s="2"/>
      <c r="Z112" s="2"/>
      <c r="AA112" s="2"/>
      <c r="AB112" s="2"/>
      <c r="AC112" s="2"/>
      <c r="AD112" s="2"/>
      <c r="AE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2:43" x14ac:dyDescent="0.2">
      <c r="B113" s="3"/>
      <c r="W113" s="3"/>
      <c r="X113" s="2"/>
      <c r="Y113" s="2"/>
      <c r="Z113" s="2"/>
      <c r="AA113" s="2"/>
      <c r="AB113" s="2"/>
      <c r="AC113" s="2"/>
      <c r="AD113" s="2"/>
      <c r="AE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2:43" x14ac:dyDescent="0.2">
      <c r="B114" s="3"/>
      <c r="W114" s="3"/>
      <c r="X114" s="2"/>
      <c r="Y114" s="2"/>
      <c r="Z114" s="2"/>
      <c r="AA114" s="2"/>
      <c r="AB114" s="2"/>
      <c r="AC114" s="2"/>
      <c r="AD114" s="2"/>
      <c r="AE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2:43" x14ac:dyDescent="0.2">
      <c r="B115" s="3"/>
      <c r="W115" s="3"/>
      <c r="X115" s="2"/>
      <c r="Y115" s="2"/>
      <c r="Z115" s="2"/>
      <c r="AA115" s="2"/>
      <c r="AB115" s="2"/>
      <c r="AC115" s="2"/>
      <c r="AD115" s="2"/>
      <c r="AE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2:43" x14ac:dyDescent="0.2">
      <c r="B116" s="3"/>
      <c r="W116" s="3"/>
      <c r="X116" s="2"/>
      <c r="Y116" s="2"/>
      <c r="Z116" s="2"/>
      <c r="AA116" s="2"/>
      <c r="AB116" s="2"/>
      <c r="AC116" s="2"/>
      <c r="AD116" s="2"/>
      <c r="AE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2:43" x14ac:dyDescent="0.2">
      <c r="B117" s="3"/>
      <c r="W117" s="3"/>
      <c r="X117" s="2"/>
      <c r="Y117" s="2"/>
      <c r="Z117" s="2"/>
      <c r="AA117" s="2"/>
      <c r="AB117" s="2"/>
      <c r="AC117" s="2"/>
      <c r="AD117" s="2"/>
      <c r="AE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2:43" x14ac:dyDescent="0.2">
      <c r="B118" s="3"/>
      <c r="W118" s="3"/>
      <c r="X118" s="2"/>
      <c r="Y118" s="2"/>
      <c r="Z118" s="2"/>
      <c r="AA118" s="2"/>
      <c r="AB118" s="2"/>
      <c r="AC118" s="2"/>
      <c r="AD118" s="2"/>
      <c r="AE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2:43" x14ac:dyDescent="0.2">
      <c r="B119" s="3"/>
      <c r="W119" s="3"/>
      <c r="X119" s="2"/>
      <c r="Y119" s="2"/>
      <c r="Z119" s="2"/>
      <c r="AA119" s="2"/>
      <c r="AB119" s="2"/>
      <c r="AC119" s="2"/>
      <c r="AD119" s="2"/>
      <c r="AE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2:43" x14ac:dyDescent="0.2">
      <c r="B120" s="3"/>
      <c r="W120" s="3"/>
      <c r="X120" s="2"/>
      <c r="Y120" s="2"/>
      <c r="Z120" s="2"/>
      <c r="AA120" s="2"/>
      <c r="AB120" s="2"/>
      <c r="AC120" s="2"/>
      <c r="AD120" s="2"/>
      <c r="AE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2:43" x14ac:dyDescent="0.2">
      <c r="B121" s="3"/>
      <c r="W121" s="3"/>
      <c r="X121" s="2"/>
      <c r="Y121" s="2"/>
      <c r="Z121" s="2"/>
      <c r="AA121" s="2"/>
      <c r="AB121" s="2"/>
      <c r="AC121" s="2"/>
      <c r="AD121" s="2"/>
      <c r="AE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2:43" x14ac:dyDescent="0.2">
      <c r="B122" s="3"/>
      <c r="W122" s="3"/>
      <c r="X122" s="2"/>
      <c r="Y122" s="2"/>
      <c r="Z122" s="2"/>
      <c r="AA122" s="2"/>
      <c r="AB122" s="2"/>
      <c r="AC122" s="2"/>
      <c r="AD122" s="2"/>
      <c r="AE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2:43" x14ac:dyDescent="0.2">
      <c r="B123" s="3"/>
      <c r="W123" s="3"/>
      <c r="X123" s="2"/>
      <c r="Y123" s="2"/>
      <c r="Z123" s="2"/>
      <c r="AA123" s="2"/>
      <c r="AB123" s="2"/>
      <c r="AC123" s="2"/>
      <c r="AD123" s="2"/>
      <c r="AE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2:43" x14ac:dyDescent="0.2">
      <c r="B124" s="3"/>
      <c r="W124" s="3"/>
      <c r="X124" s="2"/>
      <c r="Y124" s="2"/>
      <c r="Z124" s="2"/>
      <c r="AA124" s="2"/>
      <c r="AB124" s="2"/>
      <c r="AC124" s="2"/>
      <c r="AD124" s="2"/>
      <c r="AE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2:43" x14ac:dyDescent="0.2">
      <c r="B125" s="3"/>
      <c r="W125" s="3"/>
      <c r="X125" s="2"/>
      <c r="Y125" s="2"/>
      <c r="Z125" s="2"/>
      <c r="AA125" s="2"/>
      <c r="AB125" s="2"/>
      <c r="AC125" s="2"/>
      <c r="AD125" s="2"/>
      <c r="AE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2:43" x14ac:dyDescent="0.2">
      <c r="B126" s="3"/>
      <c r="W126" s="3"/>
      <c r="X126" s="2"/>
      <c r="Y126" s="2"/>
      <c r="Z126" s="2"/>
      <c r="AA126" s="2"/>
      <c r="AB126" s="2"/>
      <c r="AC126" s="2"/>
      <c r="AD126" s="2"/>
      <c r="AE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2:43" x14ac:dyDescent="0.2">
      <c r="B127" s="3"/>
      <c r="W127" s="3"/>
      <c r="X127" s="2"/>
      <c r="Y127" s="2"/>
      <c r="Z127" s="2"/>
      <c r="AA127" s="2"/>
      <c r="AB127" s="2"/>
      <c r="AC127" s="2"/>
      <c r="AD127" s="2"/>
      <c r="AE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2:43" x14ac:dyDescent="0.2">
      <c r="B128" s="3"/>
      <c r="W128" s="3"/>
      <c r="X128" s="2"/>
      <c r="Y128" s="2"/>
      <c r="Z128" s="2"/>
      <c r="AA128" s="2"/>
      <c r="AB128" s="2"/>
      <c r="AC128" s="2"/>
      <c r="AD128" s="2"/>
      <c r="AE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2:43" x14ac:dyDescent="0.2">
      <c r="B129" s="3"/>
      <c r="W129" s="3"/>
      <c r="X129" s="2"/>
      <c r="Y129" s="2"/>
      <c r="Z129" s="2"/>
      <c r="AA129" s="2"/>
      <c r="AB129" s="2"/>
      <c r="AC129" s="2"/>
      <c r="AD129" s="2"/>
      <c r="AE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2:43" x14ac:dyDescent="0.2">
      <c r="B130" s="3"/>
      <c r="W130" s="3"/>
      <c r="X130" s="2"/>
      <c r="Y130" s="2"/>
      <c r="Z130" s="2"/>
      <c r="AA130" s="2"/>
      <c r="AB130" s="2"/>
      <c r="AC130" s="2"/>
      <c r="AD130" s="2"/>
      <c r="AE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2:43" x14ac:dyDescent="0.2">
      <c r="B131" s="3"/>
      <c r="W131" s="3"/>
      <c r="X131" s="2"/>
      <c r="Y131" s="2"/>
      <c r="Z131" s="2"/>
      <c r="AA131" s="2"/>
      <c r="AB131" s="2"/>
      <c r="AC131" s="2"/>
      <c r="AD131" s="2"/>
      <c r="AE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2:43" x14ac:dyDescent="0.2">
      <c r="B132" s="3"/>
      <c r="W132" s="3"/>
      <c r="X132" s="2"/>
      <c r="Y132" s="2"/>
      <c r="Z132" s="2"/>
      <c r="AA132" s="2"/>
      <c r="AB132" s="2"/>
      <c r="AC132" s="2"/>
      <c r="AD132" s="2"/>
      <c r="AE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2:43" x14ac:dyDescent="0.2">
      <c r="B133" s="3"/>
      <c r="W133" s="3"/>
      <c r="X133" s="2"/>
      <c r="Y133" s="2"/>
      <c r="Z133" s="2"/>
      <c r="AA133" s="2"/>
      <c r="AB133" s="2"/>
      <c r="AC133" s="2"/>
      <c r="AD133" s="2"/>
      <c r="AE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2:43" x14ac:dyDescent="0.2">
      <c r="B134" s="3"/>
      <c r="W134" s="3"/>
      <c r="X134" s="2"/>
      <c r="Y134" s="2"/>
      <c r="Z134" s="2"/>
      <c r="AA134" s="2"/>
      <c r="AB134" s="2"/>
      <c r="AC134" s="2"/>
      <c r="AD134" s="2"/>
      <c r="AE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2:43" x14ac:dyDescent="0.2">
      <c r="B135" s="3"/>
      <c r="W135" s="3"/>
      <c r="X135" s="2"/>
      <c r="Y135" s="2"/>
      <c r="Z135" s="2"/>
      <c r="AA135" s="2"/>
      <c r="AB135" s="2"/>
      <c r="AC135" s="2"/>
      <c r="AD135" s="2"/>
      <c r="AE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2:43" x14ac:dyDescent="0.2">
      <c r="B136" s="3"/>
      <c r="W136" s="3"/>
      <c r="X136" s="2"/>
      <c r="Y136" s="2"/>
      <c r="Z136" s="2"/>
      <c r="AA136" s="2"/>
      <c r="AB136" s="2"/>
      <c r="AC136" s="2"/>
      <c r="AD136" s="2"/>
      <c r="AE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2:43" x14ac:dyDescent="0.2">
      <c r="B137" s="3"/>
      <c r="W137" s="3"/>
      <c r="X137" s="2"/>
      <c r="Y137" s="2"/>
      <c r="Z137" s="2"/>
      <c r="AA137" s="2"/>
      <c r="AB137" s="2"/>
      <c r="AC137" s="2"/>
      <c r="AD137" s="2"/>
      <c r="AE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2:43" x14ac:dyDescent="0.2">
      <c r="B138" s="3"/>
      <c r="W138" s="3"/>
      <c r="X138" s="2"/>
      <c r="Y138" s="2"/>
      <c r="Z138" s="2"/>
      <c r="AA138" s="2"/>
      <c r="AB138" s="2"/>
      <c r="AC138" s="2"/>
      <c r="AD138" s="2"/>
      <c r="AE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2:43" x14ac:dyDescent="0.2">
      <c r="B139" s="3"/>
      <c r="W139" s="3"/>
      <c r="X139" s="2"/>
      <c r="Y139" s="2"/>
      <c r="Z139" s="2"/>
      <c r="AA139" s="2"/>
      <c r="AB139" s="2"/>
      <c r="AC139" s="2"/>
      <c r="AD139" s="2"/>
      <c r="AE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2:43" x14ac:dyDescent="0.2">
      <c r="B140" s="3"/>
      <c r="W140" s="3"/>
      <c r="X140" s="2"/>
      <c r="Y140" s="2"/>
      <c r="Z140" s="2"/>
      <c r="AA140" s="2"/>
      <c r="AB140" s="2"/>
      <c r="AC140" s="2"/>
      <c r="AD140" s="2"/>
      <c r="AE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2:43" x14ac:dyDescent="0.2">
      <c r="B141" s="3"/>
      <c r="W141" s="3"/>
      <c r="X141" s="2"/>
      <c r="Y141" s="2"/>
      <c r="Z141" s="2"/>
      <c r="AA141" s="2"/>
      <c r="AB141" s="2"/>
      <c r="AC141" s="2"/>
      <c r="AD141" s="2"/>
      <c r="AE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2:43" x14ac:dyDescent="0.2">
      <c r="B142" s="3"/>
      <c r="W142" s="3"/>
      <c r="X142" s="2"/>
      <c r="Y142" s="2"/>
      <c r="Z142" s="2"/>
      <c r="AA142" s="2"/>
      <c r="AB142" s="2"/>
      <c r="AC142" s="2"/>
      <c r="AD142" s="2"/>
      <c r="AE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2:43" x14ac:dyDescent="0.2">
      <c r="B143" s="3"/>
      <c r="W143" s="3"/>
      <c r="X143" s="2"/>
      <c r="Y143" s="2"/>
      <c r="Z143" s="2"/>
      <c r="AA143" s="2"/>
      <c r="AB143" s="2"/>
      <c r="AC143" s="2"/>
      <c r="AD143" s="2"/>
      <c r="AE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2:43" x14ac:dyDescent="0.2">
      <c r="B144" s="3"/>
      <c r="W144" s="3"/>
      <c r="X144" s="2"/>
      <c r="Y144" s="2"/>
      <c r="Z144" s="2"/>
      <c r="AA144" s="2"/>
      <c r="AB144" s="2"/>
      <c r="AC144" s="2"/>
      <c r="AD144" s="2"/>
      <c r="AE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2:43" x14ac:dyDescent="0.2">
      <c r="B145" s="3"/>
      <c r="W145" s="3"/>
      <c r="X145" s="2"/>
      <c r="Y145" s="2"/>
      <c r="Z145" s="2"/>
      <c r="AA145" s="2"/>
      <c r="AB145" s="2"/>
      <c r="AC145" s="2"/>
      <c r="AD145" s="2"/>
      <c r="AE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2:43" x14ac:dyDescent="0.2">
      <c r="B146" s="3"/>
      <c r="W146" s="3"/>
      <c r="X146" s="2"/>
      <c r="Y146" s="2"/>
      <c r="Z146" s="2"/>
      <c r="AA146" s="2"/>
      <c r="AB146" s="2"/>
      <c r="AC146" s="2"/>
      <c r="AD146" s="2"/>
      <c r="AE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2:43" x14ac:dyDescent="0.2">
      <c r="B147" s="3"/>
      <c r="W147" s="3"/>
      <c r="X147" s="2"/>
      <c r="Y147" s="2"/>
      <c r="Z147" s="2"/>
      <c r="AA147" s="2"/>
      <c r="AB147" s="2"/>
      <c r="AC147" s="2"/>
      <c r="AD147" s="2"/>
      <c r="AE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2:43" x14ac:dyDescent="0.2">
      <c r="B148" s="3"/>
      <c r="W148" s="3"/>
      <c r="X148" s="2"/>
      <c r="Y148" s="2"/>
      <c r="Z148" s="2"/>
      <c r="AA148" s="2"/>
      <c r="AB148" s="2"/>
      <c r="AC148" s="2"/>
      <c r="AD148" s="2"/>
      <c r="AE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2:43" x14ac:dyDescent="0.2">
      <c r="B149" s="3"/>
      <c r="W149" s="3"/>
      <c r="X149" s="2"/>
      <c r="Y149" s="2"/>
      <c r="Z149" s="2"/>
      <c r="AA149" s="2"/>
      <c r="AB149" s="2"/>
      <c r="AC149" s="2"/>
      <c r="AD149" s="2"/>
      <c r="AE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2:43" x14ac:dyDescent="0.2">
      <c r="B150" s="3"/>
      <c r="W150" s="3"/>
      <c r="X150" s="2"/>
      <c r="Y150" s="2"/>
      <c r="Z150" s="2"/>
      <c r="AA150" s="2"/>
      <c r="AB150" s="2"/>
      <c r="AC150" s="2"/>
      <c r="AD150" s="2"/>
      <c r="AE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2:43" x14ac:dyDescent="0.2">
      <c r="B151" s="3"/>
      <c r="W151" s="3"/>
      <c r="AF151" s="2"/>
    </row>
    <row r="152" spans="2:43" x14ac:dyDescent="0.2">
      <c r="B152" s="3"/>
      <c r="W152" s="3"/>
      <c r="AF152" s="2"/>
    </row>
    <row r="153" spans="2:43" x14ac:dyDescent="0.2">
      <c r="B153" s="3"/>
      <c r="W153" s="3"/>
      <c r="AF153" s="2"/>
    </row>
    <row r="154" spans="2:43" x14ac:dyDescent="0.2">
      <c r="B154" s="3"/>
      <c r="W154" s="3"/>
      <c r="AF154" s="2"/>
    </row>
    <row r="155" spans="2:43" x14ac:dyDescent="0.2">
      <c r="B155" s="3"/>
      <c r="W155" s="3"/>
      <c r="AF155" s="2"/>
    </row>
    <row r="156" spans="2:43" x14ac:dyDescent="0.2">
      <c r="B156" s="3"/>
      <c r="W156" s="3"/>
      <c r="AF156" s="2"/>
    </row>
    <row r="157" spans="2:43" x14ac:dyDescent="0.2">
      <c r="B157" s="3"/>
      <c r="W157" s="3"/>
      <c r="AF157" s="2"/>
    </row>
    <row r="158" spans="2:43" x14ac:dyDescent="0.2">
      <c r="B158" s="3"/>
      <c r="W158" s="3"/>
      <c r="AF158" s="2"/>
    </row>
    <row r="159" spans="2:43" x14ac:dyDescent="0.2">
      <c r="B159" s="3"/>
      <c r="W159" s="3"/>
      <c r="AF159" s="2"/>
    </row>
    <row r="160" spans="2:43" x14ac:dyDescent="0.2">
      <c r="B160" s="3"/>
      <c r="W160" s="3"/>
      <c r="AF160" s="2"/>
    </row>
    <row r="161" spans="2:32" x14ac:dyDescent="0.2">
      <c r="B161" s="3"/>
      <c r="W161" s="3"/>
      <c r="AF161" s="2"/>
    </row>
    <row r="162" spans="2:32" x14ac:dyDescent="0.2">
      <c r="B162" s="3"/>
      <c r="W162" s="3"/>
      <c r="AF162" s="2"/>
    </row>
    <row r="163" spans="2:32" x14ac:dyDescent="0.2">
      <c r="B163" s="3"/>
      <c r="W163" s="3"/>
      <c r="AF163" s="2"/>
    </row>
    <row r="164" spans="2:32" x14ac:dyDescent="0.2">
      <c r="B164" s="3"/>
      <c r="W164" s="3"/>
      <c r="AF164" s="2"/>
    </row>
    <row r="165" spans="2:32" x14ac:dyDescent="0.2">
      <c r="B165" s="3"/>
      <c r="W165" s="3"/>
      <c r="AF165" s="2"/>
    </row>
    <row r="166" spans="2:32" x14ac:dyDescent="0.2">
      <c r="B166" s="3"/>
      <c r="W166" s="3"/>
      <c r="AF166" s="2"/>
    </row>
    <row r="167" spans="2:32" x14ac:dyDescent="0.2">
      <c r="B167" s="3"/>
      <c r="W167" s="3"/>
      <c r="AF167" s="2"/>
    </row>
    <row r="168" spans="2:32" x14ac:dyDescent="0.2">
      <c r="B168" s="3"/>
      <c r="W168" s="3"/>
      <c r="AF168" s="2"/>
    </row>
    <row r="169" spans="2:32" x14ac:dyDescent="0.2">
      <c r="B169" s="3"/>
      <c r="W169" s="3"/>
      <c r="AF169" s="2"/>
    </row>
    <row r="170" spans="2:32" x14ac:dyDescent="0.2">
      <c r="B170" s="3"/>
      <c r="W170" s="3"/>
      <c r="AF170" s="2"/>
    </row>
    <row r="171" spans="2:32" x14ac:dyDescent="0.2">
      <c r="B171" s="3"/>
      <c r="W171" s="3"/>
      <c r="AF171" s="2"/>
    </row>
    <row r="172" spans="2:32" x14ac:dyDescent="0.2">
      <c r="B172" s="3"/>
      <c r="W172" s="3"/>
      <c r="AF172" s="2"/>
    </row>
    <row r="173" spans="2:32" x14ac:dyDescent="0.2">
      <c r="B173" s="3"/>
      <c r="W173" s="3"/>
      <c r="AF173" s="2"/>
    </row>
    <row r="174" spans="2:32" x14ac:dyDescent="0.2">
      <c r="B174" s="3"/>
      <c r="W174" s="3"/>
      <c r="AF174" s="2"/>
    </row>
    <row r="175" spans="2:32" x14ac:dyDescent="0.2">
      <c r="B175" s="3"/>
      <c r="W175" s="3"/>
      <c r="AF175" s="2"/>
    </row>
    <row r="176" spans="2:32" x14ac:dyDescent="0.2">
      <c r="B176" s="3"/>
      <c r="W176" s="3"/>
      <c r="AF176" s="2"/>
    </row>
    <row r="177" spans="2:32" x14ac:dyDescent="0.2">
      <c r="B177" s="3"/>
      <c r="W177" s="3"/>
      <c r="AF177" s="2"/>
    </row>
    <row r="178" spans="2:32" x14ac:dyDescent="0.2">
      <c r="B178" s="3"/>
      <c r="W178" s="3"/>
      <c r="AF178" s="2"/>
    </row>
    <row r="179" spans="2:32" x14ac:dyDescent="0.2">
      <c r="B179" s="3"/>
      <c r="W179" s="3"/>
      <c r="AF179" s="2"/>
    </row>
    <row r="180" spans="2:32" x14ac:dyDescent="0.2">
      <c r="B180" s="3"/>
      <c r="W180" s="3"/>
      <c r="AF180" s="2"/>
    </row>
    <row r="181" spans="2:32" x14ac:dyDescent="0.2">
      <c r="B181" s="3"/>
      <c r="W181" s="3"/>
      <c r="AF181" s="2"/>
    </row>
    <row r="182" spans="2:32" x14ac:dyDescent="0.2">
      <c r="B182" s="3"/>
      <c r="W182" s="3"/>
      <c r="AF182" s="2"/>
    </row>
    <row r="183" spans="2:32" x14ac:dyDescent="0.2">
      <c r="B183" s="3"/>
      <c r="W183" s="3"/>
      <c r="AF183" s="2"/>
    </row>
    <row r="184" spans="2:32" x14ac:dyDescent="0.2">
      <c r="B184" s="3"/>
      <c r="W184" s="3"/>
      <c r="AF184" s="2"/>
    </row>
    <row r="185" spans="2:32" x14ac:dyDescent="0.2">
      <c r="B185" s="3"/>
      <c r="W185" s="3"/>
      <c r="AF185" s="2"/>
    </row>
    <row r="186" spans="2:32" x14ac:dyDescent="0.2">
      <c r="B186" s="3"/>
      <c r="W186" s="3"/>
      <c r="AF186" s="2"/>
    </row>
    <row r="187" spans="2:32" x14ac:dyDescent="0.2">
      <c r="B187" s="3"/>
      <c r="W187" s="3"/>
      <c r="AF187" s="2"/>
    </row>
    <row r="188" spans="2:32" x14ac:dyDescent="0.2">
      <c r="B188" s="3"/>
      <c r="W188" s="3"/>
      <c r="AF188" s="2"/>
    </row>
    <row r="189" spans="2:32" x14ac:dyDescent="0.2">
      <c r="B189" s="3"/>
      <c r="W189" s="3"/>
      <c r="AF189" s="2"/>
    </row>
    <row r="190" spans="2:32" x14ac:dyDescent="0.2">
      <c r="B190" s="3"/>
      <c r="W190" s="3"/>
      <c r="AF190" s="2"/>
    </row>
    <row r="191" spans="2:32" x14ac:dyDescent="0.2">
      <c r="B191" s="3"/>
      <c r="W191" s="3"/>
      <c r="AF191" s="2"/>
    </row>
    <row r="192" spans="2:32" x14ac:dyDescent="0.2">
      <c r="B192" s="3"/>
      <c r="W192" s="3"/>
      <c r="AF192" s="2"/>
    </row>
    <row r="193" spans="2:32" x14ac:dyDescent="0.2">
      <c r="B193" s="3"/>
      <c r="W193" s="3"/>
      <c r="AF193" s="2"/>
    </row>
    <row r="194" spans="2:32" x14ac:dyDescent="0.2">
      <c r="B194" s="3"/>
      <c r="W194" s="3"/>
      <c r="AF194" s="2"/>
    </row>
    <row r="195" spans="2:32" x14ac:dyDescent="0.2">
      <c r="B195" s="3"/>
      <c r="W195" s="3"/>
      <c r="AF195" s="2"/>
    </row>
    <row r="196" spans="2:32" x14ac:dyDescent="0.2">
      <c r="B196" s="3"/>
      <c r="W196" s="3"/>
      <c r="AF196" s="2"/>
    </row>
    <row r="197" spans="2:32" x14ac:dyDescent="0.2">
      <c r="B197" s="3"/>
      <c r="W197" s="3"/>
      <c r="AF197" s="2"/>
    </row>
    <row r="198" spans="2:32" x14ac:dyDescent="0.2">
      <c r="B198" s="3"/>
      <c r="W198" s="3"/>
      <c r="AF198" s="2"/>
    </row>
    <row r="199" spans="2:32" x14ac:dyDescent="0.2">
      <c r="B199" s="3"/>
      <c r="W199" s="3"/>
      <c r="AF199" s="2"/>
    </row>
    <row r="200" spans="2:32" x14ac:dyDescent="0.2">
      <c r="B200" s="3"/>
      <c r="W200" s="3"/>
      <c r="AF200" s="2"/>
    </row>
    <row r="201" spans="2:32" x14ac:dyDescent="0.2">
      <c r="B201" s="3"/>
      <c r="W201" s="3"/>
      <c r="AF201" s="2"/>
    </row>
    <row r="202" spans="2:32" x14ac:dyDescent="0.2">
      <c r="B202" s="3"/>
      <c r="W202" s="3"/>
      <c r="AF202" s="2"/>
    </row>
    <row r="203" spans="2:32" x14ac:dyDescent="0.2">
      <c r="B203" s="3"/>
      <c r="W203" s="3"/>
      <c r="AF203" s="2"/>
    </row>
    <row r="204" spans="2:32" x14ac:dyDescent="0.2">
      <c r="B204" s="3"/>
      <c r="W204" s="3"/>
      <c r="AF204" s="2"/>
    </row>
    <row r="205" spans="2:32" x14ac:dyDescent="0.2">
      <c r="B205" s="3"/>
      <c r="W205" s="3"/>
      <c r="AF205" s="2"/>
    </row>
    <row r="206" spans="2:32" x14ac:dyDescent="0.2">
      <c r="B206" s="3"/>
      <c r="W206" s="3"/>
      <c r="AF206" s="2"/>
    </row>
    <row r="207" spans="2:32" x14ac:dyDescent="0.2">
      <c r="B207" s="3"/>
      <c r="W207" s="3"/>
      <c r="AF207" s="2"/>
    </row>
    <row r="208" spans="2:32" x14ac:dyDescent="0.2">
      <c r="B208" s="3"/>
      <c r="W208" s="3"/>
      <c r="AF208" s="2"/>
    </row>
    <row r="209" spans="2:32" x14ac:dyDescent="0.2">
      <c r="B209" s="3"/>
      <c r="W209" s="3"/>
      <c r="AF209" s="2"/>
    </row>
    <row r="210" spans="2:32" x14ac:dyDescent="0.2">
      <c r="W210" s="3"/>
      <c r="AF210" s="2"/>
    </row>
    <row r="211" spans="2:32" x14ac:dyDescent="0.2">
      <c r="W211" s="3"/>
      <c r="AF211" s="2"/>
    </row>
    <row r="212" spans="2:32" x14ac:dyDescent="0.2">
      <c r="W212" s="3"/>
      <c r="AF212" s="2"/>
    </row>
    <row r="213" spans="2:32" x14ac:dyDescent="0.2">
      <c r="W213" s="3"/>
      <c r="AF213" s="2"/>
    </row>
    <row r="214" spans="2:32" x14ac:dyDescent="0.2">
      <c r="W214" s="3"/>
      <c r="AF214" s="2"/>
    </row>
    <row r="215" spans="2:32" x14ac:dyDescent="0.2">
      <c r="W215" s="3"/>
      <c r="AF215" s="2"/>
    </row>
    <row r="216" spans="2:32" x14ac:dyDescent="0.2">
      <c r="W216" s="3"/>
      <c r="AF216" s="2"/>
    </row>
    <row r="217" spans="2:32" x14ac:dyDescent="0.2">
      <c r="W217" s="3"/>
      <c r="AF217" s="2"/>
    </row>
    <row r="218" spans="2:32" x14ac:dyDescent="0.2">
      <c r="W218" s="3"/>
      <c r="AF218" s="2"/>
    </row>
    <row r="219" spans="2:32" x14ac:dyDescent="0.2">
      <c r="W219" s="3"/>
      <c r="AF219" s="2"/>
    </row>
    <row r="220" spans="2:32" x14ac:dyDescent="0.2">
      <c r="W220" s="3"/>
      <c r="AF220" s="2"/>
    </row>
    <row r="221" spans="2:32" x14ac:dyDescent="0.2">
      <c r="W221" s="3"/>
      <c r="AF221" s="2"/>
    </row>
    <row r="222" spans="2:32" x14ac:dyDescent="0.2">
      <c r="W222" s="3"/>
      <c r="AF222" s="2"/>
    </row>
    <row r="223" spans="2:32" x14ac:dyDescent="0.2">
      <c r="W223" s="3"/>
      <c r="AF223" s="2"/>
    </row>
    <row r="224" spans="2:32" x14ac:dyDescent="0.2">
      <c r="W224" s="3"/>
      <c r="AF224" s="2"/>
    </row>
    <row r="225" spans="23:32" x14ac:dyDescent="0.2">
      <c r="W225" s="3"/>
      <c r="AF225" s="2"/>
    </row>
    <row r="226" spans="23:32" x14ac:dyDescent="0.2">
      <c r="W226" s="3"/>
      <c r="AF226" s="2"/>
    </row>
    <row r="227" spans="23:32" x14ac:dyDescent="0.2">
      <c r="W227" s="3"/>
      <c r="AF227" s="2"/>
    </row>
    <row r="228" spans="23:32" x14ac:dyDescent="0.2">
      <c r="W228" s="3"/>
      <c r="AF228" s="2"/>
    </row>
    <row r="229" spans="23:32" x14ac:dyDescent="0.2">
      <c r="W229" s="3"/>
      <c r="AF229" s="2"/>
    </row>
    <row r="230" spans="23:32" x14ac:dyDescent="0.2">
      <c r="W230" s="3"/>
      <c r="AF230" s="2"/>
    </row>
    <row r="231" spans="23:32" x14ac:dyDescent="0.2">
      <c r="W231" s="3"/>
      <c r="AF231" s="2"/>
    </row>
    <row r="232" spans="23:32" x14ac:dyDescent="0.2">
      <c r="W232" s="3"/>
      <c r="AF232" s="2"/>
    </row>
    <row r="233" spans="23:32" x14ac:dyDescent="0.2">
      <c r="W233" s="3"/>
      <c r="AF233" s="2"/>
    </row>
    <row r="234" spans="23:32" x14ac:dyDescent="0.2">
      <c r="W234" s="3"/>
      <c r="AF234" s="2"/>
    </row>
    <row r="235" spans="23:32" x14ac:dyDescent="0.2">
      <c r="W235" s="3"/>
      <c r="AF235" s="2"/>
    </row>
    <row r="236" spans="23:32" x14ac:dyDescent="0.2">
      <c r="W236" s="3"/>
      <c r="AF236" s="2"/>
    </row>
    <row r="237" spans="23:32" x14ac:dyDescent="0.2">
      <c r="W237" s="3"/>
      <c r="AF237" s="2"/>
    </row>
    <row r="238" spans="23:32" x14ac:dyDescent="0.2">
      <c r="W238" s="3"/>
      <c r="AF238" s="2"/>
    </row>
    <row r="239" spans="23:32" x14ac:dyDescent="0.2">
      <c r="W239" s="3"/>
      <c r="AF239" s="2"/>
    </row>
    <row r="240" spans="23:32" x14ac:dyDescent="0.2">
      <c r="W240" s="3"/>
      <c r="AF240" s="2"/>
    </row>
    <row r="241" spans="1:32" x14ac:dyDescent="0.2">
      <c r="W241" s="3"/>
      <c r="AF241" s="2"/>
    </row>
    <row r="245" spans="1:32" x14ac:dyDescent="0.2">
      <c r="A245" t="e">
        <f ca="1">_xll.RDP.Data("SNPS.O","TR.PriceClose","SDate=2025-04-28 EDate=2025-11-21 Curn=EUR CH=IN RH=date",B246)</f>
        <v>#N/A</v>
      </c>
    </row>
    <row r="246" spans="1:32" x14ac:dyDescent="0.2">
      <c r="C246" s="2" t="s">
        <v>6</v>
      </c>
    </row>
    <row r="247" spans="1:32" x14ac:dyDescent="0.2">
      <c r="B247" s="3">
        <v>45775</v>
      </c>
      <c r="C247">
        <v>388.7312526</v>
      </c>
    </row>
    <row r="248" spans="1:32" x14ac:dyDescent="0.2">
      <c r="B248" s="3">
        <v>45776</v>
      </c>
      <c r="C248">
        <v>404.71732950000001</v>
      </c>
    </row>
    <row r="249" spans="1:32" x14ac:dyDescent="0.2">
      <c r="B249" s="3">
        <v>45777</v>
      </c>
      <c r="C249">
        <v>405.23697850000002</v>
      </c>
    </row>
    <row r="250" spans="1:32" x14ac:dyDescent="0.2">
      <c r="B250" s="3">
        <v>45778</v>
      </c>
      <c r="C250">
        <v>406.8367776</v>
      </c>
    </row>
    <row r="251" spans="1:32" x14ac:dyDescent="0.2">
      <c r="B251" s="3">
        <v>45779</v>
      </c>
      <c r="C251">
        <v>418.13309800000002</v>
      </c>
    </row>
    <row r="252" spans="1:32" x14ac:dyDescent="0.2">
      <c r="B252" s="3">
        <v>45782</v>
      </c>
      <c r="C252">
        <v>421.9636026</v>
      </c>
    </row>
    <row r="253" spans="1:32" x14ac:dyDescent="0.2">
      <c r="B253" s="3">
        <v>45783</v>
      </c>
      <c r="C253">
        <v>416.56299300000001</v>
      </c>
    </row>
    <row r="254" spans="1:32" x14ac:dyDescent="0.2">
      <c r="B254" s="3">
        <v>45784</v>
      </c>
      <c r="C254">
        <v>425.29231620000002</v>
      </c>
    </row>
    <row r="255" spans="1:32" x14ac:dyDescent="0.2">
      <c r="B255" s="3">
        <v>45785</v>
      </c>
      <c r="C255">
        <v>431.54899499999999</v>
      </c>
    </row>
    <row r="256" spans="1:32" x14ac:dyDescent="0.2">
      <c r="B256" s="3">
        <v>45786</v>
      </c>
      <c r="C256">
        <v>429.36087700000002</v>
      </c>
    </row>
    <row r="257" spans="2:3" x14ac:dyDescent="0.2">
      <c r="B257" s="3">
        <v>45789</v>
      </c>
      <c r="C257">
        <v>456.02195640000002</v>
      </c>
    </row>
    <row r="258" spans="2:3" x14ac:dyDescent="0.2">
      <c r="B258" s="3">
        <v>45790</v>
      </c>
      <c r="C258">
        <v>461.11178230000002</v>
      </c>
    </row>
    <row r="259" spans="2:3" x14ac:dyDescent="0.2">
      <c r="B259" s="3">
        <v>45791</v>
      </c>
      <c r="C259">
        <v>463.26946379999998</v>
      </c>
    </row>
    <row r="260" spans="2:3" x14ac:dyDescent="0.2">
      <c r="B260" s="3">
        <v>45792</v>
      </c>
      <c r="C260">
        <v>459.8885272</v>
      </c>
    </row>
    <row r="261" spans="2:3" x14ac:dyDescent="0.2">
      <c r="B261" s="3">
        <v>45793</v>
      </c>
      <c r="C261">
        <v>460.83668260000002</v>
      </c>
    </row>
    <row r="262" spans="2:3" x14ac:dyDescent="0.2">
      <c r="B262" s="3">
        <v>45796</v>
      </c>
      <c r="C262">
        <v>459.00121519999999</v>
      </c>
    </row>
    <row r="263" spans="2:3" x14ac:dyDescent="0.2">
      <c r="B263" s="3">
        <v>45797</v>
      </c>
      <c r="C263">
        <v>457.02123569999998</v>
      </c>
    </row>
    <row r="264" spans="2:3" x14ac:dyDescent="0.2">
      <c r="B264" s="3">
        <v>45798</v>
      </c>
      <c r="C264">
        <v>442.6337274</v>
      </c>
    </row>
    <row r="265" spans="2:3" x14ac:dyDescent="0.2">
      <c r="B265" s="3">
        <v>45799</v>
      </c>
      <c r="C265">
        <v>446.34508959999999</v>
      </c>
    </row>
    <row r="266" spans="2:3" x14ac:dyDescent="0.2">
      <c r="B266" s="3">
        <v>45800</v>
      </c>
      <c r="C266">
        <v>438.97303449999998</v>
      </c>
    </row>
    <row r="267" spans="2:3" x14ac:dyDescent="0.2">
      <c r="B267" s="3">
        <v>45804</v>
      </c>
      <c r="C267">
        <v>451.79285829999998</v>
      </c>
    </row>
    <row r="268" spans="2:3" x14ac:dyDescent="0.2">
      <c r="B268" s="3">
        <v>45805</v>
      </c>
      <c r="C268">
        <v>409.51875940000002</v>
      </c>
    </row>
    <row r="269" spans="2:3" x14ac:dyDescent="0.2">
      <c r="B269" s="3">
        <v>45806</v>
      </c>
      <c r="C269">
        <v>400.13185570000002</v>
      </c>
    </row>
    <row r="270" spans="2:3" x14ac:dyDescent="0.2">
      <c r="B270" s="3">
        <v>45807</v>
      </c>
      <c r="C270">
        <v>408.90093419999999</v>
      </c>
    </row>
    <row r="271" spans="2:3" x14ac:dyDescent="0.2">
      <c r="B271" s="3">
        <v>45810</v>
      </c>
      <c r="C271">
        <v>407.43840749999998</v>
      </c>
    </row>
    <row r="272" spans="2:3" x14ac:dyDescent="0.2">
      <c r="B272" s="3">
        <v>45811</v>
      </c>
      <c r="C272">
        <v>410.08033260000002</v>
      </c>
    </row>
    <row r="273" spans="2:3" x14ac:dyDescent="0.2">
      <c r="B273" s="3">
        <v>45812</v>
      </c>
      <c r="C273">
        <v>414.4623891</v>
      </c>
    </row>
    <row r="274" spans="2:3" x14ac:dyDescent="0.2">
      <c r="B274" s="3">
        <v>45813</v>
      </c>
      <c r="C274">
        <v>421.35600399999998</v>
      </c>
    </row>
    <row r="275" spans="2:3" x14ac:dyDescent="0.2">
      <c r="B275" s="3">
        <v>45814</v>
      </c>
      <c r="C275">
        <v>426.53789999999998</v>
      </c>
    </row>
    <row r="276" spans="2:3" x14ac:dyDescent="0.2">
      <c r="B276" s="3">
        <v>45817</v>
      </c>
      <c r="C276">
        <v>434.12595820000001</v>
      </c>
    </row>
    <row r="277" spans="2:3" x14ac:dyDescent="0.2">
      <c r="B277" s="3">
        <v>45818</v>
      </c>
      <c r="C277">
        <v>441.566892</v>
      </c>
    </row>
    <row r="278" spans="2:3" x14ac:dyDescent="0.2">
      <c r="B278" s="3">
        <v>45819</v>
      </c>
      <c r="C278">
        <v>435.91050150000001</v>
      </c>
    </row>
    <row r="279" spans="2:3" x14ac:dyDescent="0.2">
      <c r="B279" s="3">
        <v>45820</v>
      </c>
      <c r="C279">
        <v>427.3397167</v>
      </c>
    </row>
    <row r="280" spans="2:3" x14ac:dyDescent="0.2">
      <c r="B280" s="3">
        <v>45821</v>
      </c>
      <c r="C280">
        <v>414.52515899999997</v>
      </c>
    </row>
    <row r="281" spans="2:3" x14ac:dyDescent="0.2">
      <c r="B281" s="3">
        <v>45824</v>
      </c>
      <c r="C281">
        <v>414.68006179999998</v>
      </c>
    </row>
    <row r="282" spans="2:3" x14ac:dyDescent="0.2">
      <c r="B282" s="3">
        <v>45825</v>
      </c>
      <c r="C282">
        <v>414.14946400000002</v>
      </c>
    </row>
    <row r="283" spans="2:3" x14ac:dyDescent="0.2">
      <c r="B283" s="3">
        <v>45826</v>
      </c>
      <c r="C283">
        <v>412.59879919999997</v>
      </c>
    </row>
    <row r="284" spans="2:3" x14ac:dyDescent="0.2">
      <c r="B284" s="3">
        <v>45828</v>
      </c>
      <c r="C284">
        <v>408.37298700000002</v>
      </c>
    </row>
    <row r="285" spans="2:3" x14ac:dyDescent="0.2">
      <c r="B285" s="3">
        <v>45831</v>
      </c>
      <c r="C285">
        <v>406.86078279999998</v>
      </c>
    </row>
    <row r="286" spans="2:3" x14ac:dyDescent="0.2">
      <c r="B286" s="3">
        <v>45832</v>
      </c>
      <c r="C286">
        <v>412.6269006</v>
      </c>
    </row>
    <row r="287" spans="2:3" x14ac:dyDescent="0.2">
      <c r="B287" s="3">
        <v>45833</v>
      </c>
      <c r="C287">
        <v>417.93635169999999</v>
      </c>
    </row>
    <row r="288" spans="2:3" x14ac:dyDescent="0.2">
      <c r="B288" s="3">
        <v>45834</v>
      </c>
      <c r="C288">
        <v>423.70948900000002</v>
      </c>
    </row>
    <row r="289" spans="2:3" x14ac:dyDescent="0.2">
      <c r="B289" s="3">
        <v>45835</v>
      </c>
      <c r="C289">
        <v>428.9042316</v>
      </c>
    </row>
    <row r="290" spans="2:3" x14ac:dyDescent="0.2">
      <c r="B290" s="3">
        <v>45838</v>
      </c>
      <c r="C290">
        <v>434.98847280000001</v>
      </c>
    </row>
    <row r="291" spans="2:3" x14ac:dyDescent="0.2">
      <c r="B291" s="3">
        <v>45839</v>
      </c>
      <c r="C291">
        <v>441.99983800000001</v>
      </c>
    </row>
    <row r="292" spans="2:3" x14ac:dyDescent="0.2">
      <c r="B292" s="3">
        <v>45840</v>
      </c>
      <c r="C292">
        <v>443.388036</v>
      </c>
    </row>
    <row r="293" spans="2:3" x14ac:dyDescent="0.2">
      <c r="B293" s="3">
        <v>45841</v>
      </c>
      <c r="C293">
        <v>466.77470620000003</v>
      </c>
    </row>
    <row r="294" spans="2:3" x14ac:dyDescent="0.2">
      <c r="B294" s="3">
        <v>45845</v>
      </c>
      <c r="C294">
        <v>458.29001879999998</v>
      </c>
    </row>
    <row r="295" spans="2:3" x14ac:dyDescent="0.2">
      <c r="B295" s="3">
        <v>45846</v>
      </c>
      <c r="C295">
        <v>470.41045450000001</v>
      </c>
    </row>
    <row r="296" spans="2:3" x14ac:dyDescent="0.2">
      <c r="B296" s="3">
        <v>45847</v>
      </c>
      <c r="C296">
        <v>470.13665400000002</v>
      </c>
    </row>
    <row r="297" spans="2:3" x14ac:dyDescent="0.2">
      <c r="B297" s="3">
        <v>45848</v>
      </c>
      <c r="C297">
        <v>483.92259300000001</v>
      </c>
    </row>
    <row r="298" spans="2:3" x14ac:dyDescent="0.2">
      <c r="B298" s="3">
        <v>45849</v>
      </c>
      <c r="C298">
        <v>478.4696328</v>
      </c>
    </row>
    <row r="299" spans="2:3" x14ac:dyDescent="0.2">
      <c r="B299" s="3">
        <v>45852</v>
      </c>
      <c r="C299">
        <v>471.17251729999998</v>
      </c>
    </row>
    <row r="300" spans="2:3" x14ac:dyDescent="0.2">
      <c r="B300" s="3">
        <v>45853</v>
      </c>
      <c r="C300">
        <v>490.64387399999998</v>
      </c>
    </row>
    <row r="301" spans="2:3" x14ac:dyDescent="0.2">
      <c r="B301" s="3">
        <v>45854</v>
      </c>
      <c r="C301">
        <v>490.97496000000001</v>
      </c>
    </row>
    <row r="302" spans="2:3" x14ac:dyDescent="0.2">
      <c r="B302" s="3">
        <v>45855</v>
      </c>
      <c r="C302">
        <v>507.9857844</v>
      </c>
    </row>
    <row r="303" spans="2:3" x14ac:dyDescent="0.2">
      <c r="B303" s="3">
        <v>45856</v>
      </c>
      <c r="C303">
        <v>503.02224719999998</v>
      </c>
    </row>
    <row r="304" spans="2:3" x14ac:dyDescent="0.2">
      <c r="B304" s="3">
        <v>45859</v>
      </c>
      <c r="C304">
        <v>505.73970220000001</v>
      </c>
    </row>
    <row r="305" spans="2:3" x14ac:dyDescent="0.2">
      <c r="B305" s="3">
        <v>45860</v>
      </c>
      <c r="C305">
        <v>523.38336049999998</v>
      </c>
    </row>
    <row r="306" spans="2:3" x14ac:dyDescent="0.2">
      <c r="B306" s="3">
        <v>45861</v>
      </c>
      <c r="C306">
        <v>522.02352040000005</v>
      </c>
    </row>
    <row r="307" spans="2:3" x14ac:dyDescent="0.2">
      <c r="B307" s="3">
        <v>45862</v>
      </c>
      <c r="C307">
        <v>518.69745360000002</v>
      </c>
    </row>
    <row r="308" spans="2:3" x14ac:dyDescent="0.2">
      <c r="B308" s="3">
        <v>45863</v>
      </c>
      <c r="C308">
        <v>512.39427450000005</v>
      </c>
    </row>
    <row r="309" spans="2:3" x14ac:dyDescent="0.2">
      <c r="B309" s="3">
        <v>45866</v>
      </c>
      <c r="C309">
        <v>511.41598479999999</v>
      </c>
    </row>
    <row r="310" spans="2:3" x14ac:dyDescent="0.2">
      <c r="B310" s="3">
        <v>45867</v>
      </c>
      <c r="C310">
        <v>550.72590579999996</v>
      </c>
    </row>
    <row r="311" spans="2:3" x14ac:dyDescent="0.2">
      <c r="B311" s="3">
        <v>45868</v>
      </c>
      <c r="C311">
        <v>565.90096149999999</v>
      </c>
    </row>
    <row r="312" spans="2:3" x14ac:dyDescent="0.2">
      <c r="B312" s="3">
        <v>45869</v>
      </c>
      <c r="C312">
        <v>554.94505879999997</v>
      </c>
    </row>
    <row r="313" spans="2:3" x14ac:dyDescent="0.2">
      <c r="B313" s="3">
        <v>45870</v>
      </c>
      <c r="C313">
        <v>534.05579899999998</v>
      </c>
    </row>
    <row r="314" spans="2:3" x14ac:dyDescent="0.2">
      <c r="B314" s="3">
        <v>45873</v>
      </c>
      <c r="C314">
        <v>549.712086</v>
      </c>
    </row>
    <row r="315" spans="2:3" x14ac:dyDescent="0.2">
      <c r="B315" s="3">
        <v>45874</v>
      </c>
      <c r="C315">
        <v>543.03028500000005</v>
      </c>
    </row>
    <row r="316" spans="2:3" x14ac:dyDescent="0.2">
      <c r="B316" s="3">
        <v>45875</v>
      </c>
      <c r="C316">
        <v>536.82353479999995</v>
      </c>
    </row>
    <row r="317" spans="2:3" x14ac:dyDescent="0.2">
      <c r="B317" s="3">
        <v>45876</v>
      </c>
      <c r="C317">
        <v>531.78601275000005</v>
      </c>
    </row>
    <row r="318" spans="2:3" x14ac:dyDescent="0.2">
      <c r="B318" s="3">
        <v>45877</v>
      </c>
      <c r="C318">
        <v>532.19327559999999</v>
      </c>
    </row>
    <row r="319" spans="2:3" x14ac:dyDescent="0.2">
      <c r="B319" s="3">
        <v>45880</v>
      </c>
      <c r="C319">
        <v>530.4978036</v>
      </c>
    </row>
    <row r="320" spans="2:3" x14ac:dyDescent="0.2">
      <c r="B320" s="3">
        <v>45881</v>
      </c>
      <c r="C320">
        <v>536.11034400000005</v>
      </c>
    </row>
    <row r="321" spans="2:3" x14ac:dyDescent="0.2">
      <c r="B321" s="3">
        <v>45882</v>
      </c>
      <c r="C321">
        <v>528.51239369999996</v>
      </c>
    </row>
    <row r="322" spans="2:3" x14ac:dyDescent="0.2">
      <c r="B322" s="3">
        <v>45883</v>
      </c>
      <c r="C322">
        <v>529.24367759999996</v>
      </c>
    </row>
    <row r="323" spans="2:3" x14ac:dyDescent="0.2">
      <c r="B323" s="3">
        <v>45884</v>
      </c>
      <c r="C323">
        <v>528.2636172</v>
      </c>
    </row>
    <row r="324" spans="2:3" x14ac:dyDescent="0.2">
      <c r="B324" s="3">
        <v>45887</v>
      </c>
      <c r="C324">
        <v>536.30176789999996</v>
      </c>
    </row>
    <row r="325" spans="2:3" x14ac:dyDescent="0.2">
      <c r="B325" s="3">
        <v>45888</v>
      </c>
      <c r="C325">
        <v>526.1782614</v>
      </c>
    </row>
    <row r="326" spans="2:3" x14ac:dyDescent="0.2">
      <c r="B326" s="3">
        <v>45889</v>
      </c>
      <c r="C326">
        <v>515.94987900000001</v>
      </c>
    </row>
    <row r="327" spans="2:3" x14ac:dyDescent="0.2">
      <c r="B327" s="3">
        <v>45890</v>
      </c>
      <c r="C327">
        <v>515.44308899999999</v>
      </c>
    </row>
    <row r="328" spans="2:3" x14ac:dyDescent="0.2">
      <c r="B328" s="3">
        <v>45891</v>
      </c>
      <c r="C328">
        <v>517.73153720000005</v>
      </c>
    </row>
    <row r="329" spans="2:3" x14ac:dyDescent="0.2">
      <c r="B329" s="3">
        <v>45894</v>
      </c>
      <c r="C329">
        <v>513.85581000000002</v>
      </c>
    </row>
    <row r="330" spans="2:3" x14ac:dyDescent="0.2">
      <c r="B330" s="3">
        <v>45895</v>
      </c>
      <c r="C330">
        <v>511.94015999999999</v>
      </c>
    </row>
    <row r="331" spans="2:3" x14ac:dyDescent="0.2">
      <c r="B331" s="3">
        <v>45896</v>
      </c>
      <c r="C331">
        <v>518.3220761</v>
      </c>
    </row>
    <row r="332" spans="2:3" x14ac:dyDescent="0.2">
      <c r="B332" s="3">
        <v>45897</v>
      </c>
      <c r="C332">
        <v>524.02976339999998</v>
      </c>
    </row>
    <row r="333" spans="2:3" x14ac:dyDescent="0.2">
      <c r="B333" s="3">
        <v>45898</v>
      </c>
      <c r="C333">
        <v>516.5346624</v>
      </c>
    </row>
    <row r="334" spans="2:3" x14ac:dyDescent="0.2">
      <c r="B334" s="3">
        <v>45902</v>
      </c>
      <c r="C334">
        <v>508.68459250000001</v>
      </c>
    </row>
    <row r="335" spans="2:3" x14ac:dyDescent="0.2">
      <c r="B335" s="3">
        <v>45903</v>
      </c>
      <c r="C335">
        <v>507.77842720000001</v>
      </c>
    </row>
    <row r="336" spans="2:3" x14ac:dyDescent="0.2">
      <c r="B336" s="3">
        <v>45904</v>
      </c>
      <c r="C336">
        <v>516.74654239999995</v>
      </c>
    </row>
    <row r="337" spans="2:3" x14ac:dyDescent="0.2">
      <c r="B337" s="3">
        <v>45905</v>
      </c>
      <c r="C337">
        <v>510.48856439999997</v>
      </c>
    </row>
    <row r="338" spans="2:3" x14ac:dyDescent="0.2">
      <c r="B338" s="3">
        <v>45908</v>
      </c>
      <c r="C338">
        <v>517.83981600000004</v>
      </c>
    </row>
    <row r="339" spans="2:3" x14ac:dyDescent="0.2">
      <c r="B339" s="3">
        <v>45909</v>
      </c>
      <c r="C339">
        <v>516.28911619999997</v>
      </c>
    </row>
    <row r="340" spans="2:3" x14ac:dyDescent="0.2">
      <c r="B340" s="3">
        <v>45910</v>
      </c>
      <c r="C340">
        <v>331.6333338</v>
      </c>
    </row>
    <row r="341" spans="2:3" x14ac:dyDescent="0.2">
      <c r="B341" s="3">
        <v>45911</v>
      </c>
      <c r="C341">
        <v>373.39263</v>
      </c>
    </row>
    <row r="342" spans="2:3" x14ac:dyDescent="0.2">
      <c r="B342" s="3">
        <v>45912</v>
      </c>
      <c r="C342">
        <v>362.61103500000002</v>
      </c>
    </row>
    <row r="343" spans="2:3" x14ac:dyDescent="0.2">
      <c r="B343" s="3">
        <v>45915</v>
      </c>
      <c r="C343">
        <v>356.46252800000002</v>
      </c>
    </row>
    <row r="344" spans="2:3" x14ac:dyDescent="0.2">
      <c r="B344" s="3">
        <v>45916</v>
      </c>
      <c r="C344">
        <v>358.98195779999998</v>
      </c>
    </row>
    <row r="345" spans="2:3" x14ac:dyDescent="0.2">
      <c r="B345" s="3">
        <v>45917</v>
      </c>
      <c r="C345">
        <v>360.14364</v>
      </c>
    </row>
    <row r="346" spans="2:3" x14ac:dyDescent="0.2">
      <c r="B346" s="3">
        <v>45918</v>
      </c>
      <c r="C346">
        <v>407.35413060000002</v>
      </c>
    </row>
    <row r="347" spans="2:3" x14ac:dyDescent="0.2">
      <c r="B347" s="3">
        <v>45919</v>
      </c>
      <c r="C347">
        <v>421.91825</v>
      </c>
    </row>
    <row r="348" spans="2:3" x14ac:dyDescent="0.2">
      <c r="B348" s="3">
        <v>45922</v>
      </c>
      <c r="C348">
        <v>436.18671490000003</v>
      </c>
    </row>
    <row r="349" spans="2:3" x14ac:dyDescent="0.2">
      <c r="B349" s="3">
        <v>45923</v>
      </c>
      <c r="C349">
        <v>414.99704159999999</v>
      </c>
    </row>
    <row r="350" spans="2:3" x14ac:dyDescent="0.2">
      <c r="B350" s="3">
        <v>45924</v>
      </c>
      <c r="C350">
        <v>398.81736089999998</v>
      </c>
    </row>
    <row r="351" spans="2:3" x14ac:dyDescent="0.2">
      <c r="B351" s="3">
        <v>45925</v>
      </c>
      <c r="C351">
        <v>417.66194400000001</v>
      </c>
    </row>
    <row r="352" spans="2:3" x14ac:dyDescent="0.2">
      <c r="B352" s="3">
        <v>45926</v>
      </c>
      <c r="C352">
        <v>416.85432880000002</v>
      </c>
    </row>
    <row r="353" spans="2:3" x14ac:dyDescent="0.2">
      <c r="B353" s="3">
        <v>45929</v>
      </c>
      <c r="C353">
        <v>410.75553680000002</v>
      </c>
    </row>
    <row r="354" spans="2:3" x14ac:dyDescent="0.2">
      <c r="B354" s="3">
        <v>45930</v>
      </c>
      <c r="C354">
        <v>420.51629700000001</v>
      </c>
    </row>
    <row r="355" spans="2:3" x14ac:dyDescent="0.2">
      <c r="B355" s="3">
        <v>45931</v>
      </c>
      <c r="C355">
        <v>416.72894020000001</v>
      </c>
    </row>
    <row r="356" spans="2:3" x14ac:dyDescent="0.2">
      <c r="B356" s="3">
        <v>45932</v>
      </c>
      <c r="C356">
        <v>402.20706360000003</v>
      </c>
    </row>
    <row r="357" spans="2:3" x14ac:dyDescent="0.2">
      <c r="B357" s="3">
        <v>45933</v>
      </c>
      <c r="C357">
        <v>399.60147239999998</v>
      </c>
    </row>
    <row r="358" spans="2:3" x14ac:dyDescent="0.2">
      <c r="B358" s="3">
        <v>45936</v>
      </c>
      <c r="C358">
        <v>408.41900879999997</v>
      </c>
    </row>
    <row r="359" spans="2:3" x14ac:dyDescent="0.2">
      <c r="B359" s="3">
        <v>45937</v>
      </c>
      <c r="C359">
        <v>409.97814</v>
      </c>
    </row>
    <row r="360" spans="2:3" x14ac:dyDescent="0.2">
      <c r="B360" s="3">
        <v>45938</v>
      </c>
      <c r="C360">
        <v>420.91811039999999</v>
      </c>
    </row>
    <row r="361" spans="2:3" x14ac:dyDescent="0.2">
      <c r="B361" s="3">
        <v>45939</v>
      </c>
      <c r="C361">
        <v>418.93230030000001</v>
      </c>
    </row>
    <row r="362" spans="2:3" x14ac:dyDescent="0.2">
      <c r="B362" s="3">
        <v>45940</v>
      </c>
      <c r="C362">
        <v>377.79161160000001</v>
      </c>
    </row>
    <row r="363" spans="2:3" x14ac:dyDescent="0.2">
      <c r="B363" s="3">
        <v>45943</v>
      </c>
      <c r="C363">
        <v>387.27359999999999</v>
      </c>
    </row>
    <row r="364" spans="2:3" x14ac:dyDescent="0.2">
      <c r="B364" s="3">
        <v>45944</v>
      </c>
      <c r="C364">
        <v>382.387992</v>
      </c>
    </row>
    <row r="365" spans="2:3" x14ac:dyDescent="0.2">
      <c r="B365" s="3">
        <v>45945</v>
      </c>
      <c r="C365">
        <v>374.289894</v>
      </c>
    </row>
    <row r="366" spans="2:3" x14ac:dyDescent="0.2">
      <c r="B366" s="3">
        <v>45946</v>
      </c>
      <c r="C366">
        <v>376.65713</v>
      </c>
    </row>
    <row r="367" spans="2:3" x14ac:dyDescent="0.2">
      <c r="B367" s="3">
        <v>45947</v>
      </c>
      <c r="C367">
        <v>384.20941199999999</v>
      </c>
    </row>
    <row r="368" spans="2:3" x14ac:dyDescent="0.2">
      <c r="B368" s="3">
        <v>45950</v>
      </c>
      <c r="C368">
        <v>389.47751849999997</v>
      </c>
    </row>
    <row r="369" spans="2:3" x14ac:dyDescent="0.2">
      <c r="B369" s="3">
        <v>45951</v>
      </c>
      <c r="C369">
        <v>395.79346880000003</v>
      </c>
    </row>
    <row r="370" spans="2:3" x14ac:dyDescent="0.2">
      <c r="B370" s="3">
        <v>45952</v>
      </c>
      <c r="C370">
        <v>391.30221899999998</v>
      </c>
    </row>
    <row r="371" spans="2:3" x14ac:dyDescent="0.2">
      <c r="B371" s="3">
        <v>45953</v>
      </c>
      <c r="C371">
        <v>392.60683289999997</v>
      </c>
    </row>
    <row r="372" spans="2:3" x14ac:dyDescent="0.2">
      <c r="B372" s="3">
        <v>45954</v>
      </c>
      <c r="C372">
        <v>399.29691960000002</v>
      </c>
    </row>
    <row r="373" spans="2:3" x14ac:dyDescent="0.2">
      <c r="B373" s="3">
        <v>45957</v>
      </c>
      <c r="C373">
        <v>399.73599489999998</v>
      </c>
    </row>
    <row r="374" spans="2:3" x14ac:dyDescent="0.2">
      <c r="B374" s="3">
        <v>45958</v>
      </c>
      <c r="C374">
        <v>392.12916710000002</v>
      </c>
    </row>
    <row r="375" spans="2:3" x14ac:dyDescent="0.2">
      <c r="B375" s="3">
        <v>45959</v>
      </c>
      <c r="C375">
        <v>392.56682760000001</v>
      </c>
    </row>
    <row r="376" spans="2:3" x14ac:dyDescent="0.2">
      <c r="B376" s="3">
        <v>45960</v>
      </c>
      <c r="C376">
        <v>382.99271240000002</v>
      </c>
    </row>
    <row r="377" spans="2:3" x14ac:dyDescent="0.2">
      <c r="B377" s="3">
        <v>45961</v>
      </c>
      <c r="C377">
        <v>393.46194000000003</v>
      </c>
    </row>
    <row r="378" spans="2:3" x14ac:dyDescent="0.2">
      <c r="B378" s="3">
        <v>45964</v>
      </c>
      <c r="C378">
        <v>386.9785612</v>
      </c>
    </row>
    <row r="379" spans="2:3" x14ac:dyDescent="0.2">
      <c r="B379" s="3">
        <v>45965</v>
      </c>
      <c r="C379">
        <v>362.61170550000003</v>
      </c>
    </row>
    <row r="380" spans="2:3" x14ac:dyDescent="0.2">
      <c r="B380" s="3">
        <v>45966</v>
      </c>
      <c r="C380">
        <v>356.02797750000002</v>
      </c>
    </row>
    <row r="381" spans="2:3" x14ac:dyDescent="0.2">
      <c r="B381" s="3">
        <v>45967</v>
      </c>
      <c r="C381">
        <v>343.06912419999998</v>
      </c>
    </row>
    <row r="382" spans="2:3" x14ac:dyDescent="0.2">
      <c r="B382" s="3">
        <v>45968</v>
      </c>
      <c r="C382">
        <v>340.19105239999999</v>
      </c>
    </row>
    <row r="383" spans="2:3" x14ac:dyDescent="0.2">
      <c r="B383" s="3">
        <v>45971</v>
      </c>
      <c r="C383">
        <v>346.80631949999997</v>
      </c>
    </row>
    <row r="384" spans="2:3" x14ac:dyDescent="0.2">
      <c r="B384" s="3">
        <v>45972</v>
      </c>
      <c r="C384">
        <v>341.62433600000003</v>
      </c>
    </row>
    <row r="385" spans="2:3" x14ac:dyDescent="0.2">
      <c r="B385" s="3">
        <v>45973</v>
      </c>
      <c r="C385">
        <v>344.03743459999998</v>
      </c>
    </row>
    <row r="386" spans="2:3" x14ac:dyDescent="0.2">
      <c r="B386" s="3">
        <v>45974</v>
      </c>
      <c r="C386">
        <v>338.6891961</v>
      </c>
    </row>
    <row r="387" spans="2:3" x14ac:dyDescent="0.2">
      <c r="B387" s="3">
        <v>45975</v>
      </c>
      <c r="C387">
        <v>335.48379970000002</v>
      </c>
    </row>
    <row r="388" spans="2:3" x14ac:dyDescent="0.2">
      <c r="B388" s="3">
        <v>45978</v>
      </c>
      <c r="C388">
        <v>336.70297440000002</v>
      </c>
    </row>
    <row r="389" spans="2:3" x14ac:dyDescent="0.2">
      <c r="B389" s="3">
        <v>45979</v>
      </c>
      <c r="C389">
        <v>331.47846659999999</v>
      </c>
    </row>
    <row r="390" spans="2:3" x14ac:dyDescent="0.2">
      <c r="B390" s="3">
        <v>45980</v>
      </c>
      <c r="C390">
        <v>334.86415499999998</v>
      </c>
    </row>
    <row r="391" spans="2:3" x14ac:dyDescent="0.2">
      <c r="B391" s="3">
        <v>45981</v>
      </c>
      <c r="C391">
        <v>334.51956799999999</v>
      </c>
    </row>
    <row r="392" spans="2:3" x14ac:dyDescent="0.2">
      <c r="B392" s="3">
        <v>45982</v>
      </c>
      <c r="C392">
        <v>337.37998279999999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99DC5-5C0C-4B63-8FC3-4A8378256305}">
  <dimension ref="A1:AQ413"/>
  <sheetViews>
    <sheetView topLeftCell="X3" zoomScale="70" zoomScaleNormal="70" workbookViewId="0">
      <selection activeCell="AJ41" sqref="AJ41"/>
    </sheetView>
  </sheetViews>
  <sheetFormatPr baseColWidth="10" defaultColWidth="8.83203125" defaultRowHeight="15" x14ac:dyDescent="0.2"/>
  <cols>
    <col min="2" max="2" width="17.6640625" customWidth="1"/>
    <col min="6" max="6" width="11.6640625" customWidth="1"/>
    <col min="23" max="23" width="12" bestFit="1" customWidth="1"/>
    <col min="40" max="40" width="12.83203125" customWidth="1"/>
  </cols>
  <sheetData>
    <row r="1" spans="1:43" ht="16" x14ac:dyDescent="0.2">
      <c r="A1" s="24" t="s">
        <v>56</v>
      </c>
      <c r="B1" s="24" t="s">
        <v>57</v>
      </c>
      <c r="C1" s="24" t="s">
        <v>58</v>
      </c>
      <c r="D1" s="24" t="s">
        <v>59</v>
      </c>
      <c r="E1" s="24" t="s">
        <v>60</v>
      </c>
      <c r="F1" s="24" t="s">
        <v>61</v>
      </c>
      <c r="G1" s="24" t="s">
        <v>62</v>
      </c>
      <c r="H1" s="24" t="s">
        <v>63</v>
      </c>
      <c r="I1" s="24" t="s">
        <v>64</v>
      </c>
      <c r="J1" s="24" t="s">
        <v>65</v>
      </c>
      <c r="K1" s="24" t="s">
        <v>66</v>
      </c>
      <c r="L1" s="24" t="s">
        <v>67</v>
      </c>
      <c r="M1" s="24" t="s">
        <v>68</v>
      </c>
      <c r="N1" s="24" t="s">
        <v>69</v>
      </c>
      <c r="O1" s="24" t="s">
        <v>70</v>
      </c>
      <c r="P1" s="24" t="s">
        <v>71</v>
      </c>
      <c r="Q1" s="24" t="s">
        <v>9</v>
      </c>
      <c r="R1" s="24" t="s">
        <v>72</v>
      </c>
      <c r="S1" s="24" t="s">
        <v>73</v>
      </c>
      <c r="T1" s="25" t="s">
        <v>74</v>
      </c>
      <c r="U1" s="24" t="s">
        <v>75</v>
      </c>
      <c r="V1" s="24" t="s">
        <v>76</v>
      </c>
      <c r="W1" s="24" t="s">
        <v>77</v>
      </c>
      <c r="X1" s="24" t="s">
        <v>78</v>
      </c>
      <c r="Y1" s="24" t="s">
        <v>79</v>
      </c>
      <c r="Z1" s="24" t="s">
        <v>80</v>
      </c>
      <c r="AA1" s="24" t="s">
        <v>81</v>
      </c>
      <c r="AB1" s="24" t="s">
        <v>10</v>
      </c>
      <c r="AC1" s="24" t="s">
        <v>82</v>
      </c>
      <c r="AD1" s="24" t="s">
        <v>83</v>
      </c>
      <c r="AE1" s="24" t="s">
        <v>84</v>
      </c>
      <c r="AF1" s="24" t="s">
        <v>8</v>
      </c>
      <c r="AG1" s="26" t="s">
        <v>85</v>
      </c>
      <c r="AH1" s="24" t="s">
        <v>86</v>
      </c>
      <c r="AI1" s="24" t="s">
        <v>87</v>
      </c>
      <c r="AJ1" s="24" t="s">
        <v>88</v>
      </c>
      <c r="AK1" s="24" t="s">
        <v>89</v>
      </c>
      <c r="AL1" s="24" t="s">
        <v>90</v>
      </c>
      <c r="AM1" s="24" t="s">
        <v>91</v>
      </c>
      <c r="AN1" s="25" t="s">
        <v>7</v>
      </c>
    </row>
    <row r="3" spans="1:43" x14ac:dyDescent="0.2">
      <c r="A3" t="e">
        <f ca="1">_xll.RDP.Data($A$1:$T$1,"TR.PriceClose","SDate=2025-11-21 EDate=2026-01-31 CH=IN RH=date",B4)</f>
        <v>#N/A</v>
      </c>
      <c r="V3" t="e">
        <f ca="1">_xll.RDP.Data($U$1:$AM$1,"TR.PriceClose","SDate=2025-11-21 EDate=2026-01-31 CH=IN RH=date",W4)</f>
        <v>#N/A</v>
      </c>
    </row>
    <row r="4" spans="1:43" x14ac:dyDescent="0.2">
      <c r="C4" s="2" t="s">
        <v>56</v>
      </c>
      <c r="D4" s="2" t="s">
        <v>57</v>
      </c>
      <c r="E4" s="2" t="s">
        <v>58</v>
      </c>
      <c r="F4" s="2" t="s">
        <v>59</v>
      </c>
      <c r="G4" s="2" t="s">
        <v>60</v>
      </c>
      <c r="H4" s="2" t="s">
        <v>61</v>
      </c>
      <c r="I4" s="2" t="s">
        <v>62</v>
      </c>
      <c r="J4" s="2" t="s">
        <v>63</v>
      </c>
      <c r="K4" s="2" t="s">
        <v>64</v>
      </c>
      <c r="L4" s="2" t="s">
        <v>65</v>
      </c>
      <c r="M4" s="2" t="s">
        <v>66</v>
      </c>
      <c r="N4" s="2" t="s">
        <v>67</v>
      </c>
      <c r="O4" s="2" t="s">
        <v>68</v>
      </c>
      <c r="P4" s="2" t="s">
        <v>69</v>
      </c>
      <c r="Q4" s="2" t="s">
        <v>70</v>
      </c>
      <c r="R4" s="2" t="s">
        <v>71</v>
      </c>
      <c r="S4" s="2" t="s">
        <v>9</v>
      </c>
      <c r="T4" s="2" t="s">
        <v>72</v>
      </c>
      <c r="U4" s="2" t="s">
        <v>73</v>
      </c>
      <c r="V4" s="2" t="s">
        <v>74</v>
      </c>
      <c r="X4" s="2" t="s">
        <v>75</v>
      </c>
      <c r="Y4" s="2" t="s">
        <v>76</v>
      </c>
      <c r="Z4" s="2" t="s">
        <v>77</v>
      </c>
      <c r="AA4" s="2" t="s">
        <v>78</v>
      </c>
      <c r="AB4" s="2" t="s">
        <v>79</v>
      </c>
      <c r="AC4" s="2" t="s">
        <v>80</v>
      </c>
      <c r="AD4" s="2" t="s">
        <v>81</v>
      </c>
      <c r="AE4" s="2" t="s">
        <v>10</v>
      </c>
      <c r="AF4" s="2" t="s">
        <v>82</v>
      </c>
      <c r="AG4" s="2" t="s">
        <v>83</v>
      </c>
      <c r="AH4" s="2" t="s">
        <v>84</v>
      </c>
      <c r="AI4" s="2" t="s">
        <v>8</v>
      </c>
      <c r="AJ4" s="2" t="s">
        <v>85</v>
      </c>
      <c r="AK4" s="2" t="s">
        <v>86</v>
      </c>
      <c r="AL4" s="2" t="s">
        <v>87</v>
      </c>
      <c r="AM4" s="2" t="s">
        <v>88</v>
      </c>
      <c r="AN4" s="2" t="s">
        <v>89</v>
      </c>
      <c r="AO4" s="2" t="s">
        <v>90</v>
      </c>
      <c r="AP4" s="2" t="s">
        <v>91</v>
      </c>
      <c r="AQ4" s="2"/>
    </row>
    <row r="5" spans="1:43" x14ac:dyDescent="0.2">
      <c r="B5" s="3">
        <v>45982</v>
      </c>
      <c r="C5" s="2">
        <v>20.61</v>
      </c>
      <c r="D5" s="2">
        <v>15.04</v>
      </c>
      <c r="E5" s="2">
        <v>632</v>
      </c>
      <c r="F5" s="2">
        <v>314</v>
      </c>
      <c r="G5" s="2">
        <v>80.8</v>
      </c>
      <c r="H5" s="2">
        <v>1808.5</v>
      </c>
      <c r="I5" s="2">
        <v>9.6539999999999999</v>
      </c>
      <c r="J5" s="2">
        <v>175.1</v>
      </c>
      <c r="K5" s="2">
        <v>16.725000000000001</v>
      </c>
      <c r="L5" s="2">
        <v>207.2</v>
      </c>
      <c r="M5" s="2">
        <v>342.2</v>
      </c>
      <c r="N5" s="2">
        <v>198.9</v>
      </c>
      <c r="O5" s="2">
        <v>61.32</v>
      </c>
      <c r="P5" s="2">
        <v>72.5</v>
      </c>
      <c r="Q5" s="2">
        <v>67.52</v>
      </c>
      <c r="R5" s="2">
        <v>202.75</v>
      </c>
      <c r="S5" s="2">
        <v>89.4</v>
      </c>
      <c r="T5" s="2">
        <v>27.55</v>
      </c>
      <c r="U5" s="2">
        <v>50.86</v>
      </c>
      <c r="V5" s="2">
        <v>42.3</v>
      </c>
      <c r="W5" s="3">
        <v>45982</v>
      </c>
      <c r="X5">
        <v>68.540000000000006</v>
      </c>
      <c r="Y5">
        <v>5916.7715808659996</v>
      </c>
      <c r="Z5">
        <v>147.69999999999999</v>
      </c>
      <c r="AA5">
        <v>35.549999999999997</v>
      </c>
      <c r="AB5">
        <v>5308</v>
      </c>
      <c r="AC5">
        <v>802</v>
      </c>
      <c r="AD5">
        <v>94.3</v>
      </c>
      <c r="AE5">
        <v>198.2</v>
      </c>
      <c r="AF5">
        <v>918.2</v>
      </c>
      <c r="AG5">
        <v>4834</v>
      </c>
      <c r="AH5">
        <v>1041.4000000000001</v>
      </c>
      <c r="AI5">
        <v>377.2</v>
      </c>
      <c r="AJ5">
        <v>3.93</v>
      </c>
      <c r="AK5">
        <v>354.5</v>
      </c>
      <c r="AL5">
        <v>574.5</v>
      </c>
      <c r="AM5">
        <v>874</v>
      </c>
      <c r="AN5">
        <v>4911.4944112499998</v>
      </c>
      <c r="AO5">
        <v>1138.5</v>
      </c>
      <c r="AP5">
        <v>392.2</v>
      </c>
    </row>
    <row r="6" spans="1:43" x14ac:dyDescent="0.2">
      <c r="B6" s="3">
        <v>45985</v>
      </c>
      <c r="C6">
        <v>20.52</v>
      </c>
      <c r="D6">
        <v>15.22</v>
      </c>
      <c r="E6">
        <v>638</v>
      </c>
      <c r="F6">
        <v>320.60000000000002</v>
      </c>
      <c r="G6">
        <v>83</v>
      </c>
      <c r="H6">
        <v>1844</v>
      </c>
      <c r="I6">
        <v>9.86</v>
      </c>
      <c r="J6">
        <v>176.4</v>
      </c>
      <c r="K6">
        <v>16.100000000000001</v>
      </c>
      <c r="L6">
        <v>209</v>
      </c>
      <c r="M6">
        <v>343.8</v>
      </c>
      <c r="N6">
        <v>199.4</v>
      </c>
      <c r="O6">
        <v>63.22</v>
      </c>
      <c r="P6">
        <v>69.2</v>
      </c>
      <c r="Q6">
        <v>68.06</v>
      </c>
      <c r="R6">
        <v>209.1</v>
      </c>
      <c r="S6">
        <v>89.46</v>
      </c>
      <c r="T6">
        <v>27.78</v>
      </c>
      <c r="U6">
        <v>48.634999999999998</v>
      </c>
      <c r="V6">
        <v>41.96</v>
      </c>
      <c r="W6" s="3">
        <v>45985</v>
      </c>
      <c r="X6">
        <v>69.22</v>
      </c>
      <c r="Y6">
        <v>5856.6824991379999</v>
      </c>
      <c r="Z6">
        <v>149.69999999999999</v>
      </c>
      <c r="AA6">
        <v>36.08</v>
      </c>
      <c r="AB6">
        <v>5355</v>
      </c>
      <c r="AC6">
        <v>811</v>
      </c>
      <c r="AD6">
        <v>94.05</v>
      </c>
      <c r="AE6">
        <v>199.8</v>
      </c>
      <c r="AF6">
        <v>915.8</v>
      </c>
      <c r="AG6">
        <v>4870</v>
      </c>
      <c r="AH6">
        <v>1048</v>
      </c>
      <c r="AI6">
        <v>371.8</v>
      </c>
      <c r="AJ6">
        <v>3.94</v>
      </c>
      <c r="AK6">
        <v>357</v>
      </c>
      <c r="AL6">
        <v>580.5</v>
      </c>
      <c r="AM6">
        <v>871</v>
      </c>
      <c r="AN6">
        <v>4844.0082284999999</v>
      </c>
      <c r="AO6">
        <v>1116</v>
      </c>
      <c r="AP6">
        <v>400.6</v>
      </c>
    </row>
    <row r="7" spans="1:43" x14ac:dyDescent="0.2">
      <c r="B7" s="3">
        <v>45986</v>
      </c>
      <c r="C7">
        <v>20.97</v>
      </c>
      <c r="D7">
        <v>15.22</v>
      </c>
      <c r="E7">
        <v>638.79999999999995</v>
      </c>
      <c r="F7">
        <v>323.2</v>
      </c>
      <c r="G7">
        <v>82.78</v>
      </c>
      <c r="H7">
        <v>1800</v>
      </c>
      <c r="I7">
        <v>10.039999999999999</v>
      </c>
      <c r="J7">
        <v>168.2</v>
      </c>
      <c r="K7">
        <v>15.965</v>
      </c>
      <c r="L7">
        <v>214.2</v>
      </c>
      <c r="M7">
        <v>347.2</v>
      </c>
      <c r="N7">
        <v>200</v>
      </c>
      <c r="O7">
        <v>64.52</v>
      </c>
      <c r="P7">
        <v>68.900000000000006</v>
      </c>
      <c r="Q7">
        <v>67.8</v>
      </c>
      <c r="R7">
        <v>208.65</v>
      </c>
      <c r="S7">
        <v>90</v>
      </c>
      <c r="T7">
        <v>28.21</v>
      </c>
      <c r="U7">
        <v>50.91</v>
      </c>
      <c r="V7">
        <v>41.99</v>
      </c>
      <c r="W7" s="3">
        <v>45986</v>
      </c>
      <c r="X7">
        <v>70.22</v>
      </c>
      <c r="Y7">
        <v>5878.7151624380003</v>
      </c>
      <c r="Z7">
        <v>155.30000000000001</v>
      </c>
      <c r="AA7">
        <v>37.15</v>
      </c>
      <c r="AB7">
        <v>5400</v>
      </c>
      <c r="AC7">
        <v>834</v>
      </c>
      <c r="AD7">
        <v>95.2</v>
      </c>
      <c r="AE7">
        <v>199.8</v>
      </c>
      <c r="AF7">
        <v>937.6</v>
      </c>
      <c r="AG7">
        <v>4592</v>
      </c>
      <c r="AH7">
        <v>1050.5999999999999</v>
      </c>
      <c r="AI7">
        <v>374.5</v>
      </c>
      <c r="AJ7">
        <v>3.9729999999999999</v>
      </c>
      <c r="AK7">
        <v>357</v>
      </c>
      <c r="AL7">
        <v>582.5</v>
      </c>
      <c r="AM7">
        <v>879</v>
      </c>
      <c r="AN7">
        <v>4876.1445059999996</v>
      </c>
      <c r="AO7">
        <v>1123.5</v>
      </c>
      <c r="AP7">
        <v>410</v>
      </c>
    </row>
    <row r="8" spans="1:43" x14ac:dyDescent="0.2">
      <c r="B8" s="3">
        <v>45987</v>
      </c>
      <c r="C8">
        <v>21</v>
      </c>
      <c r="D8" s="2">
        <v>15.26</v>
      </c>
      <c r="E8" s="2">
        <v>640</v>
      </c>
      <c r="F8" s="2">
        <v>329.9</v>
      </c>
      <c r="G8" s="2">
        <v>85.22</v>
      </c>
      <c r="H8" s="2">
        <v>1796.5</v>
      </c>
      <c r="I8" s="2">
        <v>10.005000000000001</v>
      </c>
      <c r="J8" s="2">
        <v>170.1</v>
      </c>
      <c r="K8" s="2">
        <v>16.5</v>
      </c>
      <c r="L8">
        <v>216.6</v>
      </c>
      <c r="M8" s="2">
        <v>351.2</v>
      </c>
      <c r="N8" s="2">
        <v>203</v>
      </c>
      <c r="O8" s="2">
        <v>66.319999999999993</v>
      </c>
      <c r="P8">
        <v>69</v>
      </c>
      <c r="Q8" s="2">
        <v>68.38</v>
      </c>
      <c r="R8" s="2">
        <v>215.6</v>
      </c>
      <c r="S8" s="2">
        <v>90.72</v>
      </c>
      <c r="T8" s="2">
        <v>28.12</v>
      </c>
      <c r="U8" s="2">
        <v>51.35</v>
      </c>
      <c r="V8" s="2">
        <v>41.81</v>
      </c>
      <c r="W8" s="3">
        <v>45987</v>
      </c>
      <c r="X8">
        <v>69.900000000000006</v>
      </c>
      <c r="Y8" s="2">
        <v>5900.7478257390003</v>
      </c>
      <c r="Z8" s="2">
        <v>158.6</v>
      </c>
      <c r="AA8" s="2">
        <v>37.21</v>
      </c>
      <c r="AB8" s="2">
        <v>5461</v>
      </c>
      <c r="AC8" s="2">
        <v>834</v>
      </c>
      <c r="AD8" s="2">
        <v>96.35</v>
      </c>
      <c r="AE8" s="2">
        <v>200.5</v>
      </c>
      <c r="AF8" s="2">
        <v>945.6</v>
      </c>
      <c r="AG8">
        <v>4638</v>
      </c>
      <c r="AH8">
        <v>1064.4000000000001</v>
      </c>
      <c r="AI8" s="2">
        <v>370.8</v>
      </c>
      <c r="AJ8" s="2">
        <v>3.99</v>
      </c>
      <c r="AK8" s="2">
        <v>359</v>
      </c>
      <c r="AL8" s="2">
        <v>585.5</v>
      </c>
      <c r="AM8">
        <v>867</v>
      </c>
      <c r="AN8">
        <v>4842.93701925</v>
      </c>
      <c r="AO8">
        <v>1134.5</v>
      </c>
      <c r="AP8" s="2">
        <v>422.95</v>
      </c>
    </row>
    <row r="9" spans="1:43" x14ac:dyDescent="0.2">
      <c r="B9" s="3">
        <v>45988</v>
      </c>
      <c r="C9">
        <v>21.09</v>
      </c>
      <c r="D9">
        <v>15.4</v>
      </c>
      <c r="E9">
        <v>650</v>
      </c>
      <c r="F9">
        <v>330.6</v>
      </c>
      <c r="G9">
        <v>85.44</v>
      </c>
      <c r="H9">
        <v>1839.5</v>
      </c>
      <c r="I9">
        <v>10.164999999999999</v>
      </c>
      <c r="J9">
        <v>171.2</v>
      </c>
      <c r="K9">
        <v>16.72</v>
      </c>
      <c r="L9">
        <v>216.4</v>
      </c>
      <c r="M9">
        <v>350</v>
      </c>
      <c r="N9">
        <v>203</v>
      </c>
      <c r="O9">
        <v>65.5</v>
      </c>
      <c r="P9">
        <v>69.7</v>
      </c>
      <c r="Q9">
        <v>68.42</v>
      </c>
      <c r="R9">
        <v>219</v>
      </c>
      <c r="S9">
        <v>91.58</v>
      </c>
      <c r="T9">
        <v>28.18</v>
      </c>
      <c r="U9">
        <v>51.08</v>
      </c>
      <c r="V9">
        <v>41.03</v>
      </c>
      <c r="W9" s="3">
        <v>45988</v>
      </c>
      <c r="X9">
        <v>69.86</v>
      </c>
      <c r="Y9">
        <v>5882.7211012199996</v>
      </c>
      <c r="Z9">
        <v>159.5</v>
      </c>
      <c r="AA9">
        <v>37.04</v>
      </c>
      <c r="AB9">
        <v>5355</v>
      </c>
      <c r="AC9">
        <v>839.5</v>
      </c>
      <c r="AD9">
        <v>97.2</v>
      </c>
      <c r="AE9">
        <v>201</v>
      </c>
      <c r="AF9">
        <v>946.8</v>
      </c>
      <c r="AG9">
        <v>4634</v>
      </c>
      <c r="AH9">
        <v>1065</v>
      </c>
      <c r="AI9">
        <v>370</v>
      </c>
      <c r="AJ9">
        <v>3.9870000000000001</v>
      </c>
      <c r="AK9">
        <v>357.5</v>
      </c>
      <c r="AL9">
        <v>583.5</v>
      </c>
      <c r="AM9">
        <v>870</v>
      </c>
      <c r="AN9">
        <v>4841.8658100000002</v>
      </c>
      <c r="AO9">
        <v>1144</v>
      </c>
      <c r="AP9">
        <v>429.95</v>
      </c>
    </row>
    <row r="10" spans="1:43" x14ac:dyDescent="0.2">
      <c r="B10" s="3">
        <v>45989</v>
      </c>
      <c r="C10">
        <v>21.15</v>
      </c>
      <c r="D10">
        <v>15.38</v>
      </c>
      <c r="E10">
        <v>645.20000000000005</v>
      </c>
      <c r="F10">
        <v>327</v>
      </c>
      <c r="G10">
        <v>86.3</v>
      </c>
      <c r="H10">
        <v>1813.5</v>
      </c>
      <c r="I10">
        <v>10.130000000000001</v>
      </c>
      <c r="J10">
        <v>175.5</v>
      </c>
      <c r="K10">
        <v>16.64</v>
      </c>
      <c r="L10">
        <v>216.2</v>
      </c>
      <c r="M10">
        <v>347.2</v>
      </c>
      <c r="N10">
        <v>202</v>
      </c>
      <c r="O10">
        <v>66.2</v>
      </c>
      <c r="P10">
        <v>68.349999999999994</v>
      </c>
      <c r="Q10">
        <v>67.92</v>
      </c>
      <c r="R10">
        <v>218</v>
      </c>
      <c r="S10">
        <v>91.62</v>
      </c>
      <c r="T10">
        <v>28.11</v>
      </c>
      <c r="U10">
        <v>50.45</v>
      </c>
      <c r="V10">
        <v>40.83</v>
      </c>
      <c r="W10" s="3">
        <v>45989</v>
      </c>
      <c r="X10">
        <v>70.260000000000005</v>
      </c>
      <c r="Y10">
        <v>5860.6884379200001</v>
      </c>
      <c r="Z10">
        <v>160</v>
      </c>
      <c r="AA10">
        <v>36.47</v>
      </c>
      <c r="AB10">
        <v>5422</v>
      </c>
      <c r="AC10">
        <v>841</v>
      </c>
      <c r="AD10">
        <v>97.5</v>
      </c>
      <c r="AE10">
        <v>202</v>
      </c>
      <c r="AF10">
        <v>959.8</v>
      </c>
      <c r="AG10">
        <v>4626</v>
      </c>
      <c r="AH10">
        <v>1070.2</v>
      </c>
      <c r="AI10">
        <v>370.9</v>
      </c>
      <c r="AJ10">
        <v>3.94</v>
      </c>
      <c r="AK10">
        <v>359</v>
      </c>
      <c r="AL10">
        <v>576.5</v>
      </c>
      <c r="AM10">
        <v>883</v>
      </c>
      <c r="AN10">
        <v>4867.5748320000002</v>
      </c>
      <c r="AO10">
        <v>1146.5</v>
      </c>
      <c r="AP10">
        <v>430.25</v>
      </c>
    </row>
    <row r="11" spans="1:43" x14ac:dyDescent="0.2">
      <c r="B11" s="3">
        <v>45992</v>
      </c>
      <c r="C11">
        <v>20.85</v>
      </c>
      <c r="D11">
        <v>15.28</v>
      </c>
      <c r="E11">
        <v>653.4</v>
      </c>
      <c r="F11">
        <v>320.10000000000002</v>
      </c>
      <c r="G11">
        <v>84.82</v>
      </c>
      <c r="H11">
        <v>1805</v>
      </c>
      <c r="I11">
        <v>10.015000000000001</v>
      </c>
      <c r="J11">
        <v>169.6</v>
      </c>
      <c r="K11">
        <v>16.89</v>
      </c>
      <c r="L11">
        <v>214.2</v>
      </c>
      <c r="M11">
        <v>344.8</v>
      </c>
      <c r="N11">
        <v>199.1</v>
      </c>
      <c r="O11">
        <v>66.3</v>
      </c>
      <c r="P11">
        <v>66.2</v>
      </c>
      <c r="Q11">
        <v>67.040000000000006</v>
      </c>
      <c r="R11">
        <v>216.85</v>
      </c>
      <c r="S11">
        <v>91.24</v>
      </c>
      <c r="T11">
        <v>27.84</v>
      </c>
      <c r="U11">
        <v>48.07</v>
      </c>
      <c r="V11">
        <v>40.79</v>
      </c>
      <c r="W11" s="3">
        <v>45992</v>
      </c>
      <c r="X11">
        <v>69.739999999999995</v>
      </c>
      <c r="Y11">
        <v>6002.8992646770002</v>
      </c>
      <c r="Z11">
        <v>158.1</v>
      </c>
      <c r="AA11">
        <v>35.99</v>
      </c>
      <c r="AB11">
        <v>5465</v>
      </c>
      <c r="AC11">
        <v>839.5</v>
      </c>
      <c r="AD11">
        <v>97.15</v>
      </c>
      <c r="AE11">
        <v>200</v>
      </c>
      <c r="AF11">
        <v>946.2</v>
      </c>
      <c r="AG11">
        <v>4614</v>
      </c>
      <c r="AH11">
        <v>1079.5999999999999</v>
      </c>
      <c r="AI11">
        <v>374.4</v>
      </c>
      <c r="AJ11">
        <v>3.9430000000000001</v>
      </c>
      <c r="AK11">
        <v>361</v>
      </c>
      <c r="AL11">
        <v>572.5</v>
      </c>
      <c r="AM11">
        <v>876.5</v>
      </c>
      <c r="AN11">
        <v>4883.6429707500001</v>
      </c>
      <c r="AO11">
        <v>1144</v>
      </c>
      <c r="AP11">
        <v>429.6</v>
      </c>
    </row>
    <row r="12" spans="1:43" x14ac:dyDescent="0.2">
      <c r="B12" s="3">
        <v>45993</v>
      </c>
      <c r="C12">
        <v>20.73</v>
      </c>
      <c r="D12">
        <v>15.29</v>
      </c>
      <c r="E12">
        <v>641.20000000000005</v>
      </c>
      <c r="F12">
        <v>321.10000000000002</v>
      </c>
      <c r="G12">
        <v>84.76</v>
      </c>
      <c r="H12">
        <v>1813</v>
      </c>
      <c r="I12">
        <v>9.9339999999999993</v>
      </c>
      <c r="J12">
        <v>165.9</v>
      </c>
      <c r="K12">
        <v>17.14</v>
      </c>
      <c r="L12">
        <v>213</v>
      </c>
      <c r="M12">
        <v>342.2</v>
      </c>
      <c r="N12">
        <v>197.2</v>
      </c>
      <c r="O12">
        <v>66.2</v>
      </c>
      <c r="P12">
        <v>68.150000000000006</v>
      </c>
      <c r="Q12">
        <v>66.48</v>
      </c>
      <c r="R12">
        <v>214.95</v>
      </c>
      <c r="S12">
        <v>91.26</v>
      </c>
      <c r="T12">
        <v>27.9</v>
      </c>
      <c r="U12">
        <v>48.965000000000003</v>
      </c>
      <c r="V12">
        <v>40.56</v>
      </c>
      <c r="W12" s="3">
        <v>45993</v>
      </c>
      <c r="X12">
        <v>68.62</v>
      </c>
      <c r="Y12">
        <v>5988.8784789399997</v>
      </c>
      <c r="Z12">
        <v>158.1</v>
      </c>
      <c r="AA12">
        <v>35.35</v>
      </c>
      <c r="AB12">
        <v>5417</v>
      </c>
      <c r="AC12">
        <v>824.5</v>
      </c>
      <c r="AD12">
        <v>97.5</v>
      </c>
      <c r="AE12">
        <v>201</v>
      </c>
      <c r="AF12">
        <v>937.2</v>
      </c>
      <c r="AG12">
        <v>4600</v>
      </c>
      <c r="AH12">
        <v>1087.8</v>
      </c>
      <c r="AI12">
        <v>368.8</v>
      </c>
      <c r="AJ12">
        <v>3.956</v>
      </c>
      <c r="AK12">
        <v>360.5</v>
      </c>
      <c r="AL12">
        <v>568</v>
      </c>
      <c r="AM12">
        <v>877</v>
      </c>
      <c r="AN12">
        <v>4802.23106775</v>
      </c>
      <c r="AO12">
        <v>1150.5</v>
      </c>
      <c r="AP12">
        <v>436.4</v>
      </c>
    </row>
    <row r="13" spans="1:43" x14ac:dyDescent="0.2">
      <c r="B13" s="3">
        <v>45994</v>
      </c>
      <c r="C13">
        <v>20.55</v>
      </c>
      <c r="D13">
        <v>15.24</v>
      </c>
      <c r="E13">
        <v>633.4</v>
      </c>
      <c r="F13">
        <v>320.8</v>
      </c>
      <c r="G13">
        <v>82.6</v>
      </c>
      <c r="H13">
        <v>1794.5</v>
      </c>
      <c r="I13">
        <v>10.210000000000001</v>
      </c>
      <c r="J13">
        <v>162</v>
      </c>
      <c r="K13">
        <v>17.655000000000001</v>
      </c>
      <c r="L13">
        <v>213.2</v>
      </c>
      <c r="M13">
        <v>344.4</v>
      </c>
      <c r="N13">
        <v>195.9</v>
      </c>
      <c r="O13">
        <v>66.900000000000006</v>
      </c>
      <c r="P13">
        <v>68.3</v>
      </c>
      <c r="Q13">
        <v>65.62</v>
      </c>
      <c r="R13">
        <v>215.8</v>
      </c>
      <c r="S13">
        <v>90.14</v>
      </c>
      <c r="T13">
        <v>28.28</v>
      </c>
      <c r="U13">
        <v>49.225000000000001</v>
      </c>
      <c r="V13" s="2">
        <v>39.4</v>
      </c>
      <c r="W13" s="3">
        <v>45994</v>
      </c>
      <c r="X13">
        <v>68.42</v>
      </c>
      <c r="Y13">
        <v>5932.7953359940002</v>
      </c>
      <c r="Z13">
        <v>163.19999999999999</v>
      </c>
      <c r="AA13">
        <v>35.479999999999997</v>
      </c>
      <c r="AB13">
        <v>5504</v>
      </c>
      <c r="AC13">
        <v>817.5</v>
      </c>
      <c r="AD13">
        <v>97.45</v>
      </c>
      <c r="AE13">
        <v>200.5</v>
      </c>
      <c r="AF13">
        <v>947</v>
      </c>
      <c r="AG13">
        <v>4600</v>
      </c>
      <c r="AH13">
        <v>1070.2</v>
      </c>
      <c r="AI13">
        <v>361.1</v>
      </c>
      <c r="AJ13">
        <v>3.952</v>
      </c>
      <c r="AK13">
        <v>358</v>
      </c>
      <c r="AL13">
        <v>562.5</v>
      </c>
      <c r="AM13">
        <v>850.5</v>
      </c>
      <c r="AN13">
        <v>4770.0947902500002</v>
      </c>
      <c r="AO13">
        <v>1143.5</v>
      </c>
      <c r="AP13">
        <v>433.35</v>
      </c>
    </row>
    <row r="14" spans="1:43" x14ac:dyDescent="0.2">
      <c r="B14" s="3">
        <v>45995</v>
      </c>
      <c r="C14">
        <v>20.71</v>
      </c>
      <c r="D14">
        <v>15.02</v>
      </c>
      <c r="E14">
        <v>621.79999999999995</v>
      </c>
      <c r="F14">
        <v>324</v>
      </c>
      <c r="G14">
        <v>84.5</v>
      </c>
      <c r="H14">
        <v>1779</v>
      </c>
      <c r="I14">
        <v>10.4</v>
      </c>
      <c r="J14">
        <v>159.19999999999999</v>
      </c>
      <c r="K14">
        <v>17.364999999999998</v>
      </c>
      <c r="L14">
        <v>218.8</v>
      </c>
      <c r="M14">
        <v>352.4</v>
      </c>
      <c r="N14">
        <v>199.6</v>
      </c>
      <c r="O14">
        <v>67.66</v>
      </c>
      <c r="P14">
        <v>69.05</v>
      </c>
      <c r="Q14">
        <v>66.66</v>
      </c>
      <c r="R14">
        <v>221.65</v>
      </c>
      <c r="S14">
        <v>90.14</v>
      </c>
      <c r="T14">
        <v>28.87</v>
      </c>
      <c r="U14">
        <v>49.454999999999998</v>
      </c>
      <c r="V14">
        <v>38.630000000000003</v>
      </c>
      <c r="W14" s="3">
        <v>45995</v>
      </c>
      <c r="X14">
        <v>68.099999999999994</v>
      </c>
      <c r="Y14">
        <v>5914.7686114750004</v>
      </c>
      <c r="Z14">
        <v>163.69999999999999</v>
      </c>
      <c r="AA14">
        <v>37.630000000000003</v>
      </c>
      <c r="AB14">
        <v>5494</v>
      </c>
      <c r="AC14">
        <v>827.5</v>
      </c>
      <c r="AD14">
        <v>97.6</v>
      </c>
      <c r="AE14">
        <v>200</v>
      </c>
      <c r="AF14">
        <v>940.8</v>
      </c>
      <c r="AG14">
        <v>4608</v>
      </c>
      <c r="AH14">
        <v>1074.4000000000001</v>
      </c>
      <c r="AI14">
        <v>359.5</v>
      </c>
      <c r="AJ14">
        <v>3.9689999999999999</v>
      </c>
      <c r="AK14">
        <v>357.5</v>
      </c>
      <c r="AL14">
        <v>561</v>
      </c>
      <c r="AM14">
        <v>849.5</v>
      </c>
      <c r="AN14">
        <v>4743.3145590000004</v>
      </c>
      <c r="AO14">
        <v>1142.5</v>
      </c>
      <c r="AP14">
        <v>439.2</v>
      </c>
    </row>
    <row r="15" spans="1:43" x14ac:dyDescent="0.2">
      <c r="B15" s="3">
        <v>45996</v>
      </c>
      <c r="C15">
        <v>20.399999999999999</v>
      </c>
      <c r="D15">
        <v>15.2</v>
      </c>
      <c r="E15">
        <v>622.4</v>
      </c>
      <c r="F15">
        <v>329.8</v>
      </c>
      <c r="G15">
        <v>84.98</v>
      </c>
      <c r="H15">
        <v>1796.5</v>
      </c>
      <c r="I15">
        <v>10.3</v>
      </c>
      <c r="J15">
        <v>170.5</v>
      </c>
      <c r="K15">
        <v>18.305</v>
      </c>
      <c r="L15">
        <v>214.6</v>
      </c>
      <c r="M15">
        <v>352.6</v>
      </c>
      <c r="N15">
        <v>200.8</v>
      </c>
      <c r="O15">
        <v>67.8</v>
      </c>
      <c r="P15">
        <v>68.45</v>
      </c>
      <c r="Q15">
        <v>66.92</v>
      </c>
      <c r="R15">
        <v>219.55</v>
      </c>
      <c r="S15">
        <v>89.22</v>
      </c>
      <c r="T15">
        <v>28.86</v>
      </c>
      <c r="U15">
        <v>51.71</v>
      </c>
      <c r="V15">
        <v>38.380000000000003</v>
      </c>
      <c r="W15" s="3">
        <v>45996</v>
      </c>
      <c r="X15">
        <v>69.42</v>
      </c>
      <c r="Y15">
        <v>5976.8606625949997</v>
      </c>
      <c r="Z15">
        <v>162.80000000000001</v>
      </c>
      <c r="AA15">
        <v>37.65</v>
      </c>
      <c r="AB15">
        <v>5500</v>
      </c>
      <c r="AC15">
        <v>824.5</v>
      </c>
      <c r="AD15">
        <v>96.85</v>
      </c>
      <c r="AE15">
        <v>197.4</v>
      </c>
      <c r="AF15">
        <v>948.6</v>
      </c>
      <c r="AG15">
        <v>4590</v>
      </c>
      <c r="AH15">
        <v>1062</v>
      </c>
      <c r="AI15">
        <v>360.6</v>
      </c>
      <c r="AJ15">
        <v>3.9340000000000002</v>
      </c>
      <c r="AK15">
        <v>351.5</v>
      </c>
      <c r="AL15">
        <v>557.5</v>
      </c>
      <c r="AM15">
        <v>863.5</v>
      </c>
      <c r="AN15">
        <v>4773.3084179999996</v>
      </c>
      <c r="AO15">
        <v>1134.5</v>
      </c>
      <c r="AP15">
        <v>434.4</v>
      </c>
    </row>
    <row r="16" spans="1:43" x14ac:dyDescent="0.2">
      <c r="B16" s="3">
        <v>45999</v>
      </c>
      <c r="C16">
        <v>20.45</v>
      </c>
      <c r="D16">
        <v>15.13</v>
      </c>
      <c r="E16">
        <v>630</v>
      </c>
      <c r="F16">
        <v>327.9</v>
      </c>
      <c r="G16">
        <v>85.96</v>
      </c>
      <c r="H16">
        <v>1788.5</v>
      </c>
      <c r="I16">
        <v>10.244999999999999</v>
      </c>
      <c r="J16">
        <v>177.3</v>
      </c>
      <c r="K16">
        <v>18.34</v>
      </c>
      <c r="L16">
        <v>213.6</v>
      </c>
      <c r="M16">
        <v>348.8</v>
      </c>
      <c r="N16">
        <v>198.6</v>
      </c>
      <c r="O16">
        <v>69</v>
      </c>
      <c r="P16">
        <v>69.95</v>
      </c>
      <c r="Q16">
        <v>65.540000000000006</v>
      </c>
      <c r="R16">
        <v>219.7</v>
      </c>
      <c r="S16">
        <v>90.74</v>
      </c>
      <c r="T16">
        <v>28.64</v>
      </c>
      <c r="U16">
        <v>54.57</v>
      </c>
      <c r="V16">
        <v>38.14</v>
      </c>
      <c r="W16" s="3">
        <v>45999</v>
      </c>
      <c r="X16">
        <v>69.02</v>
      </c>
      <c r="Y16">
        <v>5910.7626726930002</v>
      </c>
      <c r="Z16">
        <v>164.5</v>
      </c>
      <c r="AA16">
        <v>37.5</v>
      </c>
      <c r="AB16">
        <v>5476</v>
      </c>
      <c r="AC16">
        <v>808.5</v>
      </c>
      <c r="AD16">
        <v>95.35</v>
      </c>
      <c r="AE16">
        <v>196.4</v>
      </c>
      <c r="AF16">
        <v>941.4</v>
      </c>
      <c r="AG16">
        <v>4532</v>
      </c>
      <c r="AH16">
        <v>1064.5999999999999</v>
      </c>
      <c r="AI16">
        <v>357.6</v>
      </c>
      <c r="AJ16">
        <v>3.9009999999999998</v>
      </c>
      <c r="AK16">
        <v>351</v>
      </c>
      <c r="AL16">
        <v>555.5</v>
      </c>
      <c r="AM16">
        <v>861</v>
      </c>
      <c r="AN16">
        <v>4680</v>
      </c>
      <c r="AO16">
        <v>1135.5</v>
      </c>
      <c r="AP16">
        <v>437</v>
      </c>
    </row>
    <row r="17" spans="2:43" x14ac:dyDescent="0.2">
      <c r="B17" s="3">
        <v>46000</v>
      </c>
      <c r="C17">
        <v>20.6</v>
      </c>
      <c r="D17">
        <v>15.05</v>
      </c>
      <c r="E17">
        <v>637.4</v>
      </c>
      <c r="F17">
        <v>329.7</v>
      </c>
      <c r="G17">
        <v>84.32</v>
      </c>
      <c r="H17">
        <v>1781.5</v>
      </c>
      <c r="I17">
        <v>10.17</v>
      </c>
      <c r="J17">
        <v>172.1</v>
      </c>
      <c r="K17">
        <v>18.045000000000002</v>
      </c>
      <c r="L17">
        <v>210.6</v>
      </c>
      <c r="M17">
        <v>342.8</v>
      </c>
      <c r="N17">
        <v>195.3</v>
      </c>
      <c r="O17">
        <v>68.92</v>
      </c>
      <c r="P17">
        <v>74.05</v>
      </c>
      <c r="Q17">
        <v>64.78</v>
      </c>
      <c r="R17">
        <v>216.75</v>
      </c>
      <c r="S17">
        <v>90.56</v>
      </c>
      <c r="T17">
        <v>28.35</v>
      </c>
      <c r="U17">
        <v>57.57</v>
      </c>
      <c r="V17">
        <v>39.5</v>
      </c>
      <c r="W17" s="3">
        <v>46000</v>
      </c>
      <c r="X17">
        <v>68.239999999999995</v>
      </c>
      <c r="Y17">
        <v>5926.786427821</v>
      </c>
      <c r="Z17">
        <v>165.5</v>
      </c>
      <c r="AA17">
        <v>36.909999999999997</v>
      </c>
      <c r="AB17">
        <v>5528</v>
      </c>
      <c r="AC17">
        <v>808</v>
      </c>
      <c r="AD17">
        <v>95.2</v>
      </c>
      <c r="AE17">
        <v>195.4</v>
      </c>
      <c r="AF17">
        <v>942.6</v>
      </c>
      <c r="AG17">
        <v>4446</v>
      </c>
      <c r="AH17">
        <v>1068</v>
      </c>
      <c r="AI17">
        <v>354.2</v>
      </c>
      <c r="AJ17">
        <v>3.8959999999999999</v>
      </c>
      <c r="AK17">
        <v>350</v>
      </c>
      <c r="AL17">
        <v>551.5</v>
      </c>
      <c r="AM17">
        <v>873</v>
      </c>
      <c r="AN17">
        <v>4846.5</v>
      </c>
      <c r="AO17">
        <v>1129</v>
      </c>
      <c r="AP17">
        <v>440</v>
      </c>
    </row>
    <row r="18" spans="2:43" x14ac:dyDescent="0.2">
      <c r="B18" s="3">
        <v>46001</v>
      </c>
      <c r="C18">
        <v>20.88</v>
      </c>
      <c r="D18">
        <v>14.91</v>
      </c>
      <c r="E18">
        <v>628.4</v>
      </c>
      <c r="F18">
        <v>328</v>
      </c>
      <c r="G18">
        <v>86.34</v>
      </c>
      <c r="H18">
        <v>1807.5</v>
      </c>
      <c r="I18">
        <v>10.315</v>
      </c>
      <c r="J18">
        <v>180.5</v>
      </c>
      <c r="K18">
        <v>19.079999999999998</v>
      </c>
      <c r="L18">
        <v>208</v>
      </c>
      <c r="M18">
        <v>341.8</v>
      </c>
      <c r="N18">
        <v>197.4</v>
      </c>
      <c r="O18">
        <v>70.22</v>
      </c>
      <c r="P18">
        <v>72.5</v>
      </c>
      <c r="Q18">
        <v>65.540000000000006</v>
      </c>
      <c r="R18">
        <v>216.8</v>
      </c>
      <c r="S18">
        <v>91.08</v>
      </c>
      <c r="T18">
        <v>26.46</v>
      </c>
      <c r="U18">
        <v>55.99</v>
      </c>
      <c r="V18">
        <v>40.25</v>
      </c>
      <c r="W18" s="3">
        <v>46001</v>
      </c>
      <c r="X18">
        <v>68.64</v>
      </c>
      <c r="Y18">
        <v>5962.839876858</v>
      </c>
      <c r="Z18">
        <v>167.8</v>
      </c>
      <c r="AA18">
        <v>36.79</v>
      </c>
      <c r="AB18">
        <v>5607</v>
      </c>
      <c r="AC18">
        <v>810</v>
      </c>
      <c r="AD18">
        <v>94.5</v>
      </c>
      <c r="AE18">
        <v>195.4</v>
      </c>
      <c r="AF18">
        <v>929.6</v>
      </c>
      <c r="AG18">
        <v>4434</v>
      </c>
      <c r="AH18">
        <v>1102.2</v>
      </c>
      <c r="AI18">
        <v>356.2</v>
      </c>
      <c r="AJ18">
        <v>3.887</v>
      </c>
      <c r="AK18">
        <v>350</v>
      </c>
      <c r="AL18">
        <v>553</v>
      </c>
      <c r="AM18">
        <v>848.5</v>
      </c>
      <c r="AN18">
        <v>4820</v>
      </c>
      <c r="AO18">
        <v>1117</v>
      </c>
      <c r="AP18">
        <v>442.25</v>
      </c>
    </row>
    <row r="19" spans="2:43" x14ac:dyDescent="0.2">
      <c r="B19" s="3">
        <v>46002</v>
      </c>
      <c r="C19">
        <v>21.05</v>
      </c>
      <c r="D19">
        <v>14.71</v>
      </c>
      <c r="E19">
        <v>625.79999999999995</v>
      </c>
      <c r="F19">
        <v>326.89999999999998</v>
      </c>
      <c r="G19">
        <v>83.92</v>
      </c>
      <c r="H19">
        <v>1885</v>
      </c>
      <c r="I19">
        <v>10.26</v>
      </c>
      <c r="J19">
        <v>176</v>
      </c>
      <c r="K19">
        <v>18.98</v>
      </c>
      <c r="L19">
        <v>214.8</v>
      </c>
      <c r="M19">
        <v>345.2</v>
      </c>
      <c r="N19">
        <v>197</v>
      </c>
      <c r="O19">
        <v>69.86</v>
      </c>
      <c r="P19">
        <v>71.3</v>
      </c>
      <c r="Q19">
        <v>65.44</v>
      </c>
      <c r="R19">
        <v>220.8</v>
      </c>
      <c r="S19">
        <v>90.48</v>
      </c>
      <c r="T19">
        <v>27</v>
      </c>
      <c r="U19">
        <v>55.6</v>
      </c>
      <c r="V19">
        <v>39.659999999999997</v>
      </c>
      <c r="W19" s="3">
        <v>46002</v>
      </c>
      <c r="X19">
        <v>70.12</v>
      </c>
      <c r="Y19">
        <v>6036.9497443230002</v>
      </c>
      <c r="Z19">
        <v>163.19999999999999</v>
      </c>
      <c r="AA19">
        <v>38.54</v>
      </c>
      <c r="AB19">
        <v>5685</v>
      </c>
      <c r="AC19">
        <v>806</v>
      </c>
      <c r="AD19">
        <v>94.15</v>
      </c>
      <c r="AE19">
        <v>194.2</v>
      </c>
      <c r="AF19">
        <v>899</v>
      </c>
      <c r="AG19">
        <v>4414</v>
      </c>
      <c r="AH19">
        <v>1112.5999999999999</v>
      </c>
      <c r="AI19">
        <v>361.6</v>
      </c>
      <c r="AJ19">
        <v>3.8620000000000001</v>
      </c>
      <c r="AK19">
        <v>348.5</v>
      </c>
      <c r="AL19">
        <v>549</v>
      </c>
      <c r="AM19">
        <v>862</v>
      </c>
      <c r="AN19">
        <v>4853.5</v>
      </c>
      <c r="AO19">
        <v>1116</v>
      </c>
      <c r="AP19">
        <v>446.9</v>
      </c>
    </row>
    <row r="20" spans="2:43" x14ac:dyDescent="0.2">
      <c r="B20" s="3">
        <v>46003</v>
      </c>
      <c r="C20">
        <v>20.77</v>
      </c>
      <c r="D20">
        <v>14.92</v>
      </c>
      <c r="E20">
        <v>629</v>
      </c>
      <c r="F20">
        <v>331.9</v>
      </c>
      <c r="G20">
        <v>82.64</v>
      </c>
      <c r="H20">
        <v>1915</v>
      </c>
      <c r="I20">
        <v>10.135</v>
      </c>
      <c r="J20">
        <v>179.7</v>
      </c>
      <c r="K20">
        <v>18.315000000000001</v>
      </c>
      <c r="L20">
        <v>215.2</v>
      </c>
      <c r="M20">
        <v>350</v>
      </c>
      <c r="N20">
        <v>198.3</v>
      </c>
      <c r="O20">
        <v>69.84</v>
      </c>
      <c r="P20">
        <v>73.05</v>
      </c>
      <c r="Q20">
        <v>66</v>
      </c>
      <c r="R20">
        <v>218.7</v>
      </c>
      <c r="S20">
        <v>91.4</v>
      </c>
      <c r="T20">
        <v>26.55</v>
      </c>
      <c r="U20">
        <v>54.42</v>
      </c>
      <c r="V20">
        <v>40.1</v>
      </c>
      <c r="W20" s="3">
        <v>46003</v>
      </c>
      <c r="X20">
        <v>71.760000000000005</v>
      </c>
      <c r="Y20">
        <v>6008.9081728499996</v>
      </c>
      <c r="Z20">
        <v>163.6</v>
      </c>
      <c r="AA20">
        <v>38.47</v>
      </c>
      <c r="AB20">
        <v>5589</v>
      </c>
      <c r="AC20">
        <v>808</v>
      </c>
      <c r="AD20">
        <v>93.75</v>
      </c>
      <c r="AE20">
        <v>194.8</v>
      </c>
      <c r="AF20">
        <v>889</v>
      </c>
      <c r="AG20">
        <v>4424</v>
      </c>
      <c r="AH20">
        <v>1111.8</v>
      </c>
      <c r="AI20">
        <v>358.5</v>
      </c>
      <c r="AJ20">
        <v>3.9089999999999998</v>
      </c>
      <c r="AK20">
        <v>349</v>
      </c>
      <c r="AL20">
        <v>557</v>
      </c>
      <c r="AM20">
        <v>863</v>
      </c>
      <c r="AN20">
        <v>4835.5</v>
      </c>
      <c r="AO20">
        <v>1118.5</v>
      </c>
      <c r="AP20">
        <v>444.35</v>
      </c>
    </row>
    <row r="21" spans="2:43" x14ac:dyDescent="0.2">
      <c r="B21" s="3">
        <v>46006</v>
      </c>
      <c r="C21">
        <v>21.1</v>
      </c>
      <c r="D21">
        <v>15.04</v>
      </c>
      <c r="E21">
        <v>634.4</v>
      </c>
      <c r="F21">
        <v>337</v>
      </c>
      <c r="G21">
        <v>84.14</v>
      </c>
      <c r="H21">
        <v>1946.5</v>
      </c>
      <c r="I21">
        <v>10.11</v>
      </c>
      <c r="J21">
        <v>176.7</v>
      </c>
      <c r="K21">
        <v>18.600000000000001</v>
      </c>
      <c r="L21">
        <v>216.6</v>
      </c>
      <c r="M21">
        <v>352</v>
      </c>
      <c r="N21">
        <v>198.8</v>
      </c>
      <c r="O21">
        <v>69.7</v>
      </c>
      <c r="P21">
        <v>72.2</v>
      </c>
      <c r="Q21">
        <v>65.58</v>
      </c>
      <c r="R21">
        <v>220.55</v>
      </c>
      <c r="S21">
        <v>91.7</v>
      </c>
      <c r="T21">
        <v>26.18</v>
      </c>
      <c r="U21">
        <v>53.92</v>
      </c>
      <c r="V21">
        <v>40.909999999999997</v>
      </c>
      <c r="W21" s="3">
        <v>46006</v>
      </c>
      <c r="X21">
        <v>70.3</v>
      </c>
      <c r="Y21">
        <v>5984.872540159</v>
      </c>
      <c r="Z21">
        <v>166.7</v>
      </c>
      <c r="AA21">
        <v>37.369999999999997</v>
      </c>
      <c r="AB21">
        <v>5632</v>
      </c>
      <c r="AC21">
        <v>816</v>
      </c>
      <c r="AD21">
        <v>96.2</v>
      </c>
      <c r="AE21">
        <v>196</v>
      </c>
      <c r="AF21">
        <v>891</v>
      </c>
      <c r="AG21">
        <v>4490</v>
      </c>
      <c r="AH21">
        <v>1124.8</v>
      </c>
      <c r="AI21">
        <v>368.9</v>
      </c>
      <c r="AJ21">
        <v>3.931</v>
      </c>
      <c r="AK21">
        <v>352.5</v>
      </c>
      <c r="AL21">
        <v>559</v>
      </c>
      <c r="AM21">
        <v>891.5</v>
      </c>
      <c r="AN21">
        <v>4845</v>
      </c>
      <c r="AO21">
        <v>1126</v>
      </c>
      <c r="AP21">
        <v>454.25</v>
      </c>
    </row>
    <row r="22" spans="2:43" x14ac:dyDescent="0.2">
      <c r="B22" s="3">
        <v>46007</v>
      </c>
      <c r="C22">
        <v>21.42</v>
      </c>
      <c r="D22">
        <v>14.99</v>
      </c>
      <c r="E22">
        <v>636.6</v>
      </c>
      <c r="F22">
        <v>336.4</v>
      </c>
      <c r="G22">
        <v>83.76</v>
      </c>
      <c r="H22">
        <v>1978</v>
      </c>
      <c r="I22">
        <v>10.164999999999999</v>
      </c>
      <c r="J22">
        <v>178</v>
      </c>
      <c r="K22">
        <v>18.215</v>
      </c>
      <c r="L22">
        <v>214</v>
      </c>
      <c r="M22">
        <v>350.2</v>
      </c>
      <c r="N22">
        <v>199</v>
      </c>
      <c r="O22">
        <v>69.2</v>
      </c>
      <c r="P22">
        <v>69.599999999999994</v>
      </c>
      <c r="Q22">
        <v>65.239999999999995</v>
      </c>
      <c r="R22">
        <v>218.2</v>
      </c>
      <c r="S22">
        <v>92.08</v>
      </c>
      <c r="T22">
        <v>26.38</v>
      </c>
      <c r="U22">
        <v>51.62</v>
      </c>
      <c r="V22">
        <v>40.36</v>
      </c>
      <c r="W22" s="3">
        <v>46007</v>
      </c>
      <c r="X22">
        <v>68.739999999999995</v>
      </c>
      <c r="Y22">
        <v>5964.8428462490001</v>
      </c>
      <c r="Z22">
        <v>162</v>
      </c>
      <c r="AA22">
        <v>37.409999999999997</v>
      </c>
      <c r="AB22">
        <v>5663</v>
      </c>
      <c r="AC22">
        <v>820.5</v>
      </c>
      <c r="AD22">
        <v>95.65</v>
      </c>
      <c r="AE22">
        <v>196.2</v>
      </c>
      <c r="AF22">
        <v>864</v>
      </c>
      <c r="AG22">
        <v>4524</v>
      </c>
      <c r="AH22">
        <v>1111.8</v>
      </c>
      <c r="AI22">
        <v>363.4</v>
      </c>
      <c r="AJ22">
        <v>3.8969999999999998</v>
      </c>
      <c r="AK22">
        <v>352.5</v>
      </c>
      <c r="AL22">
        <v>562</v>
      </c>
      <c r="AM22">
        <v>891</v>
      </c>
      <c r="AN22">
        <v>4793.5</v>
      </c>
      <c r="AO22">
        <v>1121.5</v>
      </c>
      <c r="AP22">
        <v>450.45</v>
      </c>
    </row>
    <row r="23" spans="2:43" x14ac:dyDescent="0.2">
      <c r="B23" s="3">
        <v>46008</v>
      </c>
      <c r="C23">
        <v>21.59</v>
      </c>
      <c r="D23">
        <v>15.12</v>
      </c>
      <c r="E23">
        <v>635</v>
      </c>
      <c r="F23">
        <v>333.3</v>
      </c>
      <c r="G23">
        <v>81.92</v>
      </c>
      <c r="H23">
        <v>1965.5</v>
      </c>
      <c r="I23">
        <v>10.164999999999999</v>
      </c>
      <c r="J23">
        <v>185.1</v>
      </c>
      <c r="K23">
        <v>18.355</v>
      </c>
      <c r="L23">
        <v>206.2</v>
      </c>
      <c r="M23">
        <v>345</v>
      </c>
      <c r="N23">
        <v>200.8</v>
      </c>
      <c r="O23">
        <v>69.38</v>
      </c>
      <c r="P23">
        <v>71.75</v>
      </c>
      <c r="Q23">
        <v>65.5</v>
      </c>
      <c r="R23">
        <v>214</v>
      </c>
      <c r="S23">
        <v>91.86</v>
      </c>
      <c r="T23">
        <v>26.48</v>
      </c>
      <c r="U23">
        <v>52.54</v>
      </c>
      <c r="V23">
        <v>40.5</v>
      </c>
      <c r="W23" s="3">
        <v>46008</v>
      </c>
      <c r="X23">
        <v>67.08</v>
      </c>
      <c r="Y23">
        <v>6008.9081728499996</v>
      </c>
      <c r="Z23">
        <v>162.30000000000001</v>
      </c>
      <c r="AA23">
        <v>37.64</v>
      </c>
      <c r="AB23">
        <v>5753</v>
      </c>
      <c r="AC23">
        <v>825.5</v>
      </c>
      <c r="AD23">
        <v>97.35</v>
      </c>
      <c r="AE23">
        <v>197.8</v>
      </c>
      <c r="AF23">
        <v>868.2</v>
      </c>
      <c r="AG23">
        <v>4566</v>
      </c>
      <c r="AH23">
        <v>1141.8</v>
      </c>
      <c r="AI23">
        <v>369.3</v>
      </c>
      <c r="AJ23">
        <v>3.964</v>
      </c>
      <c r="AK23">
        <v>354</v>
      </c>
      <c r="AL23">
        <v>564</v>
      </c>
      <c r="AM23">
        <v>884</v>
      </c>
      <c r="AN23">
        <v>4881.5</v>
      </c>
      <c r="AO23">
        <v>1144.5</v>
      </c>
      <c r="AP23">
        <v>458.15</v>
      </c>
    </row>
    <row r="24" spans="2:43" x14ac:dyDescent="0.2">
      <c r="B24" s="3">
        <v>46009</v>
      </c>
      <c r="C24">
        <v>21.84</v>
      </c>
      <c r="D24">
        <v>15</v>
      </c>
      <c r="E24">
        <v>624</v>
      </c>
      <c r="F24">
        <v>345</v>
      </c>
      <c r="G24">
        <v>84.32</v>
      </c>
      <c r="H24">
        <v>1983</v>
      </c>
      <c r="I24">
        <v>10.365</v>
      </c>
      <c r="J24">
        <v>167.2</v>
      </c>
      <c r="K24">
        <v>18.420000000000002</v>
      </c>
      <c r="L24">
        <v>208.8</v>
      </c>
      <c r="M24">
        <v>348.4</v>
      </c>
      <c r="N24">
        <v>200</v>
      </c>
      <c r="O24">
        <v>70.34</v>
      </c>
      <c r="P24">
        <v>72.95</v>
      </c>
      <c r="Q24">
        <v>66.02</v>
      </c>
      <c r="R24">
        <v>216.6</v>
      </c>
      <c r="S24">
        <v>93.06</v>
      </c>
      <c r="T24">
        <v>26.8</v>
      </c>
      <c r="U24">
        <v>53.55</v>
      </c>
      <c r="V24">
        <v>40.79</v>
      </c>
      <c r="W24" s="3">
        <v>46009</v>
      </c>
      <c r="X24">
        <v>68</v>
      </c>
      <c r="Y24">
        <v>6032.9438055410001</v>
      </c>
      <c r="Z24">
        <v>164.8</v>
      </c>
      <c r="AA24">
        <v>37.71</v>
      </c>
      <c r="AB24">
        <v>5791</v>
      </c>
      <c r="AC24">
        <v>837</v>
      </c>
      <c r="AD24">
        <v>97.6</v>
      </c>
      <c r="AE24">
        <v>200.5</v>
      </c>
      <c r="AF24">
        <v>874.6</v>
      </c>
      <c r="AG24">
        <v>4624</v>
      </c>
      <c r="AH24">
        <v>1150.4000000000001</v>
      </c>
      <c r="AI24">
        <v>370.4</v>
      </c>
      <c r="AJ24">
        <v>3.9569999999999999</v>
      </c>
      <c r="AK24">
        <v>360</v>
      </c>
      <c r="AL24">
        <v>565</v>
      </c>
      <c r="AM24">
        <v>894.5</v>
      </c>
      <c r="AN24">
        <v>4890</v>
      </c>
      <c r="AO24">
        <v>1142</v>
      </c>
      <c r="AP24">
        <v>463.3</v>
      </c>
    </row>
    <row r="25" spans="2:43" x14ac:dyDescent="0.2">
      <c r="B25" s="3">
        <v>46010</v>
      </c>
      <c r="C25">
        <v>22.15</v>
      </c>
      <c r="D25">
        <v>15.05</v>
      </c>
      <c r="E25">
        <v>624.79999999999995</v>
      </c>
      <c r="F25">
        <v>351.8</v>
      </c>
      <c r="G25">
        <v>85.22</v>
      </c>
      <c r="H25">
        <v>2313</v>
      </c>
      <c r="I25">
        <v>10.295</v>
      </c>
      <c r="J25">
        <v>164.6</v>
      </c>
      <c r="K25">
        <v>18.5</v>
      </c>
      <c r="L25">
        <v>210.4</v>
      </c>
      <c r="M25">
        <v>351.8</v>
      </c>
      <c r="N25">
        <v>197.8</v>
      </c>
      <c r="O25">
        <v>69.42</v>
      </c>
      <c r="P25">
        <v>73.599999999999994</v>
      </c>
      <c r="Q25">
        <v>66</v>
      </c>
      <c r="R25">
        <v>217.7</v>
      </c>
      <c r="S25">
        <v>92.16</v>
      </c>
      <c r="T25">
        <v>26.8</v>
      </c>
      <c r="U25">
        <v>53.37</v>
      </c>
      <c r="V25">
        <v>40.549999999999997</v>
      </c>
      <c r="W25" s="3">
        <v>46010</v>
      </c>
      <c r="X25">
        <v>68.099999999999994</v>
      </c>
      <c r="Y25">
        <v>6089.026948488</v>
      </c>
      <c r="Z25">
        <v>162.80000000000001</v>
      </c>
      <c r="AA25">
        <v>37.43</v>
      </c>
      <c r="AB25">
        <v>5838</v>
      </c>
      <c r="AC25">
        <v>840.5</v>
      </c>
      <c r="AD25">
        <v>97.8</v>
      </c>
      <c r="AE25">
        <v>202</v>
      </c>
      <c r="AF25">
        <v>879.4</v>
      </c>
      <c r="AG25">
        <v>4672</v>
      </c>
      <c r="AH25">
        <v>1167</v>
      </c>
      <c r="AI25">
        <v>373.8</v>
      </c>
      <c r="AJ25">
        <v>3.9369999999999998</v>
      </c>
      <c r="AK25">
        <v>361.5</v>
      </c>
      <c r="AL25">
        <v>569.5</v>
      </c>
      <c r="AM25">
        <v>900</v>
      </c>
      <c r="AN25">
        <v>4890</v>
      </c>
      <c r="AO25">
        <v>1141.5</v>
      </c>
      <c r="AP25">
        <v>468.95</v>
      </c>
    </row>
    <row r="26" spans="2:43" x14ac:dyDescent="0.2">
      <c r="B26" s="3">
        <v>46013</v>
      </c>
      <c r="C26">
        <v>22.12</v>
      </c>
      <c r="D26">
        <v>15.11</v>
      </c>
      <c r="E26">
        <v>621.79999999999995</v>
      </c>
      <c r="F26">
        <v>357.6</v>
      </c>
      <c r="G26">
        <v>85.86</v>
      </c>
      <c r="H26">
        <v>2358</v>
      </c>
      <c r="I26">
        <v>10.305</v>
      </c>
      <c r="J26" s="2">
        <v>168.7</v>
      </c>
      <c r="K26" s="2">
        <v>18.684999999999999</v>
      </c>
      <c r="L26">
        <v>212</v>
      </c>
      <c r="M26">
        <v>351.8</v>
      </c>
      <c r="N26">
        <v>195.2</v>
      </c>
      <c r="O26">
        <v>68.400000000000006</v>
      </c>
      <c r="P26">
        <v>73.5</v>
      </c>
      <c r="Q26">
        <v>65.86</v>
      </c>
      <c r="R26">
        <v>219.5</v>
      </c>
      <c r="S26">
        <v>92.56</v>
      </c>
      <c r="T26">
        <v>27.31</v>
      </c>
      <c r="U26">
        <v>53.28</v>
      </c>
      <c r="V26">
        <v>40.79</v>
      </c>
      <c r="W26" s="3">
        <v>46013</v>
      </c>
      <c r="X26">
        <v>68</v>
      </c>
      <c r="Y26" s="2">
        <v>6016.9200504139999</v>
      </c>
      <c r="Z26">
        <v>164.2</v>
      </c>
      <c r="AA26">
        <v>37.42</v>
      </c>
      <c r="AB26" s="2">
        <v>5931</v>
      </c>
      <c r="AC26" s="2">
        <v>829.5</v>
      </c>
      <c r="AD26">
        <v>97.5</v>
      </c>
      <c r="AE26" s="2">
        <v>203.5</v>
      </c>
      <c r="AF26" s="2">
        <v>885.2</v>
      </c>
      <c r="AG26">
        <v>4654</v>
      </c>
      <c r="AH26">
        <v>1167.2</v>
      </c>
      <c r="AI26" s="2">
        <v>371.1</v>
      </c>
      <c r="AJ26">
        <v>3.9409999999999998</v>
      </c>
      <c r="AK26" s="2">
        <v>365</v>
      </c>
      <c r="AL26">
        <v>568</v>
      </c>
      <c r="AM26">
        <v>892</v>
      </c>
      <c r="AN26">
        <v>4840.5</v>
      </c>
      <c r="AO26">
        <v>1128</v>
      </c>
      <c r="AP26" s="2">
        <v>467.95</v>
      </c>
      <c r="AQ26" s="2"/>
    </row>
    <row r="27" spans="2:43" x14ac:dyDescent="0.2">
      <c r="B27" s="3">
        <v>46014</v>
      </c>
      <c r="C27">
        <v>22.07</v>
      </c>
      <c r="D27">
        <v>15.18</v>
      </c>
      <c r="E27">
        <v>621.20000000000005</v>
      </c>
      <c r="F27">
        <v>356</v>
      </c>
      <c r="G27">
        <v>85.94</v>
      </c>
      <c r="H27">
        <v>2343</v>
      </c>
      <c r="I27">
        <v>10.315</v>
      </c>
      <c r="J27">
        <v>170.9</v>
      </c>
      <c r="K27">
        <v>18.885000000000002</v>
      </c>
      <c r="L27">
        <v>211.4</v>
      </c>
      <c r="M27">
        <v>349.4</v>
      </c>
      <c r="N27">
        <v>195.3</v>
      </c>
      <c r="O27">
        <v>68.44</v>
      </c>
      <c r="P27">
        <v>73.2</v>
      </c>
      <c r="Q27">
        <v>66.099999999999994</v>
      </c>
      <c r="R27">
        <v>219.55</v>
      </c>
      <c r="S27">
        <v>92.2</v>
      </c>
      <c r="T27">
        <v>27.54</v>
      </c>
      <c r="U27">
        <v>52.79</v>
      </c>
      <c r="V27">
        <v>40.950000000000003</v>
      </c>
      <c r="W27" s="3">
        <v>46014</v>
      </c>
      <c r="X27">
        <v>67.5</v>
      </c>
      <c r="Y27">
        <v>5994.8873871129999</v>
      </c>
      <c r="Z27">
        <v>164.1</v>
      </c>
      <c r="AA27">
        <v>37.01</v>
      </c>
      <c r="AB27">
        <v>5997</v>
      </c>
      <c r="AC27">
        <v>828.5</v>
      </c>
      <c r="AD27">
        <v>97.2</v>
      </c>
      <c r="AE27">
        <v>203</v>
      </c>
      <c r="AF27">
        <v>879.8</v>
      </c>
      <c r="AG27">
        <v>4650</v>
      </c>
      <c r="AH27">
        <v>1175.2</v>
      </c>
      <c r="AI27">
        <v>372.1</v>
      </c>
      <c r="AJ27">
        <v>3.952</v>
      </c>
      <c r="AK27">
        <v>362</v>
      </c>
      <c r="AL27">
        <v>568.5</v>
      </c>
      <c r="AM27">
        <v>891</v>
      </c>
      <c r="AN27">
        <v>4857.5</v>
      </c>
      <c r="AO27">
        <v>1138</v>
      </c>
      <c r="AP27">
        <v>471.6</v>
      </c>
      <c r="AQ27" s="2"/>
    </row>
    <row r="28" spans="2:43" x14ac:dyDescent="0.2">
      <c r="B28" s="3">
        <v>46020</v>
      </c>
      <c r="C28">
        <v>22</v>
      </c>
      <c r="D28">
        <v>15.13</v>
      </c>
      <c r="E28">
        <v>626.79999999999995</v>
      </c>
      <c r="F28">
        <v>362.5</v>
      </c>
      <c r="G28">
        <v>85.78</v>
      </c>
      <c r="H28">
        <v>2235</v>
      </c>
      <c r="I28">
        <v>10.595000000000001</v>
      </c>
      <c r="J28">
        <v>171.8</v>
      </c>
      <c r="K28">
        <v>19.239999999999998</v>
      </c>
      <c r="L28">
        <v>212.6</v>
      </c>
      <c r="M28">
        <v>351.8</v>
      </c>
      <c r="N28">
        <v>196.6</v>
      </c>
      <c r="O28">
        <v>69.3</v>
      </c>
      <c r="P28">
        <v>72.5</v>
      </c>
      <c r="Q28">
        <v>67.28</v>
      </c>
      <c r="R28">
        <v>222.45</v>
      </c>
      <c r="S28">
        <v>92.66</v>
      </c>
      <c r="T28">
        <v>27.91</v>
      </c>
      <c r="U28">
        <v>52.4</v>
      </c>
      <c r="V28">
        <v>41.35</v>
      </c>
      <c r="W28" s="3">
        <v>46015</v>
      </c>
      <c r="X28">
        <v>67.88</v>
      </c>
      <c r="Y28">
        <v>5986.8755095500001</v>
      </c>
      <c r="Z28" s="2" t="s">
        <v>5</v>
      </c>
      <c r="AA28" s="2" t="s">
        <v>5</v>
      </c>
      <c r="AB28">
        <v>5982</v>
      </c>
      <c r="AC28">
        <v>831</v>
      </c>
      <c r="AD28">
        <v>97.2</v>
      </c>
      <c r="AE28" s="2" t="s">
        <v>5</v>
      </c>
      <c r="AF28">
        <v>880.4</v>
      </c>
      <c r="AG28">
        <v>4658</v>
      </c>
      <c r="AH28">
        <v>1175.4000000000001</v>
      </c>
      <c r="AI28">
        <v>372.3</v>
      </c>
      <c r="AJ28">
        <v>3.9489999999999998</v>
      </c>
      <c r="AK28" s="2" t="s">
        <v>5</v>
      </c>
      <c r="AL28" s="2" t="s">
        <v>5</v>
      </c>
      <c r="AM28">
        <v>893.5</v>
      </c>
      <c r="AN28">
        <v>4838</v>
      </c>
      <c r="AO28">
        <v>1137.5</v>
      </c>
      <c r="AP28">
        <v>469.75</v>
      </c>
    </row>
    <row r="29" spans="2:43" x14ac:dyDescent="0.2">
      <c r="B29" s="3">
        <v>46021</v>
      </c>
      <c r="C29">
        <v>22.2</v>
      </c>
      <c r="D29">
        <v>15.19</v>
      </c>
      <c r="E29">
        <v>629.79999999999995</v>
      </c>
      <c r="F29">
        <v>363.8</v>
      </c>
      <c r="G29">
        <v>86.38</v>
      </c>
      <c r="H29">
        <v>2291</v>
      </c>
      <c r="I29">
        <v>10.705</v>
      </c>
      <c r="J29">
        <v>173.2</v>
      </c>
      <c r="K29">
        <v>19.41</v>
      </c>
      <c r="L29">
        <v>212.8</v>
      </c>
      <c r="M29">
        <v>352</v>
      </c>
      <c r="N29">
        <v>197.6</v>
      </c>
      <c r="O29">
        <v>69.66</v>
      </c>
      <c r="P29">
        <v>73.400000000000006</v>
      </c>
      <c r="Q29">
        <v>68.2</v>
      </c>
      <c r="R29">
        <v>223.25</v>
      </c>
      <c r="S29">
        <v>93.38</v>
      </c>
      <c r="T29">
        <v>28.33</v>
      </c>
      <c r="U29">
        <v>53.62</v>
      </c>
      <c r="V29">
        <v>41.35</v>
      </c>
      <c r="W29" s="3">
        <v>46020</v>
      </c>
      <c r="X29">
        <v>68.319999999999993</v>
      </c>
      <c r="Y29">
        <v>6006.9052034590004</v>
      </c>
      <c r="Z29">
        <v>161.80000000000001</v>
      </c>
      <c r="AA29">
        <v>37.08</v>
      </c>
      <c r="AB29">
        <v>5950</v>
      </c>
      <c r="AC29">
        <v>833</v>
      </c>
      <c r="AD29">
        <v>97.9</v>
      </c>
      <c r="AE29">
        <v>203</v>
      </c>
      <c r="AF29">
        <v>882.2</v>
      </c>
      <c r="AG29">
        <v>4656</v>
      </c>
      <c r="AH29">
        <v>1166</v>
      </c>
      <c r="AI29">
        <v>373</v>
      </c>
      <c r="AJ29">
        <v>3.9710000000000001</v>
      </c>
      <c r="AK29">
        <v>363</v>
      </c>
      <c r="AL29">
        <v>573.5</v>
      </c>
      <c r="AM29">
        <v>894</v>
      </c>
      <c r="AN29">
        <v>4860</v>
      </c>
      <c r="AO29">
        <v>1141</v>
      </c>
      <c r="AP29">
        <v>469.25</v>
      </c>
    </row>
    <row r="30" spans="2:43" x14ac:dyDescent="0.2">
      <c r="B30" s="3">
        <v>46024</v>
      </c>
      <c r="C30">
        <v>22.49</v>
      </c>
      <c r="D30">
        <v>15.27</v>
      </c>
      <c r="E30">
        <v>624.20000000000005</v>
      </c>
      <c r="F30">
        <v>358.2</v>
      </c>
      <c r="G30">
        <v>89.88</v>
      </c>
      <c r="H30">
        <v>2274</v>
      </c>
      <c r="I30">
        <v>10.82</v>
      </c>
      <c r="J30">
        <v>159.9</v>
      </c>
      <c r="K30">
        <v>19.920000000000002</v>
      </c>
      <c r="L30">
        <v>202.2</v>
      </c>
      <c r="M30">
        <v>340.8</v>
      </c>
      <c r="N30">
        <v>193</v>
      </c>
      <c r="O30">
        <v>72.8</v>
      </c>
      <c r="P30">
        <v>76.400000000000006</v>
      </c>
      <c r="Q30">
        <v>67.48</v>
      </c>
      <c r="R30">
        <v>216.6</v>
      </c>
      <c r="S30">
        <v>92.52</v>
      </c>
      <c r="T30">
        <v>28.28</v>
      </c>
      <c r="U30">
        <v>55.56</v>
      </c>
      <c r="V30">
        <v>41</v>
      </c>
      <c r="W30" s="3">
        <v>46021</v>
      </c>
      <c r="X30">
        <v>69.16</v>
      </c>
      <c r="Y30">
        <v>6020.925989196</v>
      </c>
      <c r="Z30">
        <v>162.1</v>
      </c>
      <c r="AA30">
        <v>37.32</v>
      </c>
      <c r="AB30">
        <v>6026</v>
      </c>
      <c r="AC30">
        <v>839.5</v>
      </c>
      <c r="AD30">
        <v>98.1</v>
      </c>
      <c r="AE30">
        <v>204</v>
      </c>
      <c r="AF30">
        <v>888.2</v>
      </c>
      <c r="AG30">
        <v>4630</v>
      </c>
      <c r="AH30">
        <v>1175.5999999999999</v>
      </c>
      <c r="AI30">
        <v>373.6</v>
      </c>
      <c r="AJ30">
        <v>3.9740000000000002</v>
      </c>
      <c r="AK30">
        <v>366</v>
      </c>
      <c r="AL30">
        <v>575.5</v>
      </c>
      <c r="AM30">
        <v>894.5</v>
      </c>
      <c r="AN30">
        <v>4856</v>
      </c>
      <c r="AO30">
        <v>1147.5</v>
      </c>
      <c r="AP30">
        <v>476.8</v>
      </c>
    </row>
    <row r="31" spans="2:43" x14ac:dyDescent="0.2">
      <c r="B31" s="3">
        <v>46027</v>
      </c>
      <c r="C31">
        <v>22.71</v>
      </c>
      <c r="D31">
        <v>15.31</v>
      </c>
      <c r="E31">
        <v>617.79999999999995</v>
      </c>
      <c r="F31">
        <v>356.9</v>
      </c>
      <c r="G31">
        <v>91.54</v>
      </c>
      <c r="H31">
        <v>2285</v>
      </c>
      <c r="I31">
        <v>10.744999999999999</v>
      </c>
      <c r="J31">
        <v>160.19999999999999</v>
      </c>
      <c r="K31">
        <v>20.309999999999999</v>
      </c>
      <c r="L31">
        <v>204</v>
      </c>
      <c r="M31">
        <v>336.4</v>
      </c>
      <c r="N31">
        <v>191.5</v>
      </c>
      <c r="O31">
        <v>73.58</v>
      </c>
      <c r="P31">
        <v>82.65</v>
      </c>
      <c r="Q31">
        <v>67.38</v>
      </c>
      <c r="R31">
        <v>222.3</v>
      </c>
      <c r="S31">
        <v>93.2</v>
      </c>
      <c r="T31">
        <v>28.36</v>
      </c>
      <c r="U31">
        <v>60.02</v>
      </c>
      <c r="V31">
        <v>41.09</v>
      </c>
      <c r="W31" s="3">
        <v>46022</v>
      </c>
      <c r="X31">
        <v>68.56</v>
      </c>
      <c r="Y31">
        <v>6010.9111422409997</v>
      </c>
      <c r="Z31" s="2" t="s">
        <v>5</v>
      </c>
      <c r="AA31" s="2" t="s">
        <v>5</v>
      </c>
      <c r="AB31">
        <v>5994</v>
      </c>
      <c r="AC31">
        <v>832.5</v>
      </c>
      <c r="AD31">
        <v>97.9</v>
      </c>
      <c r="AE31" s="2" t="s">
        <v>5</v>
      </c>
      <c r="AF31">
        <v>884</v>
      </c>
      <c r="AG31">
        <v>4626</v>
      </c>
      <c r="AH31">
        <v>1173.8</v>
      </c>
      <c r="AI31">
        <v>374.8</v>
      </c>
      <c r="AJ31">
        <v>3.976</v>
      </c>
      <c r="AK31" s="2" t="s">
        <v>5</v>
      </c>
      <c r="AL31" s="2" t="s">
        <v>5</v>
      </c>
      <c r="AM31">
        <v>891</v>
      </c>
      <c r="AN31">
        <v>4859.5</v>
      </c>
      <c r="AO31">
        <v>1141.5</v>
      </c>
      <c r="AP31">
        <v>475.95</v>
      </c>
      <c r="AQ31" s="2"/>
    </row>
    <row r="32" spans="2:43" x14ac:dyDescent="0.2">
      <c r="B32" s="3">
        <v>46028</v>
      </c>
      <c r="C32">
        <v>22.83</v>
      </c>
      <c r="D32">
        <v>15.38</v>
      </c>
      <c r="E32" s="2" t="s">
        <v>5</v>
      </c>
      <c r="F32" s="2" t="s">
        <v>5</v>
      </c>
      <c r="G32">
        <v>90.8</v>
      </c>
      <c r="H32">
        <v>2406</v>
      </c>
      <c r="I32" s="2" t="s">
        <v>5</v>
      </c>
      <c r="J32" s="2" t="s">
        <v>5</v>
      </c>
      <c r="K32" s="2" t="s">
        <v>5</v>
      </c>
      <c r="L32" s="2" t="s">
        <v>5</v>
      </c>
      <c r="M32" s="2" t="s">
        <v>5</v>
      </c>
      <c r="N32" s="2" t="s">
        <v>5</v>
      </c>
      <c r="O32" s="2" t="s">
        <v>5</v>
      </c>
      <c r="P32">
        <v>82</v>
      </c>
      <c r="Q32" s="2" t="s">
        <v>5</v>
      </c>
      <c r="R32" s="2" t="s">
        <v>5</v>
      </c>
      <c r="S32">
        <v>92.76</v>
      </c>
      <c r="T32" s="2" t="s">
        <v>5</v>
      </c>
      <c r="U32">
        <v>59.6</v>
      </c>
      <c r="V32" s="2" t="s">
        <v>5</v>
      </c>
      <c r="W32" s="3">
        <v>46024</v>
      </c>
      <c r="X32">
        <v>69.92</v>
      </c>
      <c r="Y32">
        <v>5990.8814483309998</v>
      </c>
      <c r="Z32" s="2" t="s">
        <v>5</v>
      </c>
      <c r="AA32">
        <v>37.5</v>
      </c>
      <c r="AB32">
        <v>5986</v>
      </c>
      <c r="AC32">
        <v>839</v>
      </c>
      <c r="AD32">
        <v>98.05</v>
      </c>
      <c r="AE32" s="2" t="s">
        <v>5</v>
      </c>
      <c r="AF32">
        <v>874</v>
      </c>
      <c r="AG32">
        <v>4554</v>
      </c>
      <c r="AH32">
        <v>1191.8</v>
      </c>
      <c r="AI32">
        <v>370.1</v>
      </c>
      <c r="AJ32">
        <v>3.9710000000000001</v>
      </c>
      <c r="AK32" s="2" t="s">
        <v>5</v>
      </c>
      <c r="AL32" s="2" t="s">
        <v>5</v>
      </c>
      <c r="AM32">
        <v>871.5</v>
      </c>
      <c r="AN32">
        <v>4822.5</v>
      </c>
      <c r="AO32">
        <v>1157.5</v>
      </c>
      <c r="AP32" s="2">
        <v>479.5</v>
      </c>
    </row>
    <row r="33" spans="2:43" x14ac:dyDescent="0.2">
      <c r="B33" s="3">
        <v>46029</v>
      </c>
      <c r="C33">
        <v>22.54</v>
      </c>
      <c r="D33">
        <v>15.4</v>
      </c>
      <c r="E33">
        <v>620</v>
      </c>
      <c r="F33">
        <v>365.9</v>
      </c>
      <c r="G33">
        <v>91.42</v>
      </c>
      <c r="H33">
        <v>2339</v>
      </c>
      <c r="I33">
        <v>10.744999999999999</v>
      </c>
      <c r="J33" s="2">
        <v>159.6</v>
      </c>
      <c r="K33" s="2">
        <v>20.02</v>
      </c>
      <c r="L33">
        <v>209.2</v>
      </c>
      <c r="M33">
        <v>352.4</v>
      </c>
      <c r="N33">
        <v>203</v>
      </c>
      <c r="O33">
        <v>74.099999999999994</v>
      </c>
      <c r="P33">
        <v>86.85</v>
      </c>
      <c r="Q33">
        <v>71.14</v>
      </c>
      <c r="R33">
        <v>228.6</v>
      </c>
      <c r="S33">
        <v>94.72</v>
      </c>
      <c r="T33">
        <v>29.3</v>
      </c>
      <c r="U33">
        <v>61.86</v>
      </c>
      <c r="V33">
        <v>42.37</v>
      </c>
      <c r="W33" s="3">
        <v>46027</v>
      </c>
      <c r="X33">
        <v>69.7</v>
      </c>
      <c r="Y33" s="2">
        <v>5996.890356504</v>
      </c>
      <c r="Z33">
        <v>160.1</v>
      </c>
      <c r="AA33">
        <v>38</v>
      </c>
      <c r="AB33" s="2">
        <v>6091</v>
      </c>
      <c r="AC33" s="2">
        <v>836</v>
      </c>
      <c r="AD33">
        <v>98</v>
      </c>
      <c r="AE33" s="2">
        <v>204</v>
      </c>
      <c r="AF33" s="2">
        <v>884.6</v>
      </c>
      <c r="AG33">
        <v>4606</v>
      </c>
      <c r="AH33">
        <v>1207.2</v>
      </c>
      <c r="AI33" s="2">
        <v>372.3</v>
      </c>
      <c r="AJ33">
        <v>3.9569999999999999</v>
      </c>
      <c r="AK33">
        <v>366</v>
      </c>
      <c r="AL33">
        <v>579</v>
      </c>
      <c r="AM33">
        <v>864.5</v>
      </c>
      <c r="AN33">
        <v>4699</v>
      </c>
      <c r="AO33">
        <v>1150</v>
      </c>
      <c r="AP33">
        <v>486.65</v>
      </c>
      <c r="AQ33" s="2"/>
    </row>
    <row r="34" spans="2:43" x14ac:dyDescent="0.2">
      <c r="B34" s="3">
        <v>46030</v>
      </c>
      <c r="C34">
        <v>22.5</v>
      </c>
      <c r="D34">
        <v>15.43</v>
      </c>
      <c r="E34">
        <v>614.6</v>
      </c>
      <c r="F34">
        <v>351.6</v>
      </c>
      <c r="G34">
        <v>87.48</v>
      </c>
      <c r="H34">
        <v>2373</v>
      </c>
      <c r="I34">
        <v>10.56</v>
      </c>
      <c r="J34">
        <v>160.6</v>
      </c>
      <c r="K34">
        <v>19.59</v>
      </c>
      <c r="L34">
        <v>204.8</v>
      </c>
      <c r="M34">
        <v>342.8</v>
      </c>
      <c r="N34">
        <v>198.2</v>
      </c>
      <c r="O34">
        <v>73.8</v>
      </c>
      <c r="P34">
        <v>86.35</v>
      </c>
      <c r="Q34">
        <v>69.900000000000006</v>
      </c>
      <c r="R34">
        <v>211</v>
      </c>
      <c r="S34">
        <v>95.14</v>
      </c>
      <c r="T34">
        <v>28.92</v>
      </c>
      <c r="U34">
        <v>63.67</v>
      </c>
      <c r="V34">
        <v>41.44</v>
      </c>
      <c r="W34" s="3">
        <v>46028</v>
      </c>
      <c r="X34">
        <v>72.88</v>
      </c>
      <c r="Y34">
        <v>6068.9972545780001</v>
      </c>
      <c r="Z34">
        <v>165.6</v>
      </c>
      <c r="AA34">
        <v>40.18</v>
      </c>
      <c r="AB34">
        <v>6291</v>
      </c>
      <c r="AC34">
        <v>832</v>
      </c>
      <c r="AD34">
        <v>97.7</v>
      </c>
      <c r="AE34">
        <v>203</v>
      </c>
      <c r="AF34">
        <v>897</v>
      </c>
      <c r="AG34">
        <v>4612</v>
      </c>
      <c r="AH34">
        <v>1217.4000000000001</v>
      </c>
      <c r="AI34">
        <v>376.5</v>
      </c>
      <c r="AJ34">
        <v>3.9260000000000002</v>
      </c>
      <c r="AK34">
        <v>363.5</v>
      </c>
      <c r="AL34">
        <v>584</v>
      </c>
      <c r="AM34">
        <v>867.5</v>
      </c>
      <c r="AN34">
        <v>4744</v>
      </c>
      <c r="AO34">
        <v>1172</v>
      </c>
      <c r="AP34">
        <v>488.4</v>
      </c>
    </row>
    <row r="35" spans="2:43" x14ac:dyDescent="0.2">
      <c r="B35" s="3">
        <v>46031</v>
      </c>
      <c r="C35">
        <v>22.55</v>
      </c>
      <c r="D35">
        <v>15.25</v>
      </c>
      <c r="E35">
        <v>620</v>
      </c>
      <c r="F35">
        <v>360.5</v>
      </c>
      <c r="G35">
        <v>87.28</v>
      </c>
      <c r="H35">
        <v>2361</v>
      </c>
      <c r="I35">
        <v>10.73</v>
      </c>
      <c r="J35">
        <v>164.5</v>
      </c>
      <c r="K35">
        <v>19.87</v>
      </c>
      <c r="L35">
        <v>208.6</v>
      </c>
      <c r="M35">
        <v>348.4</v>
      </c>
      <c r="N35">
        <v>201.6</v>
      </c>
      <c r="O35">
        <v>74.98</v>
      </c>
      <c r="P35">
        <v>91.3</v>
      </c>
      <c r="Q35">
        <v>71.040000000000006</v>
      </c>
      <c r="R35">
        <v>212</v>
      </c>
      <c r="S35">
        <v>94.24</v>
      </c>
      <c r="T35">
        <v>29.36</v>
      </c>
      <c r="U35">
        <v>64.180000000000007</v>
      </c>
      <c r="V35">
        <v>42.2</v>
      </c>
      <c r="W35" s="3">
        <v>46029</v>
      </c>
      <c r="X35">
        <v>72.3</v>
      </c>
      <c r="Y35">
        <v>6062.9883464060003</v>
      </c>
      <c r="Z35">
        <v>165.2</v>
      </c>
      <c r="AA35">
        <v>39.9</v>
      </c>
      <c r="AB35">
        <v>6258</v>
      </c>
      <c r="AC35">
        <v>839.5</v>
      </c>
      <c r="AD35">
        <v>102.2</v>
      </c>
      <c r="AE35">
        <v>206.5</v>
      </c>
      <c r="AF35">
        <v>893.2</v>
      </c>
      <c r="AG35">
        <v>4596</v>
      </c>
      <c r="AH35">
        <v>1190.8</v>
      </c>
      <c r="AI35">
        <v>373.5</v>
      </c>
      <c r="AJ35">
        <v>3.855</v>
      </c>
      <c r="AK35">
        <v>370.5</v>
      </c>
      <c r="AL35">
        <v>589.5</v>
      </c>
      <c r="AM35">
        <v>844.5</v>
      </c>
      <c r="AN35">
        <v>4631</v>
      </c>
      <c r="AO35">
        <v>1184.5</v>
      </c>
      <c r="AP35">
        <v>479.55</v>
      </c>
    </row>
    <row r="36" spans="2:43" x14ac:dyDescent="0.2">
      <c r="B36" s="3">
        <v>46034</v>
      </c>
      <c r="C36">
        <v>22.58</v>
      </c>
      <c r="D36">
        <v>15.22</v>
      </c>
      <c r="E36">
        <v>620.4</v>
      </c>
      <c r="F36">
        <v>361.9</v>
      </c>
      <c r="G36">
        <v>85.78</v>
      </c>
      <c r="H36">
        <v>2327</v>
      </c>
      <c r="I36">
        <v>10.645</v>
      </c>
      <c r="J36">
        <v>160.80000000000001</v>
      </c>
      <c r="K36">
        <v>19.91</v>
      </c>
      <c r="L36">
        <v>204.2</v>
      </c>
      <c r="M36">
        <v>341.2</v>
      </c>
      <c r="N36">
        <v>200.6</v>
      </c>
      <c r="O36">
        <v>74.8</v>
      </c>
      <c r="P36">
        <v>92</v>
      </c>
      <c r="Q36">
        <v>69.739999999999995</v>
      </c>
      <c r="R36">
        <v>207.15</v>
      </c>
      <c r="S36">
        <v>93.86</v>
      </c>
      <c r="T36">
        <v>29.33</v>
      </c>
      <c r="U36">
        <v>66.22</v>
      </c>
      <c r="V36">
        <v>41.99</v>
      </c>
      <c r="W36" s="3">
        <v>46030</v>
      </c>
      <c r="X36">
        <v>71.14</v>
      </c>
      <c r="Y36">
        <v>6179.1605710809999</v>
      </c>
      <c r="Z36">
        <v>163.19999999999999</v>
      </c>
      <c r="AA36">
        <v>39.659999999999997</v>
      </c>
      <c r="AB36">
        <v>6194</v>
      </c>
      <c r="AC36">
        <v>841</v>
      </c>
      <c r="AD36">
        <v>102.6</v>
      </c>
      <c r="AE36">
        <v>207.5</v>
      </c>
      <c r="AF36">
        <v>890.4</v>
      </c>
      <c r="AG36">
        <v>4618</v>
      </c>
      <c r="AH36">
        <v>1195.4000000000001</v>
      </c>
      <c r="AI36">
        <v>371.9</v>
      </c>
      <c r="AJ36">
        <v>3.8919999999999999</v>
      </c>
      <c r="AK36">
        <v>371</v>
      </c>
      <c r="AL36">
        <v>590.5</v>
      </c>
      <c r="AM36">
        <v>862.5</v>
      </c>
      <c r="AN36">
        <v>4665</v>
      </c>
      <c r="AO36">
        <v>1183</v>
      </c>
      <c r="AP36">
        <v>484.7</v>
      </c>
    </row>
    <row r="37" spans="2:43" x14ac:dyDescent="0.2">
      <c r="B37" s="3">
        <v>46035</v>
      </c>
      <c r="C37">
        <v>22.53</v>
      </c>
      <c r="D37">
        <v>14.95</v>
      </c>
      <c r="E37">
        <v>611.4</v>
      </c>
      <c r="F37">
        <v>360</v>
      </c>
      <c r="G37">
        <v>86.28</v>
      </c>
      <c r="H37">
        <v>2265</v>
      </c>
      <c r="I37">
        <v>10.75</v>
      </c>
      <c r="J37">
        <v>162.1</v>
      </c>
      <c r="K37">
        <v>20.38</v>
      </c>
      <c r="L37">
        <v>202.2</v>
      </c>
      <c r="M37">
        <v>330.8</v>
      </c>
      <c r="N37">
        <v>198.8</v>
      </c>
      <c r="O37">
        <v>78.400000000000006</v>
      </c>
      <c r="P37">
        <v>92</v>
      </c>
      <c r="Q37">
        <v>69.540000000000006</v>
      </c>
      <c r="R37">
        <v>208.4</v>
      </c>
      <c r="S37">
        <v>92.4</v>
      </c>
      <c r="T37">
        <v>29.12</v>
      </c>
      <c r="U37">
        <v>64.959999999999994</v>
      </c>
      <c r="V37">
        <v>42.18</v>
      </c>
      <c r="W37" s="3">
        <v>46031</v>
      </c>
      <c r="X37">
        <v>71</v>
      </c>
      <c r="Y37">
        <v>6185.1694792540002</v>
      </c>
      <c r="Z37">
        <v>165.2</v>
      </c>
      <c r="AA37">
        <v>39.909999999999997</v>
      </c>
      <c r="AB37">
        <v>6006</v>
      </c>
      <c r="AC37">
        <v>852.5</v>
      </c>
      <c r="AD37">
        <v>103.2</v>
      </c>
      <c r="AE37">
        <v>209</v>
      </c>
      <c r="AF37">
        <v>901</v>
      </c>
      <c r="AG37">
        <v>4618</v>
      </c>
      <c r="AH37">
        <v>1194.2</v>
      </c>
      <c r="AI37">
        <v>367.5</v>
      </c>
      <c r="AJ37">
        <v>3.859</v>
      </c>
      <c r="AK37">
        <v>372.5</v>
      </c>
      <c r="AL37">
        <v>586.5</v>
      </c>
      <c r="AM37">
        <v>858.5</v>
      </c>
      <c r="AN37">
        <v>4744</v>
      </c>
      <c r="AO37">
        <v>1192.5</v>
      </c>
      <c r="AP37">
        <v>484.9</v>
      </c>
    </row>
    <row r="38" spans="2:43" x14ac:dyDescent="0.2">
      <c r="B38" s="3">
        <v>46036</v>
      </c>
      <c r="C38">
        <v>22.43</v>
      </c>
      <c r="D38">
        <v>14.93</v>
      </c>
      <c r="E38">
        <v>590.79999999999995</v>
      </c>
      <c r="F38">
        <v>353.4</v>
      </c>
      <c r="G38">
        <v>89.26</v>
      </c>
      <c r="H38">
        <v>2219</v>
      </c>
      <c r="I38">
        <v>10.87</v>
      </c>
      <c r="J38">
        <v>156</v>
      </c>
      <c r="K38">
        <v>20.27</v>
      </c>
      <c r="L38">
        <v>195.5</v>
      </c>
      <c r="M38">
        <v>328.2</v>
      </c>
      <c r="N38">
        <v>195.9</v>
      </c>
      <c r="O38">
        <v>75.64</v>
      </c>
      <c r="P38">
        <v>90.7</v>
      </c>
      <c r="Q38">
        <v>67.62</v>
      </c>
      <c r="R38">
        <v>206.95</v>
      </c>
      <c r="S38">
        <v>92</v>
      </c>
      <c r="T38">
        <v>29.5</v>
      </c>
      <c r="U38">
        <v>61.26</v>
      </c>
      <c r="V38">
        <v>40.1</v>
      </c>
      <c r="W38" s="3">
        <v>46034</v>
      </c>
      <c r="X38">
        <v>70.34</v>
      </c>
      <c r="Y38">
        <v>6237.2466834180004</v>
      </c>
      <c r="Z38">
        <v>163.9</v>
      </c>
      <c r="AA38">
        <v>40.08</v>
      </c>
      <c r="AB38">
        <v>6135</v>
      </c>
      <c r="AC38">
        <v>841.5</v>
      </c>
      <c r="AD38">
        <v>103.6</v>
      </c>
      <c r="AE38">
        <v>209.5</v>
      </c>
      <c r="AF38">
        <v>886.8</v>
      </c>
      <c r="AG38">
        <v>4666</v>
      </c>
      <c r="AH38">
        <v>1202.4000000000001</v>
      </c>
      <c r="AI38">
        <v>362.2</v>
      </c>
      <c r="AJ38">
        <v>3.8359999999999999</v>
      </c>
      <c r="AK38">
        <v>374</v>
      </c>
      <c r="AL38">
        <v>587.5</v>
      </c>
      <c r="AM38">
        <v>837.5</v>
      </c>
      <c r="AN38">
        <v>4770.5</v>
      </c>
      <c r="AO38">
        <v>1178.5</v>
      </c>
      <c r="AP38">
        <v>473.05</v>
      </c>
    </row>
    <row r="39" spans="2:43" x14ac:dyDescent="0.2">
      <c r="B39" s="3">
        <v>46037</v>
      </c>
      <c r="C39">
        <v>22.52</v>
      </c>
      <c r="D39">
        <v>14.83</v>
      </c>
      <c r="E39">
        <v>605.4</v>
      </c>
      <c r="F39">
        <v>363.9</v>
      </c>
      <c r="G39">
        <v>93.6</v>
      </c>
      <c r="H39">
        <v>2218</v>
      </c>
      <c r="I39">
        <v>10.734999999999999</v>
      </c>
      <c r="J39">
        <v>159</v>
      </c>
      <c r="K39">
        <v>20.55</v>
      </c>
      <c r="L39">
        <v>202.2</v>
      </c>
      <c r="M39">
        <v>335.6</v>
      </c>
      <c r="N39">
        <v>200</v>
      </c>
      <c r="O39">
        <v>77.319999999999993</v>
      </c>
      <c r="P39">
        <v>90</v>
      </c>
      <c r="Q39">
        <v>68.84</v>
      </c>
      <c r="R39">
        <v>214.1</v>
      </c>
      <c r="S39">
        <v>92.26</v>
      </c>
      <c r="T39">
        <v>29.86</v>
      </c>
      <c r="U39">
        <v>60.95</v>
      </c>
      <c r="V39">
        <v>40.590000000000003</v>
      </c>
      <c r="W39" s="3">
        <v>46035</v>
      </c>
      <c r="X39">
        <v>71</v>
      </c>
      <c r="Y39">
        <v>6199.1902649900003</v>
      </c>
      <c r="Z39">
        <v>158.9</v>
      </c>
      <c r="AA39">
        <v>40.33</v>
      </c>
      <c r="AB39">
        <v>6214</v>
      </c>
      <c r="AC39">
        <v>834</v>
      </c>
      <c r="AD39">
        <v>102</v>
      </c>
      <c r="AE39">
        <v>207.5</v>
      </c>
      <c r="AF39">
        <v>894</v>
      </c>
      <c r="AG39">
        <v>4598</v>
      </c>
      <c r="AH39">
        <v>1212.8</v>
      </c>
      <c r="AI39">
        <v>362.4</v>
      </c>
      <c r="AJ39">
        <v>3.7919999999999998</v>
      </c>
      <c r="AK39">
        <v>369.5</v>
      </c>
      <c r="AL39">
        <v>585</v>
      </c>
      <c r="AM39">
        <v>821.5</v>
      </c>
      <c r="AN39">
        <v>4774.5</v>
      </c>
      <c r="AO39">
        <v>1153.5</v>
      </c>
      <c r="AP39">
        <v>477.35</v>
      </c>
    </row>
    <row r="40" spans="2:43" x14ac:dyDescent="0.2">
      <c r="B40" s="3">
        <v>46038</v>
      </c>
      <c r="C40">
        <v>22.84</v>
      </c>
      <c r="D40">
        <v>14.95</v>
      </c>
      <c r="E40">
        <v>600.6</v>
      </c>
      <c r="F40">
        <v>367.1</v>
      </c>
      <c r="G40">
        <v>95.8</v>
      </c>
      <c r="H40">
        <v>2164</v>
      </c>
      <c r="I40">
        <v>10.585000000000001</v>
      </c>
      <c r="J40">
        <v>159.6</v>
      </c>
      <c r="K40">
        <v>20.2</v>
      </c>
      <c r="L40">
        <v>199.4</v>
      </c>
      <c r="M40">
        <v>334.8</v>
      </c>
      <c r="N40">
        <v>200.8</v>
      </c>
      <c r="O40">
        <v>75.739999999999995</v>
      </c>
      <c r="P40">
        <v>92.85</v>
      </c>
      <c r="Q40">
        <v>68.2</v>
      </c>
      <c r="R40">
        <v>216.1</v>
      </c>
      <c r="S40">
        <v>91.56</v>
      </c>
      <c r="T40">
        <v>29.91</v>
      </c>
      <c r="U40">
        <v>62.28</v>
      </c>
      <c r="V40">
        <v>40.53</v>
      </c>
      <c r="W40" s="3">
        <v>46036</v>
      </c>
      <c r="X40">
        <v>72.06</v>
      </c>
      <c r="Y40">
        <v>6193.1813568170001</v>
      </c>
      <c r="Z40">
        <v>161.6</v>
      </c>
      <c r="AA40">
        <v>40.83</v>
      </c>
      <c r="AB40">
        <v>6355</v>
      </c>
      <c r="AC40">
        <v>845.5</v>
      </c>
      <c r="AD40">
        <v>102.9</v>
      </c>
      <c r="AE40">
        <v>209</v>
      </c>
      <c r="AF40">
        <v>889.6</v>
      </c>
      <c r="AG40">
        <v>4612</v>
      </c>
      <c r="AH40">
        <v>1213</v>
      </c>
      <c r="AI40">
        <v>366.1</v>
      </c>
      <c r="AJ40">
        <v>3.8119999999999998</v>
      </c>
      <c r="AK40">
        <v>371.5</v>
      </c>
      <c r="AL40">
        <v>595.5</v>
      </c>
      <c r="AM40">
        <v>812</v>
      </c>
      <c r="AN40">
        <v>4831.5</v>
      </c>
      <c r="AO40">
        <v>1167</v>
      </c>
      <c r="AP40">
        <v>479.8</v>
      </c>
    </row>
    <row r="41" spans="2:43" x14ac:dyDescent="0.2">
      <c r="B41" s="3">
        <v>46041</v>
      </c>
      <c r="C41">
        <v>22.58</v>
      </c>
      <c r="D41">
        <v>14.8</v>
      </c>
      <c r="E41">
        <v>590.20000000000005</v>
      </c>
      <c r="F41">
        <v>362.7</v>
      </c>
      <c r="G41" s="2">
        <v>93.82</v>
      </c>
      <c r="H41">
        <v>2105</v>
      </c>
      <c r="I41">
        <v>10.185</v>
      </c>
      <c r="J41">
        <v>154.1</v>
      </c>
      <c r="K41">
        <v>19.7</v>
      </c>
      <c r="L41">
        <v>193</v>
      </c>
      <c r="M41">
        <v>319.39999999999998</v>
      </c>
      <c r="N41">
        <v>197</v>
      </c>
      <c r="O41">
        <v>74.84</v>
      </c>
      <c r="P41">
        <v>92.25</v>
      </c>
      <c r="Q41">
        <v>67.36</v>
      </c>
      <c r="R41" s="2">
        <v>205.8</v>
      </c>
      <c r="S41">
        <v>90.86</v>
      </c>
      <c r="T41" s="2">
        <v>29.01</v>
      </c>
      <c r="U41">
        <v>61.99</v>
      </c>
      <c r="V41">
        <v>40.46</v>
      </c>
      <c r="W41" s="3">
        <v>46037</v>
      </c>
      <c r="X41">
        <v>74.239999999999995</v>
      </c>
      <c r="Y41">
        <v>6155.1249383889999</v>
      </c>
      <c r="Z41">
        <v>157.80000000000001</v>
      </c>
      <c r="AA41">
        <v>41.64</v>
      </c>
      <c r="AB41">
        <v>6468</v>
      </c>
      <c r="AC41">
        <v>862.5</v>
      </c>
      <c r="AD41">
        <v>104.5</v>
      </c>
      <c r="AE41">
        <v>212.5</v>
      </c>
      <c r="AF41">
        <v>894.2</v>
      </c>
      <c r="AG41">
        <v>4620</v>
      </c>
      <c r="AH41">
        <v>1236.8</v>
      </c>
      <c r="AI41">
        <v>362.2</v>
      </c>
      <c r="AJ41">
        <v>3.7970000000000002</v>
      </c>
      <c r="AK41">
        <v>377.5</v>
      </c>
      <c r="AL41">
        <v>595</v>
      </c>
      <c r="AM41">
        <v>810</v>
      </c>
      <c r="AN41">
        <v>4780.5</v>
      </c>
      <c r="AO41">
        <v>1181</v>
      </c>
      <c r="AP41">
        <v>484.3</v>
      </c>
    </row>
    <row r="42" spans="2:43" x14ac:dyDescent="0.2">
      <c r="B42" s="3">
        <v>46042</v>
      </c>
      <c r="C42">
        <v>22.25</v>
      </c>
      <c r="D42">
        <v>14.49</v>
      </c>
      <c r="E42">
        <v>592.79999999999995</v>
      </c>
      <c r="F42">
        <v>357.3</v>
      </c>
      <c r="G42">
        <v>94.12</v>
      </c>
      <c r="H42">
        <v>2114</v>
      </c>
      <c r="I42">
        <v>9.8919999999999995</v>
      </c>
      <c r="J42">
        <v>149.30000000000001</v>
      </c>
      <c r="K42">
        <v>19.84</v>
      </c>
      <c r="L42">
        <v>196.2</v>
      </c>
      <c r="M42">
        <v>319</v>
      </c>
      <c r="N42">
        <v>191.2</v>
      </c>
      <c r="O42">
        <v>72.48</v>
      </c>
      <c r="P42">
        <v>89.75</v>
      </c>
      <c r="Q42">
        <v>65.459999999999994</v>
      </c>
      <c r="R42">
        <v>212.45</v>
      </c>
      <c r="S42">
        <v>90.12</v>
      </c>
      <c r="T42">
        <v>28.44</v>
      </c>
      <c r="U42">
        <v>60.74</v>
      </c>
      <c r="V42">
        <v>40.11</v>
      </c>
      <c r="W42" s="3">
        <v>46038</v>
      </c>
      <c r="X42">
        <v>72.099999999999994</v>
      </c>
      <c r="Y42">
        <v>6125.0803975250001</v>
      </c>
      <c r="Z42">
        <v>159.1</v>
      </c>
      <c r="AA42">
        <v>41.16</v>
      </c>
      <c r="AB42">
        <v>6347</v>
      </c>
      <c r="AC42">
        <v>860</v>
      </c>
      <c r="AD42">
        <v>104.5</v>
      </c>
      <c r="AE42">
        <v>213</v>
      </c>
      <c r="AF42">
        <v>889.4</v>
      </c>
      <c r="AG42">
        <v>4582</v>
      </c>
      <c r="AH42">
        <v>1232</v>
      </c>
      <c r="AI42">
        <v>363.9</v>
      </c>
      <c r="AJ42">
        <v>3.8029999999999999</v>
      </c>
      <c r="AK42" s="2">
        <v>379.5</v>
      </c>
      <c r="AL42">
        <v>595</v>
      </c>
      <c r="AM42">
        <v>832.5</v>
      </c>
      <c r="AN42">
        <v>4761.5</v>
      </c>
      <c r="AO42">
        <v>1201.5</v>
      </c>
      <c r="AP42" s="2">
        <v>488.95</v>
      </c>
    </row>
    <row r="43" spans="2:43" x14ac:dyDescent="0.2">
      <c r="B43" s="3">
        <v>46043</v>
      </c>
      <c r="C43">
        <v>22.03</v>
      </c>
      <c r="D43">
        <v>14.52</v>
      </c>
      <c r="E43">
        <v>585.79999999999995</v>
      </c>
      <c r="F43">
        <v>361</v>
      </c>
      <c r="G43">
        <v>94.08</v>
      </c>
      <c r="H43">
        <v>2109</v>
      </c>
      <c r="I43">
        <v>10.17</v>
      </c>
      <c r="J43">
        <v>146.80000000000001</v>
      </c>
      <c r="K43">
        <v>20.36</v>
      </c>
      <c r="L43">
        <v>195.4</v>
      </c>
      <c r="M43">
        <v>319</v>
      </c>
      <c r="N43">
        <v>190</v>
      </c>
      <c r="O43">
        <v>74.680000000000007</v>
      </c>
      <c r="P43">
        <v>87.05</v>
      </c>
      <c r="Q43">
        <v>65.459999999999994</v>
      </c>
      <c r="R43">
        <v>208.75</v>
      </c>
      <c r="S43">
        <v>89.28</v>
      </c>
      <c r="T43">
        <v>28.97</v>
      </c>
      <c r="U43">
        <v>58.72</v>
      </c>
      <c r="V43">
        <v>39.69</v>
      </c>
      <c r="W43" s="3">
        <v>46041</v>
      </c>
      <c r="X43">
        <v>70.959999999999994</v>
      </c>
      <c r="Y43">
        <v>6125.0803975250001</v>
      </c>
      <c r="Z43">
        <v>154.80000000000001</v>
      </c>
      <c r="AA43">
        <v>40.06</v>
      </c>
      <c r="AB43">
        <v>6339</v>
      </c>
      <c r="AC43">
        <v>845</v>
      </c>
      <c r="AD43">
        <v>104.5</v>
      </c>
      <c r="AE43">
        <v>215</v>
      </c>
      <c r="AF43">
        <v>872.4</v>
      </c>
      <c r="AG43">
        <v>4554</v>
      </c>
      <c r="AH43">
        <v>1238.8</v>
      </c>
      <c r="AI43">
        <v>361.1</v>
      </c>
      <c r="AJ43">
        <v>3.8879999999999999</v>
      </c>
      <c r="AK43">
        <v>380.5</v>
      </c>
      <c r="AL43">
        <v>602</v>
      </c>
      <c r="AM43">
        <v>834</v>
      </c>
      <c r="AN43">
        <v>4756</v>
      </c>
      <c r="AO43">
        <v>1196</v>
      </c>
      <c r="AP43">
        <v>483</v>
      </c>
    </row>
    <row r="44" spans="2:43" x14ac:dyDescent="0.2">
      <c r="B44" s="3">
        <v>46044</v>
      </c>
      <c r="C44">
        <v>22.29</v>
      </c>
      <c r="D44">
        <v>14.46</v>
      </c>
      <c r="E44">
        <v>590</v>
      </c>
      <c r="F44">
        <v>374.7</v>
      </c>
      <c r="G44">
        <v>96.62</v>
      </c>
      <c r="H44">
        <v>2140</v>
      </c>
      <c r="I44">
        <v>10.515000000000001</v>
      </c>
      <c r="J44">
        <v>148.69999999999999</v>
      </c>
      <c r="K44">
        <v>20.83</v>
      </c>
      <c r="L44">
        <v>196.5</v>
      </c>
      <c r="M44">
        <v>321</v>
      </c>
      <c r="N44">
        <v>193.1</v>
      </c>
      <c r="O44">
        <v>78.08</v>
      </c>
      <c r="P44">
        <v>83.6</v>
      </c>
      <c r="Q44">
        <v>66.459999999999994</v>
      </c>
      <c r="R44">
        <v>208.65</v>
      </c>
      <c r="S44">
        <v>91.12</v>
      </c>
      <c r="T44">
        <v>29.68</v>
      </c>
      <c r="U44">
        <v>57.5</v>
      </c>
      <c r="V44">
        <v>40.25</v>
      </c>
      <c r="W44" s="3">
        <v>46042</v>
      </c>
      <c r="X44">
        <v>69.400000000000006</v>
      </c>
      <c r="Y44">
        <v>6115.0655505699997</v>
      </c>
      <c r="Z44">
        <v>153.80000000000001</v>
      </c>
      <c r="AA44">
        <v>40</v>
      </c>
      <c r="AB44">
        <v>6314</v>
      </c>
      <c r="AC44">
        <v>844.5</v>
      </c>
      <c r="AD44">
        <v>103.5</v>
      </c>
      <c r="AE44">
        <v>214</v>
      </c>
      <c r="AF44">
        <v>912.2</v>
      </c>
      <c r="AG44">
        <v>4522</v>
      </c>
      <c r="AH44">
        <v>1229</v>
      </c>
      <c r="AI44">
        <v>372.9</v>
      </c>
      <c r="AJ44">
        <v>3.899</v>
      </c>
      <c r="AK44">
        <v>379.5</v>
      </c>
      <c r="AL44">
        <v>599</v>
      </c>
      <c r="AM44">
        <v>967.5</v>
      </c>
      <c r="AN44">
        <v>4775</v>
      </c>
      <c r="AO44">
        <v>1190.5</v>
      </c>
      <c r="AP44">
        <v>479.6</v>
      </c>
    </row>
    <row r="45" spans="2:43" x14ac:dyDescent="0.2">
      <c r="B45" s="3">
        <v>46045</v>
      </c>
      <c r="C45">
        <v>21.83</v>
      </c>
      <c r="D45">
        <v>14.46</v>
      </c>
      <c r="E45">
        <v>590.4</v>
      </c>
      <c r="F45">
        <v>366.1</v>
      </c>
      <c r="G45">
        <v>97.36</v>
      </c>
      <c r="H45">
        <v>2097</v>
      </c>
      <c r="I45">
        <v>10.4</v>
      </c>
      <c r="J45">
        <v>155.6</v>
      </c>
      <c r="K45">
        <v>20.72</v>
      </c>
      <c r="L45">
        <v>195</v>
      </c>
      <c r="M45">
        <v>317.2</v>
      </c>
      <c r="N45">
        <v>194.5</v>
      </c>
      <c r="O45">
        <v>77.78</v>
      </c>
      <c r="P45">
        <v>87.55</v>
      </c>
      <c r="Q45">
        <v>66.22</v>
      </c>
      <c r="R45">
        <v>211.55</v>
      </c>
      <c r="S45">
        <v>90.96</v>
      </c>
      <c r="T45">
        <v>29.39</v>
      </c>
      <c r="U45">
        <v>59.45</v>
      </c>
      <c r="V45">
        <v>38.590000000000003</v>
      </c>
      <c r="W45" s="3">
        <v>46043</v>
      </c>
      <c r="X45">
        <v>72.98</v>
      </c>
      <c r="Y45">
        <v>6048.9675606689998</v>
      </c>
      <c r="Z45">
        <v>153.30000000000001</v>
      </c>
      <c r="AA45">
        <v>41.38</v>
      </c>
      <c r="AB45">
        <v>6641</v>
      </c>
      <c r="AC45">
        <v>851.5</v>
      </c>
      <c r="AD45">
        <v>103.5</v>
      </c>
      <c r="AE45">
        <v>215</v>
      </c>
      <c r="AF45">
        <v>928</v>
      </c>
      <c r="AG45">
        <v>4538</v>
      </c>
      <c r="AH45">
        <v>1231</v>
      </c>
      <c r="AI45">
        <v>377.2</v>
      </c>
      <c r="AJ45">
        <v>3.8069999999999999</v>
      </c>
      <c r="AK45">
        <v>380.5</v>
      </c>
      <c r="AL45">
        <v>597</v>
      </c>
      <c r="AM45">
        <v>980.5</v>
      </c>
      <c r="AN45">
        <v>4785</v>
      </c>
      <c r="AO45">
        <v>1190.5</v>
      </c>
      <c r="AP45">
        <v>475.6</v>
      </c>
    </row>
    <row r="46" spans="2:43" x14ac:dyDescent="0.2">
      <c r="B46" s="3">
        <v>46048</v>
      </c>
      <c r="C46">
        <v>21.93</v>
      </c>
      <c r="D46">
        <v>14.35</v>
      </c>
      <c r="E46">
        <v>590.79999999999995</v>
      </c>
      <c r="F46">
        <v>352.8</v>
      </c>
      <c r="G46">
        <v>97.2</v>
      </c>
      <c r="H46">
        <v>2070</v>
      </c>
      <c r="I46">
        <v>10.47</v>
      </c>
      <c r="J46">
        <v>141</v>
      </c>
      <c r="K46">
        <v>21.99</v>
      </c>
      <c r="L46">
        <v>193.2</v>
      </c>
      <c r="M46">
        <v>312.39999999999998</v>
      </c>
      <c r="N46">
        <v>195</v>
      </c>
      <c r="O46">
        <v>77.44</v>
      </c>
      <c r="P46">
        <v>84.55</v>
      </c>
      <c r="Q46">
        <v>65.760000000000005</v>
      </c>
      <c r="R46">
        <v>204.8</v>
      </c>
      <c r="S46">
        <v>91.82</v>
      </c>
      <c r="T46">
        <v>29.16</v>
      </c>
      <c r="U46">
        <v>57.48</v>
      </c>
      <c r="V46">
        <v>38.9</v>
      </c>
      <c r="W46" s="3">
        <v>46044</v>
      </c>
      <c r="X46">
        <v>73.319999999999993</v>
      </c>
      <c r="Y46">
        <v>6123.077428134</v>
      </c>
      <c r="Z46">
        <v>152</v>
      </c>
      <c r="AA46">
        <v>42</v>
      </c>
      <c r="AB46">
        <v>6486</v>
      </c>
      <c r="AC46">
        <v>862.5</v>
      </c>
      <c r="AD46">
        <v>103.9</v>
      </c>
      <c r="AE46">
        <v>217.5</v>
      </c>
      <c r="AF46">
        <v>937.6</v>
      </c>
      <c r="AG46">
        <v>4564</v>
      </c>
      <c r="AH46">
        <v>1244.2</v>
      </c>
      <c r="AI46">
        <v>378.1</v>
      </c>
      <c r="AJ46">
        <v>3.8620000000000001</v>
      </c>
      <c r="AK46">
        <v>385.5</v>
      </c>
      <c r="AL46">
        <v>602</v>
      </c>
      <c r="AM46">
        <v>974.5</v>
      </c>
      <c r="AN46">
        <v>4816</v>
      </c>
      <c r="AO46">
        <v>1186.5</v>
      </c>
      <c r="AP46">
        <v>485.45</v>
      </c>
    </row>
    <row r="47" spans="2:43" x14ac:dyDescent="0.2">
      <c r="B47" s="3">
        <v>46049</v>
      </c>
      <c r="C47">
        <v>22.25</v>
      </c>
      <c r="D47">
        <v>14.38</v>
      </c>
      <c r="E47">
        <v>588</v>
      </c>
      <c r="F47">
        <v>350.2</v>
      </c>
      <c r="G47">
        <v>99.48</v>
      </c>
      <c r="H47">
        <v>2062</v>
      </c>
      <c r="I47">
        <v>10.425000000000001</v>
      </c>
      <c r="J47">
        <v>138.4</v>
      </c>
      <c r="K47">
        <v>21.68</v>
      </c>
      <c r="L47">
        <v>194.3</v>
      </c>
      <c r="M47">
        <v>314.39999999999998</v>
      </c>
      <c r="N47">
        <v>191.2</v>
      </c>
      <c r="O47">
        <v>77.180000000000007</v>
      </c>
      <c r="P47">
        <v>87</v>
      </c>
      <c r="Q47">
        <v>64.760000000000005</v>
      </c>
      <c r="R47">
        <v>207.25</v>
      </c>
      <c r="S47">
        <v>92.58</v>
      </c>
      <c r="T47">
        <v>29.18</v>
      </c>
      <c r="U47">
        <v>58.31</v>
      </c>
      <c r="V47">
        <v>38.19</v>
      </c>
      <c r="W47" s="3">
        <v>46045</v>
      </c>
      <c r="X47">
        <v>72.58</v>
      </c>
      <c r="Y47">
        <v>6026.9348973690003</v>
      </c>
      <c r="Z47">
        <v>149.80000000000001</v>
      </c>
      <c r="AA47">
        <v>41.34</v>
      </c>
      <c r="AB47">
        <v>6576</v>
      </c>
      <c r="AC47">
        <v>856</v>
      </c>
      <c r="AD47">
        <v>104.3</v>
      </c>
      <c r="AE47">
        <v>218.5</v>
      </c>
      <c r="AF47">
        <v>913.8</v>
      </c>
      <c r="AG47">
        <v>4534</v>
      </c>
      <c r="AH47">
        <v>1231</v>
      </c>
      <c r="AI47">
        <v>379.8</v>
      </c>
      <c r="AJ47">
        <v>3.8879999999999999</v>
      </c>
      <c r="AK47">
        <v>386</v>
      </c>
      <c r="AL47">
        <v>608.5</v>
      </c>
      <c r="AM47">
        <v>975</v>
      </c>
      <c r="AN47">
        <v>4864</v>
      </c>
      <c r="AO47">
        <v>1191.5</v>
      </c>
      <c r="AP47">
        <v>480.3</v>
      </c>
    </row>
    <row r="48" spans="2:43" x14ac:dyDescent="0.2">
      <c r="B48" s="3">
        <v>46050</v>
      </c>
      <c r="C48">
        <v>22.3</v>
      </c>
      <c r="D48">
        <v>14.52</v>
      </c>
      <c r="E48">
        <v>589.4</v>
      </c>
      <c r="F48">
        <v>349.2</v>
      </c>
      <c r="G48">
        <v>97.8</v>
      </c>
      <c r="H48">
        <v>2069</v>
      </c>
      <c r="I48">
        <v>10.39</v>
      </c>
      <c r="J48">
        <v>147.69999999999999</v>
      </c>
      <c r="K48">
        <v>21.36</v>
      </c>
      <c r="L48">
        <v>196.6</v>
      </c>
      <c r="M48">
        <v>311.8</v>
      </c>
      <c r="N48">
        <v>195</v>
      </c>
      <c r="O48">
        <v>75.22</v>
      </c>
      <c r="P48">
        <v>86.6</v>
      </c>
      <c r="Q48">
        <v>65.959999999999994</v>
      </c>
      <c r="R48">
        <v>208.75</v>
      </c>
      <c r="S48">
        <v>93.08</v>
      </c>
      <c r="T48">
        <v>29.35</v>
      </c>
      <c r="U48">
        <v>57.83</v>
      </c>
      <c r="V48">
        <v>38.729999999999997</v>
      </c>
      <c r="W48" s="3">
        <v>46048</v>
      </c>
      <c r="X48">
        <v>72.680000000000007</v>
      </c>
      <c r="Y48">
        <v>5962.839876858</v>
      </c>
      <c r="Z48">
        <v>149.4</v>
      </c>
      <c r="AA48">
        <v>40.79</v>
      </c>
      <c r="AB48">
        <v>6676</v>
      </c>
      <c r="AC48">
        <v>845.5</v>
      </c>
      <c r="AD48">
        <v>104.6</v>
      </c>
      <c r="AE48">
        <v>218</v>
      </c>
      <c r="AF48">
        <v>908</v>
      </c>
      <c r="AG48">
        <v>4536</v>
      </c>
      <c r="AH48">
        <v>1242.2</v>
      </c>
      <c r="AI48">
        <v>377.2</v>
      </c>
      <c r="AJ48">
        <v>3.9369999999999998</v>
      </c>
      <c r="AK48">
        <v>386</v>
      </c>
      <c r="AL48">
        <v>605.5</v>
      </c>
      <c r="AM48">
        <v>951</v>
      </c>
      <c r="AN48">
        <v>4861.5</v>
      </c>
      <c r="AO48">
        <v>1204</v>
      </c>
      <c r="AP48">
        <v>480.75</v>
      </c>
    </row>
    <row r="49" spans="2:42" x14ac:dyDescent="0.2">
      <c r="B49" s="3">
        <v>46051</v>
      </c>
      <c r="C49">
        <v>22.19</v>
      </c>
      <c r="D49">
        <v>14.4</v>
      </c>
      <c r="E49">
        <v>585</v>
      </c>
      <c r="F49">
        <v>343.3</v>
      </c>
      <c r="G49">
        <v>99.22</v>
      </c>
      <c r="H49">
        <v>2190</v>
      </c>
      <c r="I49">
        <v>10.220000000000001</v>
      </c>
      <c r="J49">
        <v>149.5</v>
      </c>
      <c r="K49">
        <v>21.38</v>
      </c>
      <c r="L49">
        <v>195.8</v>
      </c>
      <c r="M49">
        <v>308.8</v>
      </c>
      <c r="N49">
        <v>197.5</v>
      </c>
      <c r="O49">
        <v>72</v>
      </c>
      <c r="P49">
        <v>84.55</v>
      </c>
      <c r="Q49">
        <v>67.8</v>
      </c>
      <c r="R49">
        <v>207.15</v>
      </c>
      <c r="S49">
        <v>92.3</v>
      </c>
      <c r="T49">
        <v>29.08</v>
      </c>
      <c r="U49">
        <v>54.9</v>
      </c>
      <c r="V49">
        <v>37.82</v>
      </c>
      <c r="W49" s="3">
        <v>46049</v>
      </c>
      <c r="X49">
        <v>71.28</v>
      </c>
      <c r="Y49">
        <v>5970.8517544220003</v>
      </c>
      <c r="Z49">
        <v>148</v>
      </c>
      <c r="AA49">
        <v>40.51</v>
      </c>
      <c r="AB49">
        <v>6728</v>
      </c>
      <c r="AC49">
        <v>839.5</v>
      </c>
      <c r="AD49">
        <v>105.3</v>
      </c>
      <c r="AE49">
        <v>218.5</v>
      </c>
      <c r="AF49">
        <v>893.2</v>
      </c>
      <c r="AG49">
        <v>4482</v>
      </c>
      <c r="AH49">
        <v>1277.2</v>
      </c>
      <c r="AI49">
        <v>376.6</v>
      </c>
      <c r="AJ49">
        <v>4.0049999999999999</v>
      </c>
      <c r="AK49">
        <v>388</v>
      </c>
      <c r="AL49">
        <v>629.5</v>
      </c>
      <c r="AM49">
        <v>951</v>
      </c>
      <c r="AN49">
        <v>4864.5</v>
      </c>
      <c r="AO49">
        <v>1222.5</v>
      </c>
      <c r="AP49">
        <v>489.8</v>
      </c>
    </row>
    <row r="50" spans="2:42" x14ac:dyDescent="0.2">
      <c r="B50" s="3">
        <v>46052</v>
      </c>
      <c r="C50">
        <v>22.35</v>
      </c>
      <c r="D50">
        <v>14.59</v>
      </c>
      <c r="E50">
        <v>578.6</v>
      </c>
      <c r="F50">
        <v>338</v>
      </c>
      <c r="G50">
        <v>100.45</v>
      </c>
      <c r="H50">
        <v>2158</v>
      </c>
      <c r="I50">
        <v>9.7379999999999995</v>
      </c>
      <c r="J50">
        <v>141.9</v>
      </c>
      <c r="K50">
        <v>21.56</v>
      </c>
      <c r="L50">
        <v>195.6</v>
      </c>
      <c r="M50">
        <v>306.2</v>
      </c>
      <c r="N50">
        <v>196.5</v>
      </c>
      <c r="O50">
        <v>73.62</v>
      </c>
      <c r="P50">
        <v>83.65</v>
      </c>
      <c r="Q50">
        <v>67.040000000000006</v>
      </c>
      <c r="R50">
        <v>205.8</v>
      </c>
      <c r="S50">
        <v>93</v>
      </c>
      <c r="T50">
        <v>28.93</v>
      </c>
      <c r="U50">
        <v>54.05</v>
      </c>
      <c r="V50">
        <v>37.57</v>
      </c>
      <c r="W50" s="3">
        <v>46050</v>
      </c>
      <c r="X50">
        <v>72.260000000000005</v>
      </c>
      <c r="Y50">
        <v>5948.8190911210004</v>
      </c>
      <c r="Z50">
        <v>144.30000000000001</v>
      </c>
      <c r="AA50">
        <v>41.86</v>
      </c>
      <c r="AB50">
        <v>6751</v>
      </c>
      <c r="AC50">
        <v>844.5</v>
      </c>
      <c r="AD50">
        <v>106</v>
      </c>
      <c r="AE50">
        <v>221.5</v>
      </c>
      <c r="AF50">
        <v>886.4</v>
      </c>
      <c r="AG50">
        <v>4492</v>
      </c>
      <c r="AH50">
        <v>1258.5999999999999</v>
      </c>
      <c r="AI50">
        <v>372.5</v>
      </c>
      <c r="AJ50">
        <v>3.98</v>
      </c>
      <c r="AK50">
        <v>385</v>
      </c>
      <c r="AL50">
        <v>633</v>
      </c>
      <c r="AM50">
        <v>952</v>
      </c>
      <c r="AN50">
        <v>4815.5</v>
      </c>
      <c r="AO50">
        <v>1230.5</v>
      </c>
      <c r="AP50">
        <v>479.8</v>
      </c>
    </row>
    <row r="51" spans="2:42" x14ac:dyDescent="0.2">
      <c r="B51" s="3">
        <v>46015</v>
      </c>
      <c r="C51" s="2" t="s">
        <v>5</v>
      </c>
      <c r="D51">
        <v>15.17</v>
      </c>
      <c r="E51" s="2" t="s">
        <v>5</v>
      </c>
      <c r="F51" s="2" t="s">
        <v>5</v>
      </c>
      <c r="G51" s="2" t="s">
        <v>5</v>
      </c>
      <c r="H51">
        <v>2313</v>
      </c>
      <c r="I51" s="2" t="s">
        <v>5</v>
      </c>
      <c r="J51" s="2" t="s">
        <v>5</v>
      </c>
      <c r="K51" s="2" t="s">
        <v>5</v>
      </c>
      <c r="L51" s="2" t="s">
        <v>5</v>
      </c>
      <c r="M51" s="2" t="s">
        <v>5</v>
      </c>
      <c r="N51" s="2" t="s">
        <v>5</v>
      </c>
      <c r="O51" s="2" t="s">
        <v>5</v>
      </c>
      <c r="P51" s="2" t="s">
        <v>5</v>
      </c>
      <c r="Q51" s="2" t="s">
        <v>5</v>
      </c>
      <c r="R51" s="2" t="s">
        <v>5</v>
      </c>
      <c r="S51">
        <v>92.3</v>
      </c>
      <c r="T51" s="2" t="s">
        <v>5</v>
      </c>
      <c r="U51" s="2" t="s">
        <v>5</v>
      </c>
      <c r="V51" s="2" t="s">
        <v>5</v>
      </c>
      <c r="W51" s="3">
        <v>46051</v>
      </c>
      <c r="X51">
        <v>70.66</v>
      </c>
      <c r="Y51">
        <v>6000.8962952860002</v>
      </c>
      <c r="Z51">
        <v>142.9</v>
      </c>
      <c r="AA51">
        <v>40.75</v>
      </c>
      <c r="AB51">
        <v>6849</v>
      </c>
      <c r="AC51">
        <v>837.5</v>
      </c>
      <c r="AD51">
        <v>104.3</v>
      </c>
      <c r="AE51">
        <v>226</v>
      </c>
      <c r="AF51">
        <v>876.6</v>
      </c>
      <c r="AG51">
        <v>4454</v>
      </c>
      <c r="AH51">
        <v>1270</v>
      </c>
      <c r="AI51">
        <v>371.6</v>
      </c>
      <c r="AJ51">
        <v>4.0910000000000002</v>
      </c>
      <c r="AK51">
        <v>391</v>
      </c>
      <c r="AL51">
        <v>632</v>
      </c>
      <c r="AM51">
        <v>945.5</v>
      </c>
      <c r="AN51">
        <v>4867.5</v>
      </c>
      <c r="AO51">
        <v>1230</v>
      </c>
      <c r="AP51">
        <v>479.6</v>
      </c>
    </row>
    <row r="52" spans="2:42" x14ac:dyDescent="0.2">
      <c r="B52" s="3">
        <v>46022</v>
      </c>
      <c r="C52" s="2" t="s">
        <v>5</v>
      </c>
      <c r="D52">
        <v>15.17</v>
      </c>
      <c r="E52" s="2" t="s">
        <v>5</v>
      </c>
      <c r="F52" s="2" t="s">
        <v>5</v>
      </c>
      <c r="G52" s="2" t="s">
        <v>5</v>
      </c>
      <c r="H52">
        <v>2268</v>
      </c>
      <c r="I52" s="2" t="s">
        <v>5</v>
      </c>
      <c r="J52" s="2" t="s">
        <v>5</v>
      </c>
      <c r="K52" s="2" t="s">
        <v>5</v>
      </c>
      <c r="L52" s="2" t="s">
        <v>5</v>
      </c>
      <c r="M52" s="2" t="s">
        <v>5</v>
      </c>
      <c r="N52" s="2" t="s">
        <v>5</v>
      </c>
      <c r="O52" s="2" t="s">
        <v>5</v>
      </c>
      <c r="P52" s="2" t="s">
        <v>5</v>
      </c>
      <c r="Q52" s="2" t="s">
        <v>5</v>
      </c>
      <c r="R52" s="2" t="s">
        <v>5</v>
      </c>
      <c r="S52">
        <v>92.76</v>
      </c>
      <c r="T52" s="2" t="s">
        <v>5</v>
      </c>
      <c r="U52" s="2" t="s">
        <v>5</v>
      </c>
      <c r="V52" s="2" t="s">
        <v>5</v>
      </c>
      <c r="W52" s="3">
        <v>46052</v>
      </c>
      <c r="X52">
        <v>71.02</v>
      </c>
      <c r="Y52">
        <v>6101.0447648339996</v>
      </c>
      <c r="Z52">
        <v>143.9</v>
      </c>
      <c r="AA52">
        <v>40.96</v>
      </c>
      <c r="AB52">
        <v>6738</v>
      </c>
      <c r="AC52">
        <v>837</v>
      </c>
      <c r="AD52">
        <v>103.6</v>
      </c>
      <c r="AE52">
        <v>226</v>
      </c>
      <c r="AF52">
        <v>880</v>
      </c>
      <c r="AG52">
        <v>4464</v>
      </c>
      <c r="AH52">
        <v>1285.4000000000001</v>
      </c>
      <c r="AI52">
        <v>378.9</v>
      </c>
      <c r="AJ52">
        <v>4.1079999999999997</v>
      </c>
      <c r="AK52">
        <v>389</v>
      </c>
      <c r="AL52">
        <v>633.5</v>
      </c>
      <c r="AM52">
        <v>943</v>
      </c>
      <c r="AN52">
        <v>4940.5</v>
      </c>
      <c r="AO52">
        <v>1234.5</v>
      </c>
      <c r="AP52">
        <v>486.2</v>
      </c>
    </row>
    <row r="53" spans="2:42" x14ac:dyDescent="0.2">
      <c r="B53" s="3"/>
      <c r="W53" s="3"/>
    </row>
    <row r="54" spans="2:42" x14ac:dyDescent="0.2">
      <c r="B54" s="3"/>
      <c r="W54" s="3"/>
    </row>
    <row r="55" spans="2:42" x14ac:dyDescent="0.2">
      <c r="B55" s="3"/>
      <c r="W55" s="3"/>
    </row>
    <row r="56" spans="2:42" x14ac:dyDescent="0.2">
      <c r="B56" s="3"/>
      <c r="W56" s="3"/>
    </row>
    <row r="57" spans="2:42" x14ac:dyDescent="0.2">
      <c r="B57" s="3"/>
      <c r="W57" s="3"/>
    </row>
    <row r="58" spans="2:42" x14ac:dyDescent="0.2">
      <c r="B58" s="3"/>
      <c r="W58" s="3"/>
    </row>
    <row r="59" spans="2:42" x14ac:dyDescent="0.2">
      <c r="B59" s="3"/>
      <c r="W59" s="3"/>
    </row>
    <row r="60" spans="2:42" x14ac:dyDescent="0.2">
      <c r="B60" s="3"/>
      <c r="W60" s="3"/>
    </row>
    <row r="61" spans="2:42" x14ac:dyDescent="0.2">
      <c r="B61" s="3"/>
      <c r="W61" s="3"/>
    </row>
    <row r="62" spans="2:42" x14ac:dyDescent="0.2">
      <c r="B62" s="3"/>
      <c r="W62" s="3"/>
    </row>
    <row r="63" spans="2:42" x14ac:dyDescent="0.2">
      <c r="B63" s="3"/>
      <c r="W63" s="3"/>
    </row>
    <row r="64" spans="2:42" x14ac:dyDescent="0.2">
      <c r="B64" s="3"/>
      <c r="W64" s="3"/>
    </row>
    <row r="65" spans="2:42" x14ac:dyDescent="0.2">
      <c r="B65" s="3"/>
      <c r="W65" s="3"/>
    </row>
    <row r="66" spans="2:42" x14ac:dyDescent="0.2">
      <c r="B66" s="3"/>
      <c r="W66" s="3"/>
    </row>
    <row r="67" spans="2:42" x14ac:dyDescent="0.2">
      <c r="B67" s="3"/>
      <c r="W67" s="3"/>
    </row>
    <row r="68" spans="2:42" x14ac:dyDescent="0.2">
      <c r="B68" s="3"/>
      <c r="W68" s="3"/>
    </row>
    <row r="69" spans="2:42" x14ac:dyDescent="0.2">
      <c r="B69" s="3"/>
      <c r="H69" s="2"/>
      <c r="W69" s="3"/>
      <c r="Y69" s="2"/>
      <c r="AB69" s="2"/>
      <c r="AC69" s="2"/>
      <c r="AD69" s="2"/>
      <c r="AF69" s="2"/>
      <c r="AG69" s="2"/>
      <c r="AH69" s="2"/>
      <c r="AI69" s="2"/>
      <c r="AM69" s="2"/>
      <c r="AN69" s="2"/>
      <c r="AO69" s="2"/>
      <c r="AP69" s="2"/>
    </row>
    <row r="70" spans="2:42" x14ac:dyDescent="0.2">
      <c r="B70" s="3"/>
      <c r="W70" s="3"/>
    </row>
    <row r="71" spans="2:42" x14ac:dyDescent="0.2">
      <c r="B71" s="3"/>
      <c r="W71" s="3"/>
    </row>
    <row r="72" spans="2:42" x14ac:dyDescent="0.2">
      <c r="B72" s="3"/>
      <c r="J72" s="2"/>
      <c r="K72" s="2"/>
      <c r="W72" s="3"/>
      <c r="Y72" s="2"/>
      <c r="AB72" s="2"/>
      <c r="AE72" s="2"/>
      <c r="AF72" s="2"/>
      <c r="AI72" s="2"/>
    </row>
    <row r="73" spans="2:42" x14ac:dyDescent="0.2">
      <c r="B73" s="3"/>
      <c r="W73" s="3"/>
    </row>
    <row r="74" spans="2:42" x14ac:dyDescent="0.2">
      <c r="B74" s="3"/>
      <c r="W74" s="3"/>
    </row>
    <row r="75" spans="2:42" x14ac:dyDescent="0.2">
      <c r="B75" s="3"/>
      <c r="W75" s="3"/>
    </row>
    <row r="76" spans="2:42" x14ac:dyDescent="0.2">
      <c r="B76" s="3"/>
      <c r="W76" s="3"/>
    </row>
    <row r="77" spans="2:42" x14ac:dyDescent="0.2">
      <c r="B77" s="3"/>
      <c r="W77" s="3"/>
    </row>
    <row r="78" spans="2:42" x14ac:dyDescent="0.2">
      <c r="B78" s="3"/>
      <c r="W78" s="3"/>
    </row>
    <row r="79" spans="2:42" x14ac:dyDescent="0.2">
      <c r="B79" s="3"/>
      <c r="W79" s="3"/>
    </row>
    <row r="80" spans="2:42" x14ac:dyDescent="0.2">
      <c r="B80" s="3"/>
      <c r="W80" s="3"/>
    </row>
    <row r="81" spans="2:38" x14ac:dyDescent="0.2">
      <c r="B81" s="3"/>
      <c r="W81" s="3"/>
    </row>
    <row r="82" spans="2:38" x14ac:dyDescent="0.2">
      <c r="B82" s="3"/>
      <c r="F82" s="2"/>
      <c r="G82" s="2"/>
      <c r="H82" s="2"/>
      <c r="R82" s="2"/>
      <c r="S82" s="2"/>
      <c r="T82" s="2"/>
      <c r="W82" s="3"/>
      <c r="AA82" s="2"/>
    </row>
    <row r="83" spans="2:38" x14ac:dyDescent="0.2">
      <c r="B83" s="3"/>
      <c r="W83" s="3"/>
    </row>
    <row r="84" spans="2:38" x14ac:dyDescent="0.2">
      <c r="B84" s="3"/>
      <c r="W84" s="3"/>
    </row>
    <row r="85" spans="2:38" x14ac:dyDescent="0.2">
      <c r="B85" s="3"/>
      <c r="W85" s="3"/>
      <c r="Z85" s="2"/>
      <c r="AE85" s="2"/>
      <c r="AK85" s="2"/>
      <c r="AL85" s="2"/>
    </row>
    <row r="86" spans="2:38" x14ac:dyDescent="0.2">
      <c r="B86" s="3"/>
      <c r="W86" s="3"/>
    </row>
    <row r="87" spans="2:38" x14ac:dyDescent="0.2">
      <c r="B87" s="3"/>
      <c r="W87" s="3"/>
    </row>
    <row r="88" spans="2:38" x14ac:dyDescent="0.2">
      <c r="B88" s="3"/>
      <c r="W88" s="3"/>
    </row>
    <row r="89" spans="2:38" x14ac:dyDescent="0.2">
      <c r="B89" s="3"/>
      <c r="W89" s="3"/>
    </row>
    <row r="90" spans="2:38" x14ac:dyDescent="0.2">
      <c r="B90" s="3"/>
      <c r="W90" s="3"/>
    </row>
    <row r="91" spans="2:38" x14ac:dyDescent="0.2">
      <c r="B91" s="3"/>
      <c r="W91" s="3"/>
    </row>
    <row r="92" spans="2:38" x14ac:dyDescent="0.2">
      <c r="B92" s="3"/>
      <c r="W92" s="3"/>
    </row>
    <row r="93" spans="2:38" x14ac:dyDescent="0.2">
      <c r="B93" s="3"/>
      <c r="W93" s="3"/>
    </row>
    <row r="94" spans="2:38" x14ac:dyDescent="0.2">
      <c r="B94" s="3"/>
      <c r="W94" s="3"/>
    </row>
    <row r="95" spans="2:38" x14ac:dyDescent="0.2">
      <c r="B95" s="3"/>
      <c r="W95" s="3"/>
    </row>
    <row r="96" spans="2:38" x14ac:dyDescent="0.2">
      <c r="B96" s="3"/>
      <c r="W96" s="3"/>
    </row>
    <row r="97" spans="2:23" x14ac:dyDescent="0.2">
      <c r="B97" s="3"/>
      <c r="W97" s="3"/>
    </row>
    <row r="98" spans="2:23" x14ac:dyDescent="0.2">
      <c r="B98" s="3"/>
      <c r="W98" s="3"/>
    </row>
    <row r="99" spans="2:23" x14ac:dyDescent="0.2">
      <c r="B99" s="3"/>
      <c r="W99" s="3"/>
    </row>
    <row r="100" spans="2:23" x14ac:dyDescent="0.2">
      <c r="B100" s="3"/>
      <c r="W100" s="3"/>
    </row>
    <row r="101" spans="2:23" x14ac:dyDescent="0.2">
      <c r="B101" s="3"/>
      <c r="W101" s="3"/>
    </row>
    <row r="102" spans="2:23" x14ac:dyDescent="0.2">
      <c r="B102" s="3"/>
      <c r="W102" s="3"/>
    </row>
    <row r="103" spans="2:23" x14ac:dyDescent="0.2">
      <c r="B103" s="3"/>
      <c r="W103" s="3"/>
    </row>
    <row r="104" spans="2:23" x14ac:dyDescent="0.2">
      <c r="B104" s="3"/>
      <c r="W104" s="3"/>
    </row>
    <row r="105" spans="2:23" x14ac:dyDescent="0.2">
      <c r="B105" s="3"/>
      <c r="W105" s="3"/>
    </row>
    <row r="106" spans="2:23" x14ac:dyDescent="0.2">
      <c r="B106" s="3"/>
      <c r="W106" s="3"/>
    </row>
    <row r="107" spans="2:23" x14ac:dyDescent="0.2">
      <c r="B107" s="3"/>
      <c r="W107" s="3"/>
    </row>
    <row r="108" spans="2:23" x14ac:dyDescent="0.2">
      <c r="B108" s="3"/>
      <c r="W108" s="3"/>
    </row>
    <row r="109" spans="2:23" x14ac:dyDescent="0.2">
      <c r="B109" s="3"/>
      <c r="W109" s="3"/>
    </row>
    <row r="110" spans="2:23" x14ac:dyDescent="0.2">
      <c r="B110" s="3"/>
      <c r="W110" s="3"/>
    </row>
    <row r="111" spans="2:23" x14ac:dyDescent="0.2">
      <c r="B111" s="3"/>
      <c r="W111" s="3"/>
    </row>
    <row r="112" spans="2:23" x14ac:dyDescent="0.2">
      <c r="B112" s="3"/>
      <c r="W112" s="3"/>
    </row>
    <row r="113" spans="2:38" x14ac:dyDescent="0.2">
      <c r="B113" s="3"/>
      <c r="W113" s="3"/>
    </row>
    <row r="114" spans="2:38" x14ac:dyDescent="0.2">
      <c r="B114" s="3"/>
      <c r="E114" s="2"/>
      <c r="F114" s="2"/>
      <c r="I114" s="2"/>
      <c r="J114" s="2"/>
      <c r="K114" s="2"/>
      <c r="L114" s="2"/>
      <c r="M114" s="2"/>
      <c r="N114" s="2"/>
      <c r="O114" s="2"/>
      <c r="Q114" s="2"/>
      <c r="R114" s="2"/>
      <c r="T114" s="2"/>
      <c r="W114" s="3"/>
    </row>
    <row r="115" spans="2:38" x14ac:dyDescent="0.2">
      <c r="B115" s="3"/>
      <c r="V115" s="2"/>
      <c r="W115" s="3"/>
    </row>
    <row r="116" spans="2:38" x14ac:dyDescent="0.2">
      <c r="B116" s="3"/>
      <c r="W116" s="3"/>
    </row>
    <row r="117" spans="2:38" x14ac:dyDescent="0.2">
      <c r="B117" s="3"/>
      <c r="W117" s="3"/>
    </row>
    <row r="118" spans="2:38" x14ac:dyDescent="0.2">
      <c r="B118" s="3"/>
      <c r="W118" s="3"/>
    </row>
    <row r="119" spans="2:38" x14ac:dyDescent="0.2">
      <c r="B119" s="3"/>
      <c r="W119" s="3"/>
    </row>
    <row r="120" spans="2:38" x14ac:dyDescent="0.2">
      <c r="B120" s="3"/>
      <c r="W120" s="3"/>
    </row>
    <row r="121" spans="2:38" x14ac:dyDescent="0.2">
      <c r="B121" s="3"/>
      <c r="W121" s="3"/>
    </row>
    <row r="122" spans="2:38" x14ac:dyDescent="0.2">
      <c r="B122" s="3"/>
      <c r="W122" s="3"/>
    </row>
    <row r="123" spans="2:38" x14ac:dyDescent="0.2">
      <c r="B123" s="3"/>
      <c r="W123" s="3"/>
    </row>
    <row r="124" spans="2:38" x14ac:dyDescent="0.2">
      <c r="B124" s="3"/>
      <c r="E124" s="2"/>
      <c r="F124" s="2"/>
      <c r="J124" s="2"/>
      <c r="L124" s="2"/>
      <c r="M124" s="2"/>
      <c r="N124" s="2"/>
      <c r="O124" s="2"/>
      <c r="Q124" s="2"/>
      <c r="R124" s="2"/>
      <c r="W124" s="3"/>
      <c r="Z124" s="2"/>
      <c r="AE124" s="2"/>
      <c r="AK124" s="2"/>
      <c r="AL124" s="2"/>
    </row>
    <row r="125" spans="2:38" x14ac:dyDescent="0.2">
      <c r="B125" s="3"/>
      <c r="W125" s="3"/>
    </row>
    <row r="126" spans="2:38" x14ac:dyDescent="0.2">
      <c r="B126" s="3"/>
      <c r="W126" s="3"/>
    </row>
    <row r="127" spans="2:38" x14ac:dyDescent="0.2">
      <c r="B127" s="3"/>
      <c r="W127" s="3"/>
    </row>
    <row r="128" spans="2:38" x14ac:dyDescent="0.2">
      <c r="B128" s="3"/>
      <c r="W128" s="3"/>
    </row>
    <row r="129" spans="2:42" x14ac:dyDescent="0.2">
      <c r="B129" s="3"/>
      <c r="W129" s="3"/>
    </row>
    <row r="130" spans="2:42" x14ac:dyDescent="0.2">
      <c r="B130" s="3"/>
      <c r="E130" s="2"/>
      <c r="F130" s="2"/>
      <c r="I130" s="2"/>
      <c r="J130" s="2"/>
      <c r="K130" s="2"/>
      <c r="L130" s="2"/>
      <c r="M130" s="2"/>
      <c r="N130" s="2"/>
      <c r="O130" s="2"/>
      <c r="Q130" s="2"/>
      <c r="R130" s="2"/>
      <c r="T130" s="2"/>
      <c r="W130" s="3"/>
    </row>
    <row r="131" spans="2:42" x14ac:dyDescent="0.2">
      <c r="B131" s="3"/>
      <c r="W131" s="3"/>
      <c r="Z131" s="2"/>
      <c r="AE131" s="2"/>
      <c r="AK131" s="2"/>
      <c r="AL131" s="2"/>
    </row>
    <row r="132" spans="2:42" x14ac:dyDescent="0.2">
      <c r="B132" s="3"/>
      <c r="W132" s="3"/>
    </row>
    <row r="133" spans="2:42" x14ac:dyDescent="0.2">
      <c r="B133" s="3"/>
      <c r="H133" s="2"/>
      <c r="W133" s="3"/>
    </row>
    <row r="134" spans="2:42" x14ac:dyDescent="0.2">
      <c r="B134" s="3"/>
      <c r="W134" s="3"/>
      <c r="Y134" s="2"/>
      <c r="AB134" s="2"/>
      <c r="AC134" s="2"/>
      <c r="AD134" s="2"/>
      <c r="AF134" s="2"/>
      <c r="AG134" s="2"/>
      <c r="AH134" s="2"/>
      <c r="AI134" s="2"/>
      <c r="AM134" s="2"/>
      <c r="AN134" s="2"/>
      <c r="AO134" s="2"/>
      <c r="AP134" s="2"/>
    </row>
    <row r="135" spans="2:42" x14ac:dyDescent="0.2">
      <c r="B135" s="3"/>
      <c r="W135" s="3"/>
    </row>
    <row r="136" spans="2:42" x14ac:dyDescent="0.2">
      <c r="B136" s="3"/>
      <c r="W136" s="3"/>
    </row>
    <row r="137" spans="2:42" x14ac:dyDescent="0.2">
      <c r="B137" s="3"/>
      <c r="W137" s="3"/>
    </row>
    <row r="138" spans="2:42" x14ac:dyDescent="0.2">
      <c r="B138" s="3"/>
      <c r="W138" s="3"/>
    </row>
    <row r="139" spans="2:42" x14ac:dyDescent="0.2">
      <c r="B139" s="3"/>
      <c r="W139" s="3"/>
    </row>
    <row r="140" spans="2:42" x14ac:dyDescent="0.2">
      <c r="B140" s="3"/>
      <c r="W140" s="3"/>
    </row>
    <row r="141" spans="2:42" x14ac:dyDescent="0.2">
      <c r="B141" s="3"/>
      <c r="W141" s="3"/>
    </row>
    <row r="142" spans="2:42" x14ac:dyDescent="0.2">
      <c r="B142" s="3"/>
      <c r="W142" s="3"/>
    </row>
    <row r="143" spans="2:42" x14ac:dyDescent="0.2">
      <c r="B143" s="3"/>
      <c r="G143" s="2"/>
      <c r="R143" s="2"/>
      <c r="T143" s="2"/>
      <c r="W143" s="3"/>
    </row>
    <row r="144" spans="2:42" x14ac:dyDescent="0.2">
      <c r="B144" s="3"/>
      <c r="W144" s="3"/>
    </row>
    <row r="145" spans="2:42" x14ac:dyDescent="0.2">
      <c r="B145" s="3"/>
      <c r="W145" s="3"/>
    </row>
    <row r="146" spans="2:42" x14ac:dyDescent="0.2">
      <c r="B146" s="3"/>
      <c r="W146" s="3"/>
    </row>
    <row r="147" spans="2:42" x14ac:dyDescent="0.2">
      <c r="B147" s="3"/>
      <c r="W147" s="3"/>
    </row>
    <row r="148" spans="2:42" x14ac:dyDescent="0.2">
      <c r="B148" s="3"/>
      <c r="H148" s="2"/>
      <c r="W148" s="3"/>
    </row>
    <row r="149" spans="2:42" x14ac:dyDescent="0.2">
      <c r="B149" s="3"/>
      <c r="W149" s="3"/>
      <c r="Y149" s="2"/>
      <c r="AB149" s="2"/>
      <c r="AC149" s="2"/>
      <c r="AD149" s="2"/>
      <c r="AF149" s="2"/>
      <c r="AG149" s="2"/>
      <c r="AH149" s="2"/>
      <c r="AI149" s="2"/>
      <c r="AM149" s="2"/>
      <c r="AN149" s="2"/>
      <c r="AO149" s="2"/>
      <c r="AP149" s="2"/>
    </row>
    <row r="150" spans="2:42" x14ac:dyDescent="0.2">
      <c r="B150" s="3"/>
      <c r="W150" s="3"/>
    </row>
    <row r="151" spans="2:42" x14ac:dyDescent="0.2">
      <c r="B151" s="3"/>
      <c r="W151" s="3"/>
    </row>
    <row r="152" spans="2:42" x14ac:dyDescent="0.2">
      <c r="B152" s="7"/>
      <c r="C152" s="2"/>
      <c r="L152" s="2"/>
      <c r="O152" s="2"/>
      <c r="P152" s="2"/>
      <c r="W152" s="3"/>
      <c r="X152" s="2"/>
      <c r="AG152" s="2"/>
      <c r="AH152" s="2"/>
      <c r="AM152" s="2"/>
      <c r="AN152" s="2"/>
      <c r="AO152" s="2"/>
    </row>
    <row r="153" spans="2:42" x14ac:dyDescent="0.2">
      <c r="B153" s="7"/>
      <c r="C153" s="2"/>
      <c r="L153" s="2"/>
      <c r="P153" s="2"/>
      <c r="W153" s="3"/>
      <c r="X153" s="2"/>
      <c r="AG153" s="2"/>
      <c r="AH153" s="2"/>
      <c r="AM153" s="2"/>
      <c r="AN153" s="2"/>
      <c r="AO153" s="2"/>
    </row>
    <row r="154" spans="2:42" x14ac:dyDescent="0.2">
      <c r="B154" s="7"/>
      <c r="C154" s="2"/>
      <c r="L154" s="2"/>
      <c r="P154" s="2"/>
      <c r="W154" s="3"/>
      <c r="X154" s="2"/>
      <c r="AG154" s="2"/>
      <c r="AH154" s="2"/>
      <c r="AM154" s="2"/>
      <c r="AN154" s="2"/>
      <c r="AO154" s="2"/>
    </row>
    <row r="155" spans="2:42" x14ac:dyDescent="0.2">
      <c r="B155" s="7"/>
      <c r="W155" s="3"/>
    </row>
    <row r="156" spans="2:42" x14ac:dyDescent="0.2">
      <c r="B156" s="7"/>
      <c r="W156" s="3"/>
    </row>
    <row r="157" spans="2:42" x14ac:dyDescent="0.2">
      <c r="B157" s="7"/>
      <c r="W157" s="3"/>
    </row>
    <row r="158" spans="2:42" x14ac:dyDescent="0.2">
      <c r="B158" s="7"/>
      <c r="W158" s="3"/>
    </row>
    <row r="159" spans="2:42" x14ac:dyDescent="0.2">
      <c r="B159" s="7"/>
      <c r="W159" s="3"/>
    </row>
    <row r="160" spans="2:42" x14ac:dyDescent="0.2">
      <c r="B160" s="7"/>
      <c r="W160" s="3"/>
    </row>
    <row r="161" spans="1:26" x14ac:dyDescent="0.2">
      <c r="B161" s="7"/>
      <c r="W161" s="3"/>
    </row>
    <row r="162" spans="1:26" x14ac:dyDescent="0.2">
      <c r="B162" s="7"/>
      <c r="W162" s="3"/>
    </row>
    <row r="163" spans="1:26" x14ac:dyDescent="0.2">
      <c r="B163" s="7"/>
      <c r="W163" s="3"/>
    </row>
    <row r="164" spans="1:26" x14ac:dyDescent="0.2">
      <c r="B164" s="7"/>
      <c r="W164" s="3"/>
    </row>
    <row r="165" spans="1:26" x14ac:dyDescent="0.2">
      <c r="B165" s="7"/>
      <c r="W165" s="3"/>
    </row>
    <row r="166" spans="1:26" x14ac:dyDescent="0.2">
      <c r="B166" s="3"/>
      <c r="W166" s="3"/>
    </row>
    <row r="167" spans="1:26" x14ac:dyDescent="0.2">
      <c r="B167" s="3"/>
      <c r="W167" s="3"/>
    </row>
    <row r="168" spans="1:26" x14ac:dyDescent="0.2">
      <c r="B168" s="3"/>
      <c r="W168" s="3"/>
    </row>
    <row r="169" spans="1:26" x14ac:dyDescent="0.2">
      <c r="B169" s="3"/>
      <c r="W169" s="3"/>
    </row>
    <row r="170" spans="1:26" ht="16" x14ac:dyDescent="0.2">
      <c r="A170" s="8"/>
      <c r="B170" s="3"/>
      <c r="W170" s="3"/>
    </row>
    <row r="171" spans="1:26" ht="16" x14ac:dyDescent="0.2">
      <c r="A171" s="8"/>
      <c r="B171" s="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7"/>
      <c r="X171" s="2"/>
      <c r="Y171" s="2"/>
      <c r="Z171" s="2"/>
    </row>
    <row r="172" spans="1:26" ht="16" x14ac:dyDescent="0.2">
      <c r="A172" s="8"/>
      <c r="B172" s="3"/>
      <c r="F172" s="3"/>
      <c r="W172" s="3"/>
    </row>
    <row r="173" spans="1:26" ht="16" x14ac:dyDescent="0.2">
      <c r="A173" s="8"/>
      <c r="B173" s="3"/>
      <c r="F173" s="3"/>
      <c r="W173" s="3"/>
    </row>
    <row r="174" spans="1:26" ht="16" x14ac:dyDescent="0.2">
      <c r="A174" s="8"/>
      <c r="B174" s="3"/>
      <c r="F174" s="3"/>
      <c r="W174" s="3"/>
    </row>
    <row r="175" spans="1:26" ht="16" x14ac:dyDescent="0.2">
      <c r="A175" s="8"/>
      <c r="B175" s="3"/>
      <c r="F175" s="3"/>
      <c r="W175" s="3"/>
    </row>
    <row r="176" spans="1:26" ht="16" x14ac:dyDescent="0.2">
      <c r="A176" s="8"/>
      <c r="B176" s="3"/>
      <c r="F176" s="3"/>
      <c r="W176" s="3"/>
    </row>
    <row r="177" spans="1:23" ht="16" x14ac:dyDescent="0.2">
      <c r="A177" s="8"/>
      <c r="B177" s="3"/>
      <c r="F177" s="3"/>
      <c r="W177" s="3"/>
    </row>
    <row r="178" spans="1:23" ht="16" x14ac:dyDescent="0.2">
      <c r="A178" s="8"/>
      <c r="B178" s="3"/>
      <c r="F178" s="3"/>
      <c r="W178" s="3"/>
    </row>
    <row r="179" spans="1:23" ht="16" x14ac:dyDescent="0.2">
      <c r="A179" s="8"/>
      <c r="B179" s="3"/>
      <c r="F179" s="3"/>
      <c r="W179" s="3"/>
    </row>
    <row r="180" spans="1:23" ht="16" x14ac:dyDescent="0.2">
      <c r="A180" s="8"/>
      <c r="B180" s="3"/>
      <c r="F180" s="3"/>
      <c r="W180" s="3"/>
    </row>
    <row r="181" spans="1:23" ht="16" x14ac:dyDescent="0.2">
      <c r="A181" s="8"/>
      <c r="B181" s="3"/>
      <c r="F181" s="3"/>
      <c r="W181" s="3"/>
    </row>
    <row r="182" spans="1:23" ht="16" x14ac:dyDescent="0.2">
      <c r="A182" s="8"/>
      <c r="B182" s="3"/>
      <c r="F182" s="3"/>
      <c r="W182" s="3"/>
    </row>
    <row r="183" spans="1:23" ht="16" x14ac:dyDescent="0.2">
      <c r="A183" s="8"/>
      <c r="B183" s="3"/>
      <c r="F183" s="3"/>
      <c r="W183" s="3"/>
    </row>
    <row r="184" spans="1:23" ht="16" x14ac:dyDescent="0.2">
      <c r="A184" s="8"/>
      <c r="B184" s="3"/>
      <c r="F184" s="3"/>
      <c r="W184" s="3"/>
    </row>
    <row r="185" spans="1:23" ht="16" x14ac:dyDescent="0.2">
      <c r="A185" s="8"/>
      <c r="B185" s="3"/>
      <c r="F185" s="3"/>
      <c r="W185" s="3"/>
    </row>
    <row r="186" spans="1:23" ht="16" x14ac:dyDescent="0.2">
      <c r="A186" s="8"/>
      <c r="B186" s="3"/>
      <c r="F186" s="3"/>
      <c r="W186" s="3"/>
    </row>
    <row r="187" spans="1:23" ht="16" x14ac:dyDescent="0.2">
      <c r="A187" s="8"/>
      <c r="B187" s="3"/>
      <c r="F187" s="3"/>
      <c r="W187" s="3"/>
    </row>
    <row r="188" spans="1:23" ht="16" x14ac:dyDescent="0.2">
      <c r="A188" s="8"/>
      <c r="B188" s="3"/>
      <c r="F188" s="3"/>
      <c r="W188" s="3"/>
    </row>
    <row r="189" spans="1:23" ht="16" x14ac:dyDescent="0.2">
      <c r="A189" s="8"/>
      <c r="B189" s="3"/>
      <c r="F189" s="3"/>
      <c r="W189" s="3"/>
    </row>
    <row r="190" spans="1:23" x14ac:dyDescent="0.2">
      <c r="B190" s="3"/>
      <c r="F190" s="3"/>
      <c r="W190" s="3"/>
    </row>
    <row r="191" spans="1:23" x14ac:dyDescent="0.2">
      <c r="B191" s="3"/>
      <c r="F191" s="3"/>
      <c r="W191" s="3"/>
    </row>
    <row r="192" spans="1:23" x14ac:dyDescent="0.2">
      <c r="B192" s="3"/>
      <c r="F192" s="3"/>
      <c r="W192" s="3"/>
    </row>
    <row r="193" spans="2:23" x14ac:dyDescent="0.2">
      <c r="B193" s="3"/>
      <c r="F193" s="3"/>
      <c r="W193" s="3"/>
    </row>
    <row r="194" spans="2:23" x14ac:dyDescent="0.2">
      <c r="B194" s="3"/>
      <c r="F194" s="3"/>
      <c r="W194" s="3"/>
    </row>
    <row r="195" spans="2:23" x14ac:dyDescent="0.2">
      <c r="B195" s="3"/>
      <c r="F195" s="3"/>
      <c r="W195" s="3"/>
    </row>
    <row r="196" spans="2:23" x14ac:dyDescent="0.2">
      <c r="B196" s="3"/>
      <c r="F196" s="3"/>
      <c r="W196" s="3"/>
    </row>
    <row r="197" spans="2:23" x14ac:dyDescent="0.2">
      <c r="B197" s="3"/>
      <c r="F197" s="3"/>
      <c r="W197" s="3"/>
    </row>
    <row r="198" spans="2:23" x14ac:dyDescent="0.2">
      <c r="B198" s="3"/>
      <c r="F198" s="3"/>
      <c r="W198" s="3"/>
    </row>
    <row r="199" spans="2:23" x14ac:dyDescent="0.2">
      <c r="B199" s="3"/>
      <c r="F199" s="3"/>
      <c r="W199" s="3"/>
    </row>
    <row r="200" spans="2:23" x14ac:dyDescent="0.2">
      <c r="B200" s="3"/>
      <c r="F200" s="3"/>
      <c r="W200" s="3"/>
    </row>
    <row r="201" spans="2:23" x14ac:dyDescent="0.2">
      <c r="B201" s="3"/>
      <c r="F201" s="3"/>
      <c r="W201" s="3"/>
    </row>
    <row r="202" spans="2:23" x14ac:dyDescent="0.2">
      <c r="B202" s="3"/>
      <c r="F202" s="3"/>
      <c r="W202" s="3"/>
    </row>
    <row r="203" spans="2:23" x14ac:dyDescent="0.2">
      <c r="B203" s="3"/>
      <c r="F203" s="3"/>
      <c r="W203" s="3"/>
    </row>
    <row r="204" spans="2:23" x14ac:dyDescent="0.2">
      <c r="B204" s="3"/>
      <c r="F204" s="3"/>
      <c r="W204" s="3"/>
    </row>
    <row r="205" spans="2:23" x14ac:dyDescent="0.2">
      <c r="B205" s="3"/>
      <c r="F205" s="3"/>
      <c r="W205" s="3"/>
    </row>
    <row r="206" spans="2:23" x14ac:dyDescent="0.2">
      <c r="B206" s="3"/>
      <c r="F206" s="3"/>
      <c r="W206" s="3"/>
    </row>
    <row r="207" spans="2:23" x14ac:dyDescent="0.2">
      <c r="B207" s="3"/>
      <c r="F207" s="3"/>
      <c r="W207" s="3"/>
    </row>
    <row r="208" spans="2:23" x14ac:dyDescent="0.2">
      <c r="B208" s="3"/>
      <c r="F208" s="3"/>
      <c r="W208" s="3"/>
    </row>
    <row r="209" spans="2:38" x14ac:dyDescent="0.2">
      <c r="B209" s="3"/>
      <c r="F209" s="3"/>
      <c r="W209" s="3"/>
    </row>
    <row r="210" spans="2:38" x14ac:dyDescent="0.2">
      <c r="B210" s="3"/>
      <c r="F210" s="3"/>
      <c r="W210" s="3"/>
    </row>
    <row r="211" spans="2:38" x14ac:dyDescent="0.2">
      <c r="B211" s="3"/>
      <c r="F211" s="3"/>
      <c r="W211" s="3"/>
    </row>
    <row r="212" spans="2:38" x14ac:dyDescent="0.2">
      <c r="B212" s="3"/>
      <c r="C212" s="2"/>
      <c r="F212" s="3"/>
      <c r="G212" s="2"/>
      <c r="V212" s="2"/>
      <c r="W212" s="3"/>
    </row>
    <row r="213" spans="2:38" x14ac:dyDescent="0.2">
      <c r="B213" s="3"/>
      <c r="C213" s="2"/>
      <c r="D213" s="2"/>
      <c r="E213" s="2"/>
      <c r="F213" s="27"/>
      <c r="G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3"/>
      <c r="X213" s="2"/>
      <c r="Z213" s="2"/>
      <c r="AA213" s="2"/>
      <c r="AE213" s="2"/>
      <c r="AJ213" s="2"/>
      <c r="AK213" s="2"/>
      <c r="AL213" s="2"/>
    </row>
    <row r="214" spans="2:38" x14ac:dyDescent="0.2">
      <c r="F214" s="3"/>
    </row>
    <row r="215" spans="2:38" x14ac:dyDescent="0.2">
      <c r="F215" s="3"/>
    </row>
    <row r="216" spans="2:38" x14ac:dyDescent="0.2">
      <c r="F216" s="3"/>
    </row>
    <row r="217" spans="2:38" x14ac:dyDescent="0.2">
      <c r="F217" s="3"/>
    </row>
    <row r="218" spans="2:38" x14ac:dyDescent="0.2">
      <c r="F218" s="3"/>
    </row>
    <row r="219" spans="2:38" x14ac:dyDescent="0.2">
      <c r="F219" s="3"/>
    </row>
    <row r="220" spans="2:38" x14ac:dyDescent="0.2">
      <c r="F220" s="3"/>
    </row>
    <row r="221" spans="2:38" x14ac:dyDescent="0.2">
      <c r="F221" s="3"/>
    </row>
    <row r="222" spans="2:38" x14ac:dyDescent="0.2">
      <c r="F222" s="3"/>
    </row>
    <row r="223" spans="2:38" x14ac:dyDescent="0.2">
      <c r="F223" s="3"/>
    </row>
    <row r="224" spans="2:38" x14ac:dyDescent="0.2">
      <c r="F224" s="3"/>
    </row>
    <row r="225" spans="6:26" x14ac:dyDescent="0.2">
      <c r="F225" s="3"/>
    </row>
    <row r="226" spans="6:26" x14ac:dyDescent="0.2">
      <c r="F226" s="3"/>
    </row>
    <row r="227" spans="6:26" x14ac:dyDescent="0.2">
      <c r="F227" s="3"/>
      <c r="G227" s="2"/>
      <c r="H227" s="2"/>
      <c r="I227" s="2"/>
      <c r="J227" s="2"/>
      <c r="K227" s="2"/>
      <c r="L227" s="2"/>
      <c r="M227" s="2"/>
      <c r="N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6:26" x14ac:dyDescent="0.2">
      <c r="F228" s="3"/>
      <c r="G228" s="2"/>
      <c r="H228" s="2"/>
      <c r="I228" s="2"/>
      <c r="J228" s="2"/>
      <c r="K228" s="2"/>
      <c r="L228" s="2"/>
      <c r="M228" s="2"/>
      <c r="N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6:26" x14ac:dyDescent="0.2">
      <c r="F229" s="3"/>
      <c r="G229" s="2"/>
      <c r="H229" s="2"/>
      <c r="I229" s="2"/>
      <c r="J229" s="2"/>
      <c r="K229" s="2"/>
      <c r="L229" s="2"/>
      <c r="M229" s="2"/>
      <c r="N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6:26" x14ac:dyDescent="0.2">
      <c r="F230" s="3"/>
      <c r="G230" s="2"/>
      <c r="H230" s="2"/>
      <c r="I230" s="2"/>
      <c r="J230" s="2"/>
      <c r="K230" s="2"/>
      <c r="L230" s="2"/>
      <c r="M230" s="2"/>
      <c r="N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6:26" x14ac:dyDescent="0.2">
      <c r="F231" s="3"/>
      <c r="G231" s="2"/>
      <c r="H231" s="2"/>
      <c r="I231" s="2"/>
      <c r="J231" s="2"/>
      <c r="K231" s="2"/>
      <c r="L231" s="2"/>
      <c r="M231" s="2"/>
      <c r="N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6:26" x14ac:dyDescent="0.2">
      <c r="F232" s="3"/>
      <c r="G232" s="2"/>
      <c r="H232" s="2"/>
      <c r="I232" s="2"/>
      <c r="J232" s="2"/>
      <c r="K232" s="2"/>
      <c r="L232" s="2"/>
      <c r="M232" s="2"/>
      <c r="N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6:26" x14ac:dyDescent="0.2">
      <c r="F233" s="3"/>
      <c r="G233" s="2"/>
      <c r="H233" s="2"/>
      <c r="I233" s="2"/>
      <c r="J233" s="2"/>
      <c r="K233" s="2"/>
      <c r="L233" s="2"/>
      <c r="M233" s="2"/>
      <c r="N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6:26" x14ac:dyDescent="0.2">
      <c r="F234" s="3"/>
      <c r="G234" s="2"/>
      <c r="H234" s="2"/>
      <c r="I234" s="2"/>
      <c r="J234" s="2"/>
      <c r="K234" s="2"/>
      <c r="L234" s="2"/>
      <c r="M234" s="2"/>
      <c r="N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6:26" x14ac:dyDescent="0.2">
      <c r="F235" s="3"/>
      <c r="G235" s="2"/>
      <c r="H235" s="2"/>
      <c r="I235" s="2"/>
      <c r="J235" s="2"/>
      <c r="K235" s="2"/>
      <c r="L235" s="2"/>
      <c r="M235" s="2"/>
      <c r="N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6:26" x14ac:dyDescent="0.2">
      <c r="F236" s="3"/>
      <c r="G236" s="2"/>
      <c r="H236" s="2"/>
      <c r="I236" s="2"/>
      <c r="J236" s="2"/>
      <c r="K236" s="2"/>
      <c r="L236" s="2"/>
      <c r="M236" s="2"/>
      <c r="N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6:26" x14ac:dyDescent="0.2">
      <c r="F237" s="3"/>
      <c r="G237" s="2"/>
      <c r="H237" s="2"/>
      <c r="I237" s="2"/>
      <c r="J237" s="2"/>
      <c r="K237" s="2"/>
      <c r="L237" s="2"/>
      <c r="M237" s="2"/>
      <c r="N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6:26" x14ac:dyDescent="0.2">
      <c r="F238" s="3"/>
      <c r="G238" s="2"/>
      <c r="H238" s="2"/>
      <c r="I238" s="2"/>
      <c r="J238" s="2"/>
      <c r="K238" s="2"/>
      <c r="L238" s="2"/>
      <c r="M238" s="2"/>
      <c r="N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6:26" x14ac:dyDescent="0.2">
      <c r="F239" s="3"/>
      <c r="G239" s="2"/>
      <c r="H239" s="2"/>
      <c r="I239" s="2"/>
      <c r="J239" s="2"/>
      <c r="K239" s="2"/>
      <c r="L239" s="2"/>
      <c r="M239" s="2"/>
      <c r="N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6:26" x14ac:dyDescent="0.2">
      <c r="F240" s="3"/>
      <c r="G240" s="2"/>
      <c r="H240" s="2"/>
      <c r="I240" s="2"/>
      <c r="J240" s="2"/>
      <c r="K240" s="2"/>
      <c r="L240" s="2"/>
      <c r="M240" s="2"/>
      <c r="N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6:26" x14ac:dyDescent="0.2">
      <c r="F241" s="3"/>
      <c r="G241" s="2"/>
      <c r="H241" s="2"/>
      <c r="I241" s="2"/>
      <c r="J241" s="2"/>
      <c r="K241" s="2"/>
      <c r="L241" s="2"/>
      <c r="M241" s="2"/>
      <c r="N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6:26" x14ac:dyDescent="0.2">
      <c r="F242" s="3"/>
      <c r="G242" s="2"/>
      <c r="H242" s="2"/>
      <c r="I242" s="2"/>
      <c r="J242" s="2"/>
      <c r="K242" s="2"/>
      <c r="L242" s="2"/>
      <c r="M242" s="2"/>
      <c r="N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6:26" x14ac:dyDescent="0.2">
      <c r="F243" s="3"/>
      <c r="G243" s="2"/>
      <c r="H243" s="2"/>
      <c r="I243" s="2"/>
      <c r="J243" s="2"/>
      <c r="K243" s="2"/>
      <c r="L243" s="2"/>
      <c r="M243" s="2"/>
      <c r="N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6:26" x14ac:dyDescent="0.2">
      <c r="F244" s="3"/>
      <c r="G244" s="2"/>
      <c r="H244" s="2"/>
      <c r="I244" s="2"/>
      <c r="J244" s="2"/>
      <c r="K244" s="2"/>
      <c r="L244" s="2"/>
      <c r="M244" s="2"/>
      <c r="N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6:26" x14ac:dyDescent="0.2">
      <c r="F245" s="3"/>
      <c r="G245" s="2"/>
      <c r="H245" s="2"/>
      <c r="I245" s="2"/>
      <c r="J245" s="2"/>
      <c r="K245" s="2"/>
      <c r="L245" s="2"/>
      <c r="M245" s="2"/>
      <c r="N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6:26" x14ac:dyDescent="0.2">
      <c r="F246" s="3"/>
      <c r="G246" s="2"/>
      <c r="H246" s="2"/>
      <c r="I246" s="2"/>
      <c r="J246" s="2"/>
      <c r="K246" s="2"/>
      <c r="L246" s="2"/>
      <c r="M246" s="2"/>
      <c r="N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6:26" x14ac:dyDescent="0.2">
      <c r="F247" s="3"/>
      <c r="G247" s="2"/>
      <c r="H247" s="2"/>
      <c r="I247" s="2"/>
      <c r="J247" s="2"/>
      <c r="K247" s="2"/>
      <c r="L247" s="2"/>
      <c r="M247" s="2"/>
      <c r="N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6:26" x14ac:dyDescent="0.2">
      <c r="F248" s="3"/>
      <c r="G248" s="2"/>
      <c r="H248" s="2"/>
      <c r="I248" s="2"/>
      <c r="J248" s="2"/>
      <c r="K248" s="2"/>
      <c r="L248" s="2"/>
      <c r="M248" s="2"/>
      <c r="N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6:26" x14ac:dyDescent="0.2">
      <c r="F249" s="3"/>
      <c r="G249" s="2"/>
      <c r="H249" s="2"/>
      <c r="I249" s="2"/>
      <c r="J249" s="2"/>
      <c r="K249" s="2"/>
      <c r="L249" s="2"/>
      <c r="M249" s="2"/>
      <c r="N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6:26" x14ac:dyDescent="0.2">
      <c r="F250" s="3"/>
      <c r="G250" s="2"/>
      <c r="H250" s="2"/>
      <c r="I250" s="2"/>
      <c r="J250" s="2"/>
      <c r="K250" s="2"/>
      <c r="L250" s="2"/>
      <c r="M250" s="2"/>
      <c r="N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6:26" x14ac:dyDescent="0.2">
      <c r="F251" s="3"/>
      <c r="G251" s="2"/>
      <c r="H251" s="2"/>
      <c r="I251" s="2"/>
      <c r="J251" s="2"/>
      <c r="K251" s="2"/>
      <c r="L251" s="2"/>
      <c r="M251" s="2"/>
      <c r="N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6:26" x14ac:dyDescent="0.2">
      <c r="F252" s="3"/>
      <c r="G252" s="2"/>
      <c r="H252" s="2"/>
      <c r="I252" s="2"/>
      <c r="J252" s="2"/>
      <c r="K252" s="2"/>
      <c r="L252" s="2"/>
      <c r="M252" s="2"/>
      <c r="N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6:26" x14ac:dyDescent="0.2">
      <c r="F253" s="3"/>
      <c r="G253" s="2"/>
      <c r="H253" s="2"/>
      <c r="I253" s="2"/>
      <c r="J253" s="2"/>
      <c r="K253" s="2"/>
      <c r="L253" s="2"/>
      <c r="M253" s="2"/>
      <c r="N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6:26" x14ac:dyDescent="0.2">
      <c r="F254" s="3"/>
      <c r="G254" s="2"/>
      <c r="H254" s="2"/>
      <c r="I254" s="2"/>
      <c r="J254" s="2"/>
      <c r="K254" s="2"/>
      <c r="L254" s="2"/>
      <c r="M254" s="2"/>
      <c r="N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6:26" x14ac:dyDescent="0.2">
      <c r="F255" s="3"/>
      <c r="G255" s="2"/>
      <c r="H255" s="2"/>
      <c r="I255" s="2"/>
      <c r="J255" s="2"/>
      <c r="K255" s="2"/>
      <c r="L255" s="2"/>
      <c r="M255" s="2"/>
      <c r="N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6:26" x14ac:dyDescent="0.2">
      <c r="F256" s="3"/>
      <c r="G256" s="2"/>
      <c r="H256" s="2"/>
      <c r="I256" s="2"/>
      <c r="J256" s="2"/>
      <c r="K256" s="2"/>
      <c r="L256" s="2"/>
      <c r="M256" s="2"/>
      <c r="N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6:26" x14ac:dyDescent="0.2">
      <c r="F257" s="3"/>
      <c r="G257" s="2"/>
      <c r="H257" s="2"/>
      <c r="I257" s="2"/>
      <c r="J257" s="2"/>
      <c r="K257" s="2"/>
      <c r="L257" s="2"/>
      <c r="M257" s="2"/>
      <c r="N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6:26" x14ac:dyDescent="0.2">
      <c r="F258" s="3"/>
      <c r="G258" s="2"/>
      <c r="H258" s="2"/>
      <c r="I258" s="2"/>
      <c r="J258" s="2"/>
      <c r="K258" s="2"/>
      <c r="L258" s="2"/>
      <c r="M258" s="2"/>
      <c r="N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6:26" x14ac:dyDescent="0.2">
      <c r="F259" s="3"/>
      <c r="G259" s="2"/>
      <c r="H259" s="2"/>
      <c r="I259" s="2"/>
      <c r="J259" s="2"/>
      <c r="K259" s="2"/>
      <c r="L259" s="2"/>
      <c r="M259" s="2"/>
      <c r="N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6:26" x14ac:dyDescent="0.2">
      <c r="F260" s="3"/>
      <c r="G260" s="2"/>
      <c r="H260" s="2"/>
      <c r="I260" s="2"/>
      <c r="J260" s="2"/>
      <c r="K260" s="2"/>
      <c r="L260" s="2"/>
      <c r="M260" s="2"/>
      <c r="N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6:26" x14ac:dyDescent="0.2">
      <c r="F261" s="3"/>
      <c r="G261" s="2"/>
      <c r="H261" s="2"/>
      <c r="I261" s="2"/>
      <c r="J261" s="2"/>
      <c r="K261" s="2"/>
      <c r="L261" s="2"/>
      <c r="M261" s="2"/>
      <c r="N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6:26" x14ac:dyDescent="0.2">
      <c r="F262" s="3"/>
      <c r="G262" s="2"/>
      <c r="H262" s="2"/>
      <c r="I262" s="2"/>
      <c r="J262" s="2"/>
      <c r="K262" s="2"/>
      <c r="L262" s="2"/>
      <c r="M262" s="2"/>
      <c r="N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6:26" x14ac:dyDescent="0.2">
      <c r="F263" s="3"/>
      <c r="G263" s="2"/>
      <c r="H263" s="2"/>
      <c r="I263" s="2"/>
      <c r="J263" s="2"/>
      <c r="K263" s="2"/>
      <c r="L263" s="2"/>
      <c r="M263" s="2"/>
      <c r="N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6:26" x14ac:dyDescent="0.2">
      <c r="F264" s="3"/>
      <c r="G264" s="2"/>
      <c r="H264" s="2"/>
      <c r="I264" s="2"/>
      <c r="J264" s="2"/>
      <c r="K264" s="2"/>
      <c r="L264" s="2"/>
      <c r="M264" s="2"/>
      <c r="N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6:26" x14ac:dyDescent="0.2">
      <c r="F265" s="3"/>
      <c r="G265" s="2"/>
      <c r="H265" s="2"/>
      <c r="I265" s="2"/>
      <c r="J265" s="2"/>
      <c r="K265" s="2"/>
      <c r="L265" s="2"/>
      <c r="M265" s="2"/>
      <c r="N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6:26" x14ac:dyDescent="0.2">
      <c r="F266" s="3"/>
      <c r="G266" s="2"/>
      <c r="H266" s="2"/>
      <c r="I266" s="2"/>
      <c r="J266" s="2"/>
      <c r="K266" s="2"/>
      <c r="L266" s="2"/>
      <c r="M266" s="2"/>
      <c r="N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6:26" x14ac:dyDescent="0.2">
      <c r="F267" s="3"/>
      <c r="G267" s="2"/>
      <c r="H267" s="2"/>
      <c r="I267" s="2"/>
      <c r="J267" s="2"/>
      <c r="K267" s="2"/>
      <c r="L267" s="2"/>
      <c r="M267" s="2"/>
      <c r="N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6:26" x14ac:dyDescent="0.2">
      <c r="F268" s="3"/>
      <c r="G268" s="2"/>
      <c r="H268" s="2"/>
      <c r="I268" s="2"/>
      <c r="J268" s="2"/>
      <c r="K268" s="2"/>
      <c r="L268" s="2"/>
      <c r="M268" s="2"/>
      <c r="N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6:26" x14ac:dyDescent="0.2">
      <c r="F269" s="3"/>
      <c r="G269" s="2"/>
      <c r="H269" s="2"/>
      <c r="I269" s="2"/>
      <c r="J269" s="2"/>
      <c r="K269" s="2"/>
      <c r="L269" s="2"/>
      <c r="M269" s="2"/>
      <c r="N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6:26" x14ac:dyDescent="0.2">
      <c r="F270" s="3"/>
      <c r="G270" s="2"/>
      <c r="H270" s="2"/>
      <c r="I270" s="2"/>
      <c r="J270" s="2"/>
      <c r="K270" s="2"/>
      <c r="L270" s="2"/>
      <c r="M270" s="2"/>
      <c r="N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6:26" x14ac:dyDescent="0.2">
      <c r="F271" s="3"/>
      <c r="G271" s="2"/>
      <c r="H271" s="2"/>
      <c r="I271" s="2"/>
      <c r="J271" s="2"/>
      <c r="K271" s="2"/>
      <c r="L271" s="2"/>
      <c r="M271" s="2"/>
      <c r="N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6:26" x14ac:dyDescent="0.2">
      <c r="F272" s="3"/>
      <c r="G272" s="2"/>
      <c r="H272" s="2"/>
      <c r="I272" s="2"/>
      <c r="J272" s="2"/>
      <c r="K272" s="2"/>
      <c r="L272" s="2"/>
      <c r="M272" s="2"/>
      <c r="N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6:26" x14ac:dyDescent="0.2">
      <c r="F273" s="3"/>
      <c r="G273" s="2"/>
      <c r="H273" s="2"/>
      <c r="I273" s="2"/>
      <c r="J273" s="2"/>
      <c r="K273" s="2"/>
      <c r="L273" s="2"/>
      <c r="M273" s="2"/>
      <c r="N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6:26" x14ac:dyDescent="0.2">
      <c r="F274" s="3"/>
      <c r="G274" s="2"/>
      <c r="H274" s="2"/>
      <c r="I274" s="2"/>
      <c r="J274" s="2"/>
      <c r="K274" s="2"/>
      <c r="L274" s="2"/>
      <c r="M274" s="2"/>
      <c r="N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6:26" x14ac:dyDescent="0.2">
      <c r="F275" s="3"/>
      <c r="G275" s="2"/>
      <c r="H275" s="2"/>
      <c r="I275" s="2"/>
      <c r="J275" s="2"/>
      <c r="K275" s="2"/>
      <c r="L275" s="2"/>
      <c r="M275" s="2"/>
      <c r="N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6:26" x14ac:dyDescent="0.2">
      <c r="F276" s="3"/>
      <c r="G276" s="2"/>
      <c r="H276" s="2"/>
      <c r="I276" s="2"/>
      <c r="J276" s="2"/>
      <c r="K276" s="2"/>
      <c r="L276" s="2"/>
      <c r="M276" s="2"/>
      <c r="N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6:26" x14ac:dyDescent="0.2">
      <c r="F277" s="3"/>
      <c r="G277" s="2"/>
      <c r="H277" s="2"/>
      <c r="I277" s="2"/>
      <c r="J277" s="2"/>
      <c r="K277" s="2"/>
      <c r="L277" s="2"/>
      <c r="M277" s="2"/>
      <c r="N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6:26" x14ac:dyDescent="0.2">
      <c r="F278" s="3"/>
      <c r="G278" s="2"/>
      <c r="H278" s="2"/>
      <c r="I278" s="2"/>
      <c r="J278" s="2"/>
      <c r="K278" s="2"/>
      <c r="L278" s="2"/>
      <c r="M278" s="2"/>
      <c r="N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6:26" x14ac:dyDescent="0.2">
      <c r="F279" s="3"/>
      <c r="G279" s="2"/>
      <c r="H279" s="2"/>
      <c r="I279" s="2"/>
      <c r="J279" s="2"/>
      <c r="K279" s="2"/>
      <c r="L279" s="2"/>
      <c r="M279" s="2"/>
      <c r="N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6:26" x14ac:dyDescent="0.2">
      <c r="F280" s="3"/>
      <c r="G280" s="2"/>
      <c r="H280" s="2"/>
      <c r="I280" s="2"/>
      <c r="J280" s="2"/>
      <c r="K280" s="2"/>
      <c r="L280" s="2"/>
      <c r="M280" s="2"/>
      <c r="N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6:26" x14ac:dyDescent="0.2">
      <c r="F281" s="3"/>
      <c r="G281" s="2"/>
      <c r="H281" s="2"/>
      <c r="I281" s="2"/>
      <c r="J281" s="2"/>
      <c r="K281" s="2"/>
      <c r="L281" s="2"/>
      <c r="M281" s="2"/>
      <c r="N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6:26" x14ac:dyDescent="0.2">
      <c r="F282" s="3"/>
      <c r="G282" s="2"/>
      <c r="H282" s="2"/>
      <c r="I282" s="2"/>
      <c r="J282" s="2"/>
      <c r="K282" s="2"/>
      <c r="L282" s="2"/>
      <c r="M282" s="2"/>
      <c r="N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6:26" x14ac:dyDescent="0.2">
      <c r="F283" s="3"/>
      <c r="G283" s="2"/>
      <c r="H283" s="2"/>
      <c r="I283" s="2"/>
      <c r="J283" s="2"/>
      <c r="K283" s="2"/>
      <c r="L283" s="2"/>
      <c r="M283" s="2"/>
      <c r="N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6:26" x14ac:dyDescent="0.2">
      <c r="F284" s="3"/>
      <c r="G284" s="2"/>
      <c r="H284" s="2"/>
      <c r="I284" s="2"/>
      <c r="J284" s="2"/>
      <c r="K284" s="2"/>
      <c r="L284" s="2"/>
      <c r="M284" s="2"/>
      <c r="N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6:26" x14ac:dyDescent="0.2">
      <c r="F285" s="3"/>
      <c r="G285" s="2"/>
      <c r="H285" s="2"/>
      <c r="I285" s="2"/>
      <c r="J285" s="2"/>
      <c r="K285" s="2"/>
      <c r="L285" s="2"/>
      <c r="M285" s="2"/>
      <c r="N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6:26" x14ac:dyDescent="0.2">
      <c r="F286" s="3"/>
      <c r="G286" s="2"/>
      <c r="H286" s="2"/>
      <c r="I286" s="2"/>
      <c r="J286" s="2"/>
      <c r="K286" s="2"/>
      <c r="L286" s="2"/>
      <c r="M286" s="2"/>
      <c r="N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6:26" x14ac:dyDescent="0.2">
      <c r="F287" s="3"/>
      <c r="G287" s="2"/>
      <c r="H287" s="2"/>
      <c r="I287" s="2"/>
      <c r="J287" s="2"/>
      <c r="K287" s="2"/>
      <c r="L287" s="2"/>
      <c r="M287" s="2"/>
      <c r="N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6:26" x14ac:dyDescent="0.2">
      <c r="F288" s="3"/>
      <c r="G288" s="2"/>
      <c r="H288" s="2"/>
      <c r="I288" s="2"/>
      <c r="J288" s="2"/>
      <c r="K288" s="2"/>
      <c r="L288" s="2"/>
      <c r="M288" s="2"/>
      <c r="N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6:26" x14ac:dyDescent="0.2">
      <c r="F289" s="3"/>
      <c r="G289" s="2"/>
      <c r="H289" s="2"/>
      <c r="I289" s="2"/>
      <c r="J289" s="2"/>
      <c r="K289" s="2"/>
      <c r="L289" s="2"/>
      <c r="M289" s="2"/>
      <c r="N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6:26" x14ac:dyDescent="0.2">
      <c r="F290" s="3"/>
      <c r="G290" s="2"/>
      <c r="H290" s="2"/>
      <c r="I290" s="2"/>
      <c r="J290" s="2"/>
      <c r="K290" s="2"/>
      <c r="L290" s="2"/>
      <c r="M290" s="2"/>
      <c r="N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6:26" x14ac:dyDescent="0.2">
      <c r="F291" s="3"/>
      <c r="G291" s="2"/>
      <c r="H291" s="2"/>
      <c r="I291" s="2"/>
      <c r="J291" s="2"/>
      <c r="K291" s="2"/>
      <c r="L291" s="2"/>
      <c r="M291" s="2"/>
      <c r="N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6:26" x14ac:dyDescent="0.2">
      <c r="F292" s="3"/>
      <c r="G292" s="2"/>
      <c r="H292" s="2"/>
      <c r="I292" s="2"/>
      <c r="J292" s="2"/>
      <c r="K292" s="2"/>
      <c r="L292" s="2"/>
      <c r="M292" s="2"/>
      <c r="N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6:26" x14ac:dyDescent="0.2">
      <c r="F293" s="3"/>
      <c r="G293" s="2"/>
      <c r="H293" s="2"/>
      <c r="I293" s="2"/>
      <c r="J293" s="2"/>
      <c r="K293" s="2"/>
      <c r="L293" s="2"/>
      <c r="M293" s="2"/>
      <c r="N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6:26" x14ac:dyDescent="0.2">
      <c r="F294" s="3"/>
      <c r="G294" s="2"/>
      <c r="H294" s="2"/>
      <c r="I294" s="2"/>
      <c r="J294" s="2"/>
      <c r="K294" s="2"/>
      <c r="L294" s="2"/>
      <c r="M294" s="2"/>
      <c r="N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6:26" x14ac:dyDescent="0.2">
      <c r="F295" s="3"/>
      <c r="G295" s="2"/>
      <c r="H295" s="2"/>
      <c r="I295" s="2"/>
      <c r="J295" s="2"/>
      <c r="K295" s="2"/>
      <c r="L295" s="2"/>
      <c r="M295" s="2"/>
      <c r="N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6:26" x14ac:dyDescent="0.2">
      <c r="F296" s="3"/>
      <c r="G296" s="2"/>
      <c r="H296" s="2"/>
      <c r="I296" s="2"/>
      <c r="J296" s="2"/>
      <c r="K296" s="2"/>
      <c r="L296" s="2"/>
      <c r="M296" s="2"/>
      <c r="N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6:26" x14ac:dyDescent="0.2">
      <c r="F297" s="3"/>
      <c r="G297" s="2"/>
      <c r="H297" s="2"/>
      <c r="I297" s="2"/>
      <c r="J297" s="2"/>
      <c r="K297" s="2"/>
      <c r="L297" s="2"/>
      <c r="M297" s="2"/>
      <c r="N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6:26" x14ac:dyDescent="0.2">
      <c r="F298" s="3"/>
      <c r="G298" s="2"/>
      <c r="H298" s="2"/>
      <c r="I298" s="2"/>
      <c r="J298" s="2"/>
      <c r="K298" s="2"/>
      <c r="L298" s="2"/>
      <c r="M298" s="2"/>
      <c r="N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6:26" x14ac:dyDescent="0.2">
      <c r="F299" s="3"/>
      <c r="G299" s="2"/>
      <c r="H299" s="2"/>
      <c r="I299" s="2"/>
      <c r="J299" s="2"/>
      <c r="K299" s="2"/>
      <c r="L299" s="2"/>
      <c r="M299" s="2"/>
      <c r="N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6:26" x14ac:dyDescent="0.2">
      <c r="F300" s="3"/>
      <c r="G300" s="2"/>
      <c r="H300" s="2"/>
      <c r="I300" s="2"/>
      <c r="J300" s="2"/>
      <c r="K300" s="2"/>
      <c r="L300" s="2"/>
      <c r="M300" s="2"/>
      <c r="N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6:26" x14ac:dyDescent="0.2">
      <c r="F301" s="3"/>
      <c r="G301" s="2"/>
      <c r="H301" s="2"/>
      <c r="I301" s="2"/>
      <c r="J301" s="2"/>
      <c r="K301" s="2"/>
      <c r="L301" s="2"/>
      <c r="M301" s="2"/>
      <c r="N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6:26" x14ac:dyDescent="0.2">
      <c r="F302" s="3"/>
      <c r="G302" s="2"/>
      <c r="H302" s="2"/>
      <c r="I302" s="2"/>
      <c r="J302" s="2"/>
      <c r="K302" s="2"/>
      <c r="L302" s="2"/>
      <c r="M302" s="2"/>
      <c r="N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6:26" x14ac:dyDescent="0.2">
      <c r="F303" s="3"/>
      <c r="G303" s="2"/>
      <c r="H303" s="2"/>
      <c r="I303" s="2"/>
      <c r="J303" s="2"/>
      <c r="K303" s="2"/>
      <c r="L303" s="2"/>
      <c r="M303" s="2"/>
      <c r="N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6:26" x14ac:dyDescent="0.2">
      <c r="F304" s="3"/>
      <c r="G304" s="2"/>
      <c r="H304" s="2"/>
      <c r="I304" s="2"/>
      <c r="J304" s="2"/>
      <c r="K304" s="2"/>
      <c r="L304" s="2"/>
      <c r="M304" s="2"/>
      <c r="N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6:26" x14ac:dyDescent="0.2">
      <c r="F305" s="3"/>
      <c r="G305" s="2"/>
      <c r="H305" s="2"/>
      <c r="I305" s="2"/>
      <c r="J305" s="2"/>
      <c r="K305" s="2"/>
      <c r="L305" s="2"/>
      <c r="M305" s="2"/>
      <c r="N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6:26" x14ac:dyDescent="0.2">
      <c r="F306" s="3"/>
      <c r="G306" s="2"/>
      <c r="H306" s="2"/>
      <c r="I306" s="2"/>
      <c r="J306" s="2"/>
      <c r="K306" s="2"/>
      <c r="L306" s="2"/>
      <c r="M306" s="2"/>
      <c r="N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6:26" x14ac:dyDescent="0.2">
      <c r="F307" s="3"/>
      <c r="G307" s="2"/>
      <c r="H307" s="2"/>
      <c r="I307" s="2"/>
      <c r="J307" s="2"/>
      <c r="K307" s="2"/>
      <c r="L307" s="2"/>
      <c r="M307" s="2"/>
      <c r="N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6:26" x14ac:dyDescent="0.2">
      <c r="F308" s="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6:26" x14ac:dyDescent="0.2">
      <c r="F309" s="3"/>
      <c r="O309" s="2"/>
    </row>
    <row r="310" spans="6:26" x14ac:dyDescent="0.2">
      <c r="F310" s="3"/>
      <c r="O310" s="2"/>
    </row>
    <row r="311" spans="6:26" x14ac:dyDescent="0.2">
      <c r="F311" s="3"/>
      <c r="O311" s="2"/>
    </row>
    <row r="312" spans="6:26" x14ac:dyDescent="0.2">
      <c r="F312" s="3"/>
      <c r="O312" s="2"/>
    </row>
    <row r="313" spans="6:26" x14ac:dyDescent="0.2">
      <c r="F313" s="3"/>
      <c r="O313" s="2"/>
    </row>
    <row r="314" spans="6:26" x14ac:dyDescent="0.2">
      <c r="F314" s="3"/>
      <c r="O314" s="2"/>
    </row>
    <row r="315" spans="6:26" x14ac:dyDescent="0.2">
      <c r="F315" s="3"/>
      <c r="O315" s="2"/>
    </row>
    <row r="316" spans="6:26" x14ac:dyDescent="0.2">
      <c r="F316" s="3"/>
      <c r="O316" s="2"/>
    </row>
    <row r="317" spans="6:26" x14ac:dyDescent="0.2">
      <c r="F317" s="3"/>
      <c r="O317" s="2"/>
    </row>
    <row r="318" spans="6:26" x14ac:dyDescent="0.2">
      <c r="F318" s="3"/>
      <c r="O318" s="2"/>
    </row>
    <row r="319" spans="6:26" x14ac:dyDescent="0.2">
      <c r="F319" s="3"/>
      <c r="O319" s="2"/>
    </row>
    <row r="320" spans="6:26" x14ac:dyDescent="0.2">
      <c r="F320" s="3"/>
      <c r="O320" s="2"/>
    </row>
    <row r="321" spans="6:15" x14ac:dyDescent="0.2">
      <c r="F321" s="3"/>
      <c r="O321" s="2"/>
    </row>
    <row r="322" spans="6:15" x14ac:dyDescent="0.2">
      <c r="F322" s="3"/>
      <c r="O322" s="2"/>
    </row>
    <row r="323" spans="6:15" x14ac:dyDescent="0.2">
      <c r="F323" s="3"/>
      <c r="O323" s="2"/>
    </row>
    <row r="324" spans="6:15" x14ac:dyDescent="0.2">
      <c r="F324" s="3"/>
      <c r="O324" s="2"/>
    </row>
    <row r="325" spans="6:15" x14ac:dyDescent="0.2">
      <c r="F325" s="3"/>
      <c r="O325" s="2"/>
    </row>
    <row r="326" spans="6:15" x14ac:dyDescent="0.2">
      <c r="F326" s="3"/>
      <c r="O326" s="2"/>
    </row>
    <row r="327" spans="6:15" x14ac:dyDescent="0.2">
      <c r="F327" s="3"/>
      <c r="O327" s="2"/>
    </row>
    <row r="328" spans="6:15" x14ac:dyDescent="0.2">
      <c r="F328" s="3"/>
      <c r="O328" s="2"/>
    </row>
    <row r="329" spans="6:15" x14ac:dyDescent="0.2">
      <c r="F329" s="3"/>
      <c r="O329" s="2"/>
    </row>
    <row r="330" spans="6:15" x14ac:dyDescent="0.2">
      <c r="F330" s="3"/>
      <c r="O330" s="2"/>
    </row>
    <row r="331" spans="6:15" x14ac:dyDescent="0.2">
      <c r="F331" s="3"/>
      <c r="O331" s="2"/>
    </row>
    <row r="332" spans="6:15" x14ac:dyDescent="0.2">
      <c r="F332" s="3"/>
      <c r="O332" s="2"/>
    </row>
    <row r="333" spans="6:15" x14ac:dyDescent="0.2">
      <c r="F333" s="3"/>
      <c r="O333" s="2"/>
    </row>
    <row r="334" spans="6:15" x14ac:dyDescent="0.2">
      <c r="F334" s="3"/>
      <c r="O334" s="2"/>
    </row>
    <row r="335" spans="6:15" x14ac:dyDescent="0.2">
      <c r="F335" s="3"/>
      <c r="O335" s="2"/>
    </row>
    <row r="336" spans="6:15" x14ac:dyDescent="0.2">
      <c r="F336" s="3"/>
      <c r="O336" s="2"/>
    </row>
    <row r="337" spans="6:15" x14ac:dyDescent="0.2">
      <c r="F337" s="3"/>
      <c r="O337" s="2"/>
    </row>
    <row r="338" spans="6:15" x14ac:dyDescent="0.2">
      <c r="F338" s="3"/>
      <c r="O338" s="2"/>
    </row>
    <row r="339" spans="6:15" x14ac:dyDescent="0.2">
      <c r="F339" s="3"/>
      <c r="O339" s="2"/>
    </row>
    <row r="340" spans="6:15" x14ac:dyDescent="0.2">
      <c r="F340" s="3"/>
      <c r="O340" s="2"/>
    </row>
    <row r="341" spans="6:15" x14ac:dyDescent="0.2">
      <c r="F341" s="3"/>
      <c r="O341" s="2"/>
    </row>
    <row r="342" spans="6:15" x14ac:dyDescent="0.2">
      <c r="F342" s="3"/>
      <c r="O342" s="2"/>
    </row>
    <row r="343" spans="6:15" x14ac:dyDescent="0.2">
      <c r="F343" s="3"/>
      <c r="O343" s="2"/>
    </row>
    <row r="344" spans="6:15" x14ac:dyDescent="0.2">
      <c r="F344" s="3"/>
      <c r="O344" s="2"/>
    </row>
    <row r="345" spans="6:15" x14ac:dyDescent="0.2">
      <c r="F345" s="3"/>
      <c r="O345" s="2"/>
    </row>
    <row r="346" spans="6:15" x14ac:dyDescent="0.2">
      <c r="F346" s="3"/>
      <c r="O346" s="2"/>
    </row>
    <row r="347" spans="6:15" x14ac:dyDescent="0.2">
      <c r="F347" s="3"/>
      <c r="O347" s="2"/>
    </row>
    <row r="348" spans="6:15" x14ac:dyDescent="0.2">
      <c r="F348" s="3"/>
      <c r="O348" s="2"/>
    </row>
    <row r="349" spans="6:15" x14ac:dyDescent="0.2">
      <c r="F349" s="3"/>
      <c r="O349" s="2"/>
    </row>
    <row r="350" spans="6:15" x14ac:dyDescent="0.2">
      <c r="F350" s="3"/>
      <c r="O350" s="2"/>
    </row>
    <row r="351" spans="6:15" x14ac:dyDescent="0.2">
      <c r="F351" s="3"/>
      <c r="O351" s="2"/>
    </row>
    <row r="352" spans="6:15" x14ac:dyDescent="0.2">
      <c r="F352" s="3"/>
      <c r="O352" s="2"/>
    </row>
    <row r="353" spans="6:15" x14ac:dyDescent="0.2">
      <c r="F353" s="3"/>
      <c r="O353" s="2"/>
    </row>
    <row r="354" spans="6:15" x14ac:dyDescent="0.2">
      <c r="F354" s="3"/>
      <c r="O354" s="2"/>
    </row>
    <row r="355" spans="6:15" x14ac:dyDescent="0.2">
      <c r="F355" s="3"/>
      <c r="O355" s="2"/>
    </row>
    <row r="356" spans="6:15" x14ac:dyDescent="0.2">
      <c r="F356" s="3"/>
      <c r="O356" s="2"/>
    </row>
    <row r="357" spans="6:15" x14ac:dyDescent="0.2">
      <c r="F357" s="3"/>
      <c r="O357" s="2"/>
    </row>
    <row r="358" spans="6:15" x14ac:dyDescent="0.2">
      <c r="F358" s="3"/>
      <c r="O358" s="2"/>
    </row>
    <row r="359" spans="6:15" x14ac:dyDescent="0.2">
      <c r="F359" s="3"/>
      <c r="O359" s="2"/>
    </row>
    <row r="360" spans="6:15" x14ac:dyDescent="0.2">
      <c r="F360" s="3"/>
      <c r="O360" s="2"/>
    </row>
    <row r="361" spans="6:15" x14ac:dyDescent="0.2">
      <c r="F361" s="3"/>
      <c r="O361" s="2"/>
    </row>
    <row r="362" spans="6:15" x14ac:dyDescent="0.2">
      <c r="F362" s="3"/>
      <c r="O362" s="2"/>
    </row>
    <row r="363" spans="6:15" x14ac:dyDescent="0.2">
      <c r="F363" s="3"/>
      <c r="O363" s="2"/>
    </row>
    <row r="364" spans="6:15" x14ac:dyDescent="0.2">
      <c r="F364" s="3"/>
      <c r="O364" s="2"/>
    </row>
    <row r="365" spans="6:15" x14ac:dyDescent="0.2">
      <c r="F365" s="3"/>
      <c r="O365" s="2"/>
    </row>
    <row r="366" spans="6:15" x14ac:dyDescent="0.2">
      <c r="F366" s="3"/>
      <c r="O366" s="2"/>
    </row>
    <row r="367" spans="6:15" x14ac:dyDescent="0.2">
      <c r="F367" s="3"/>
      <c r="O367" s="2"/>
    </row>
    <row r="368" spans="6:15" x14ac:dyDescent="0.2">
      <c r="F368" s="3"/>
      <c r="O368" s="2"/>
    </row>
    <row r="369" spans="1:20" x14ac:dyDescent="0.2">
      <c r="F369" s="3"/>
      <c r="O369" s="2"/>
    </row>
    <row r="370" spans="1:20" x14ac:dyDescent="0.2">
      <c r="F370" s="3"/>
      <c r="O370" s="2"/>
    </row>
    <row r="371" spans="1:20" x14ac:dyDescent="0.2">
      <c r="F371" s="3"/>
      <c r="O371" s="2"/>
    </row>
    <row r="372" spans="1:20" x14ac:dyDescent="0.2">
      <c r="F372" s="3"/>
      <c r="O372" s="2"/>
    </row>
    <row r="373" spans="1:20" x14ac:dyDescent="0.2">
      <c r="F373" s="3"/>
      <c r="O373" s="2"/>
    </row>
    <row r="374" spans="1:20" x14ac:dyDescent="0.2">
      <c r="F374" s="3"/>
      <c r="O374" s="2"/>
    </row>
    <row r="375" spans="1:20" x14ac:dyDescent="0.2">
      <c r="F375" s="3"/>
      <c r="O375" s="2"/>
    </row>
    <row r="376" spans="1:20" x14ac:dyDescent="0.2">
      <c r="F376" s="3"/>
      <c r="O376" s="2"/>
    </row>
    <row r="377" spans="1:20" x14ac:dyDescent="0.2">
      <c r="F377" s="3"/>
      <c r="O377" s="2"/>
    </row>
    <row r="378" spans="1:20" x14ac:dyDescent="0.2">
      <c r="F378" s="3"/>
      <c r="O378" s="2"/>
    </row>
    <row r="379" spans="1:2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 x14ac:dyDescent="0.2">
      <c r="F380" s="3"/>
      <c r="O380" s="2"/>
    </row>
    <row r="381" spans="1:20" x14ac:dyDescent="0.2">
      <c r="F381" s="3"/>
      <c r="O381" s="2"/>
    </row>
    <row r="382" spans="1:20" x14ac:dyDescent="0.2">
      <c r="F382" s="3"/>
      <c r="O382" s="2"/>
    </row>
    <row r="383" spans="1:20" x14ac:dyDescent="0.2">
      <c r="F383" s="3"/>
      <c r="O383" s="2"/>
    </row>
    <row r="384" spans="1:20" x14ac:dyDescent="0.2">
      <c r="F384" s="3"/>
      <c r="O384" s="2"/>
    </row>
    <row r="385" spans="2:15" x14ac:dyDescent="0.2">
      <c r="F385" s="3"/>
      <c r="O385" s="2"/>
    </row>
    <row r="386" spans="2:15" x14ac:dyDescent="0.2">
      <c r="F386" s="3"/>
      <c r="O386" s="2"/>
    </row>
    <row r="387" spans="2:15" x14ac:dyDescent="0.2">
      <c r="F387" s="3"/>
      <c r="O387" s="2"/>
    </row>
    <row r="388" spans="2:15" x14ac:dyDescent="0.2">
      <c r="F388" s="3"/>
      <c r="O388" s="2"/>
    </row>
    <row r="389" spans="2:15" x14ac:dyDescent="0.2">
      <c r="F389" s="3"/>
      <c r="O389" s="2"/>
    </row>
    <row r="390" spans="2:15" x14ac:dyDescent="0.2">
      <c r="F390" s="3"/>
      <c r="O390" s="2"/>
    </row>
    <row r="394" spans="2:15" ht="16" x14ac:dyDescent="0.2">
      <c r="B394" s="5"/>
    </row>
    <row r="395" spans="2:15" ht="16" x14ac:dyDescent="0.2">
      <c r="B395" s="5"/>
    </row>
    <row r="396" spans="2:15" ht="16" x14ac:dyDescent="0.2">
      <c r="B396" s="5"/>
    </row>
    <row r="397" spans="2:15" ht="16" x14ac:dyDescent="0.2">
      <c r="B397" s="5"/>
    </row>
    <row r="398" spans="2:15" ht="16" x14ac:dyDescent="0.2">
      <c r="B398" s="5"/>
    </row>
    <row r="399" spans="2:15" ht="16" x14ac:dyDescent="0.2">
      <c r="B399" s="5"/>
    </row>
    <row r="400" spans="2:15" ht="16" x14ac:dyDescent="0.2">
      <c r="B400" s="5"/>
    </row>
    <row r="401" spans="2:2" ht="16" x14ac:dyDescent="0.2">
      <c r="B401" s="5"/>
    </row>
    <row r="402" spans="2:2" ht="16" x14ac:dyDescent="0.2">
      <c r="B402" s="5"/>
    </row>
    <row r="403" spans="2:2" ht="16" x14ac:dyDescent="0.2">
      <c r="B403" s="5"/>
    </row>
    <row r="404" spans="2:2" ht="16" x14ac:dyDescent="0.2">
      <c r="B404" s="5"/>
    </row>
    <row r="405" spans="2:2" ht="16" x14ac:dyDescent="0.2">
      <c r="B405" s="5"/>
    </row>
    <row r="406" spans="2:2" ht="16" x14ac:dyDescent="0.2">
      <c r="B406" s="5"/>
    </row>
    <row r="407" spans="2:2" ht="16" x14ac:dyDescent="0.2">
      <c r="B407" s="5"/>
    </row>
    <row r="408" spans="2:2" ht="16" x14ac:dyDescent="0.2">
      <c r="B408" s="5"/>
    </row>
    <row r="409" spans="2:2" ht="16" x14ac:dyDescent="0.2">
      <c r="B409" s="5"/>
    </row>
    <row r="410" spans="2:2" ht="16" x14ac:dyDescent="0.2">
      <c r="B410" s="5"/>
    </row>
    <row r="411" spans="2:2" ht="16" x14ac:dyDescent="0.2">
      <c r="B411" s="5"/>
    </row>
    <row r="412" spans="2:2" ht="16" x14ac:dyDescent="0.2">
      <c r="B412" s="5"/>
    </row>
    <row r="413" spans="2:2" ht="16" x14ac:dyDescent="0.2">
      <c r="B413" s="5"/>
    </row>
  </sheetData>
  <pageMargins left="0.7" right="0.7" top="0.75" bottom="0.75" header="0.3" footer="0.3"/>
  <customProperties>
    <customPr name="REFI_OFFICE_FUNCTION_DATA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FEE7-C0E2-4E97-BE8D-4E6B97CC1BA2}">
  <dimension ref="A1:D159"/>
  <sheetViews>
    <sheetView topLeftCell="A44" workbookViewId="0">
      <selection activeCell="F44" sqref="F44"/>
    </sheetView>
  </sheetViews>
  <sheetFormatPr baseColWidth="10" defaultColWidth="8.83203125" defaultRowHeight="15" x14ac:dyDescent="0.2"/>
  <cols>
    <col min="2" max="2" width="13" customWidth="1"/>
  </cols>
  <sheetData>
    <row r="1" spans="1:4" x14ac:dyDescent="0.2">
      <c r="A1" t="e">
        <f ca="1">_xll.RDP.Data(".SP500;.STOXX","TR.PriceClose","SDate=2025-11-22 EDate=2026-01-31 Curn=EUR CH=IN RH=date",B2)</f>
        <v>#N/A</v>
      </c>
    </row>
    <row r="2" spans="1:4" x14ac:dyDescent="0.2">
      <c r="C2" s="2" t="s">
        <v>12</v>
      </c>
      <c r="D2" s="2" t="s">
        <v>13</v>
      </c>
    </row>
    <row r="3" spans="1:4" x14ac:dyDescent="0.2">
      <c r="B3" s="3">
        <v>45985</v>
      </c>
      <c r="C3">
        <v>5820.4439498259999</v>
      </c>
      <c r="D3">
        <v>562.88</v>
      </c>
    </row>
    <row r="4" spans="1:4" x14ac:dyDescent="0.2">
      <c r="B4" s="3">
        <v>45986</v>
      </c>
      <c r="C4">
        <v>5848.2878968799996</v>
      </c>
      <c r="D4">
        <v>568.01</v>
      </c>
    </row>
    <row r="5" spans="1:4" x14ac:dyDescent="0.2">
      <c r="B5" s="3">
        <v>45987</v>
      </c>
      <c r="C5">
        <v>5876.0150510120002</v>
      </c>
      <c r="D5">
        <v>574.21</v>
      </c>
    </row>
    <row r="6" spans="1:4" x14ac:dyDescent="0.2">
      <c r="B6" s="3">
        <v>45987</v>
      </c>
      <c r="C6">
        <v>5876.0150510120002</v>
      </c>
      <c r="D6" s="2" t="s">
        <v>5</v>
      </c>
    </row>
    <row r="7" spans="1:4" x14ac:dyDescent="0.2">
      <c r="B7" s="3">
        <v>45989</v>
      </c>
      <c r="C7">
        <v>5906.9269372560002</v>
      </c>
      <c r="D7">
        <v>576.42999999999995</v>
      </c>
    </row>
    <row r="8" spans="1:4" x14ac:dyDescent="0.2">
      <c r="B8" s="3">
        <v>45992</v>
      </c>
      <c r="C8">
        <v>5867.9190664469998</v>
      </c>
      <c r="D8">
        <v>575.27</v>
      </c>
    </row>
    <row r="9" spans="1:4" x14ac:dyDescent="0.2">
      <c r="B9" s="3">
        <v>45993</v>
      </c>
      <c r="C9">
        <v>5875.7172894160003</v>
      </c>
      <c r="D9">
        <v>575.65</v>
      </c>
    </row>
    <row r="10" spans="1:4" x14ac:dyDescent="0.2">
      <c r="B10" s="3">
        <v>45994</v>
      </c>
      <c r="C10">
        <v>5869.5273816299996</v>
      </c>
      <c r="D10">
        <v>576.22</v>
      </c>
    </row>
    <row r="11" spans="1:4" x14ac:dyDescent="0.2">
      <c r="B11" s="3">
        <v>45995</v>
      </c>
      <c r="C11">
        <v>5889.511539133</v>
      </c>
      <c r="D11">
        <v>578.84</v>
      </c>
    </row>
    <row r="12" spans="1:4" x14ac:dyDescent="0.2">
      <c r="B12" s="3">
        <v>45996</v>
      </c>
      <c r="C12">
        <v>5901.4023916320002</v>
      </c>
      <c r="D12">
        <v>578.77</v>
      </c>
    </row>
    <row r="13" spans="1:4" x14ac:dyDescent="0.2">
      <c r="B13" s="3">
        <v>45999</v>
      </c>
      <c r="C13">
        <v>5883.8874282799998</v>
      </c>
      <c r="D13">
        <v>578.36</v>
      </c>
    </row>
    <row r="14" spans="1:4" x14ac:dyDescent="0.2">
      <c r="B14" s="3">
        <v>46000</v>
      </c>
      <c r="C14">
        <v>5884.3431681120001</v>
      </c>
      <c r="D14">
        <v>577.77</v>
      </c>
    </row>
    <row r="15" spans="1:4" x14ac:dyDescent="0.2">
      <c r="B15" s="3">
        <v>46001</v>
      </c>
      <c r="C15">
        <v>5889.0781006200004</v>
      </c>
      <c r="D15">
        <v>578.16999999999996</v>
      </c>
    </row>
    <row r="16" spans="1:4" x14ac:dyDescent="0.2">
      <c r="B16" s="3">
        <v>46002</v>
      </c>
      <c r="C16">
        <v>5879.1648407359999</v>
      </c>
      <c r="D16">
        <v>581.34</v>
      </c>
    </row>
    <row r="17" spans="2:4" x14ac:dyDescent="0.2">
      <c r="B17" s="3">
        <v>46003</v>
      </c>
      <c r="C17">
        <v>5815.5165826350003</v>
      </c>
      <c r="D17">
        <v>578.24</v>
      </c>
    </row>
    <row r="18" spans="2:4" x14ac:dyDescent="0.2">
      <c r="B18" s="3">
        <v>46006</v>
      </c>
      <c r="C18">
        <v>5800.3032426359996</v>
      </c>
      <c r="D18">
        <v>582.54</v>
      </c>
    </row>
    <row r="19" spans="2:4" x14ac:dyDescent="0.2">
      <c r="B19" s="3">
        <v>46007</v>
      </c>
      <c r="C19">
        <v>5789.3989672199996</v>
      </c>
      <c r="D19">
        <v>579.79999999999995</v>
      </c>
    </row>
    <row r="20" spans="2:4" x14ac:dyDescent="0.2">
      <c r="B20" s="3">
        <v>46008</v>
      </c>
      <c r="C20">
        <v>5725.7169338699996</v>
      </c>
      <c r="D20">
        <v>579.79</v>
      </c>
    </row>
    <row r="21" spans="2:4" x14ac:dyDescent="0.2">
      <c r="B21" s="3">
        <v>46009</v>
      </c>
      <c r="C21">
        <v>5780.0199415919997</v>
      </c>
      <c r="D21">
        <v>585.35</v>
      </c>
    </row>
    <row r="22" spans="2:4" x14ac:dyDescent="0.2">
      <c r="B22" s="3">
        <v>46010</v>
      </c>
      <c r="C22">
        <v>5837.4798943440001</v>
      </c>
      <c r="D22">
        <v>587.5</v>
      </c>
    </row>
    <row r="23" spans="2:4" x14ac:dyDescent="0.2">
      <c r="B23" s="3">
        <v>46013</v>
      </c>
      <c r="C23">
        <v>5849.0547614300003</v>
      </c>
      <c r="D23" s="2">
        <v>586.75</v>
      </c>
    </row>
    <row r="24" spans="2:4" x14ac:dyDescent="0.2">
      <c r="B24" s="3">
        <v>46014</v>
      </c>
      <c r="C24">
        <v>5858.743623669</v>
      </c>
      <c r="D24">
        <v>588.73</v>
      </c>
    </row>
    <row r="25" spans="2:4" x14ac:dyDescent="0.2">
      <c r="B25" s="3">
        <v>46015</v>
      </c>
      <c r="C25">
        <v>5885.5870527679999</v>
      </c>
      <c r="D25">
        <v>588.70000000000005</v>
      </c>
    </row>
    <row r="26" spans="2:4" x14ac:dyDescent="0.2">
      <c r="B26" s="3">
        <v>46015</v>
      </c>
      <c r="C26">
        <v>5885.5870527679999</v>
      </c>
      <c r="D26">
        <v>588.70000000000005</v>
      </c>
    </row>
    <row r="27" spans="2:4" x14ac:dyDescent="0.2">
      <c r="B27" s="3">
        <v>46015</v>
      </c>
      <c r="C27" s="2" t="s">
        <v>5</v>
      </c>
      <c r="D27">
        <v>588.70000000000005</v>
      </c>
    </row>
    <row r="28" spans="2:4" x14ac:dyDescent="0.2">
      <c r="B28" s="3">
        <v>46017</v>
      </c>
      <c r="C28">
        <v>5887.3272137550002</v>
      </c>
      <c r="D28" s="2" t="s">
        <v>5</v>
      </c>
    </row>
    <row r="29" spans="2:4" x14ac:dyDescent="0.2">
      <c r="B29" s="3">
        <v>46020</v>
      </c>
      <c r="C29">
        <v>5866.2224406269997</v>
      </c>
      <c r="D29">
        <v>589.25</v>
      </c>
    </row>
    <row r="30" spans="2:4" x14ac:dyDescent="0.2">
      <c r="B30" s="3">
        <v>46021</v>
      </c>
      <c r="C30">
        <v>5871.1153712949999</v>
      </c>
      <c r="D30">
        <v>592.78</v>
      </c>
    </row>
    <row r="31" spans="2:4" x14ac:dyDescent="0.2">
      <c r="B31" s="3">
        <v>46022</v>
      </c>
      <c r="C31">
        <v>5828.4680667209996</v>
      </c>
      <c r="D31">
        <v>592.19000000000005</v>
      </c>
    </row>
    <row r="32" spans="2:4" x14ac:dyDescent="0.2">
      <c r="B32" s="3">
        <v>46022</v>
      </c>
      <c r="C32">
        <v>5828.4680667209996</v>
      </c>
      <c r="D32">
        <v>592.19000000000005</v>
      </c>
    </row>
    <row r="33" spans="2:4" x14ac:dyDescent="0.2">
      <c r="B33" s="3">
        <v>46024</v>
      </c>
      <c r="C33">
        <v>5852.4715830360001</v>
      </c>
      <c r="D33">
        <v>596.14</v>
      </c>
    </row>
    <row r="34" spans="2:4" x14ac:dyDescent="0.2">
      <c r="B34" s="3">
        <v>46027</v>
      </c>
      <c r="C34">
        <v>5889.1058245920003</v>
      </c>
      <c r="D34">
        <v>601.76</v>
      </c>
    </row>
    <row r="35" spans="2:4" x14ac:dyDescent="0.2">
      <c r="B35" s="3">
        <v>46028</v>
      </c>
      <c r="C35">
        <v>5942.3345484800002</v>
      </c>
      <c r="D35">
        <v>605.28</v>
      </c>
    </row>
    <row r="36" spans="2:4" x14ac:dyDescent="0.2">
      <c r="B36" s="3">
        <v>46029</v>
      </c>
      <c r="C36">
        <v>5929.0217127240003</v>
      </c>
      <c r="D36">
        <v>604.99</v>
      </c>
    </row>
    <row r="37" spans="2:4" x14ac:dyDescent="0.2">
      <c r="B37" s="3">
        <v>46030</v>
      </c>
      <c r="C37">
        <v>5937.087471238</v>
      </c>
      <c r="D37">
        <v>603.83000000000004</v>
      </c>
    </row>
    <row r="38" spans="2:4" x14ac:dyDescent="0.2">
      <c r="B38" s="3">
        <v>46031</v>
      </c>
      <c r="C38">
        <v>5986.3367437870002</v>
      </c>
      <c r="D38">
        <v>609.66999999999996</v>
      </c>
    </row>
    <row r="39" spans="2:4" x14ac:dyDescent="0.2">
      <c r="B39" s="3">
        <v>46034</v>
      </c>
      <c r="C39">
        <v>5980.3533767999998</v>
      </c>
      <c r="D39">
        <v>610.95000000000005</v>
      </c>
    </row>
    <row r="40" spans="2:4" x14ac:dyDescent="0.2">
      <c r="B40" s="3">
        <v>46035</v>
      </c>
      <c r="C40">
        <v>5982.0573629529999</v>
      </c>
      <c r="D40">
        <v>610.44000000000005</v>
      </c>
    </row>
    <row r="41" spans="2:4" x14ac:dyDescent="0.2">
      <c r="B41" s="3">
        <v>46036</v>
      </c>
      <c r="C41">
        <v>5949.668986056</v>
      </c>
      <c r="D41" s="2">
        <v>611.55999999999995</v>
      </c>
    </row>
    <row r="42" spans="2:4" x14ac:dyDescent="0.2">
      <c r="B42" s="3">
        <v>46037</v>
      </c>
      <c r="C42">
        <v>5983.4958784780001</v>
      </c>
      <c r="D42">
        <v>614.57000000000005</v>
      </c>
    </row>
    <row r="43" spans="2:4" x14ac:dyDescent="0.2">
      <c r="B43" s="3">
        <v>46038</v>
      </c>
      <c r="C43">
        <v>5984.3007917550003</v>
      </c>
      <c r="D43">
        <v>614.38</v>
      </c>
    </row>
    <row r="44" spans="2:4" x14ac:dyDescent="0.2">
      <c r="B44" s="3">
        <v>46038</v>
      </c>
      <c r="C44">
        <v>5984.3007917550003</v>
      </c>
      <c r="D44" s="2" t="s">
        <v>5</v>
      </c>
    </row>
    <row r="45" spans="2:4" x14ac:dyDescent="0.2">
      <c r="B45" s="3">
        <v>46042</v>
      </c>
      <c r="C45">
        <v>5797.3824193600003</v>
      </c>
      <c r="D45">
        <v>602.79999999999995</v>
      </c>
    </row>
    <row r="46" spans="2:4" x14ac:dyDescent="0.2">
      <c r="B46" s="3">
        <v>46043</v>
      </c>
      <c r="C46">
        <v>5885.6642091060003</v>
      </c>
      <c r="D46">
        <v>602.66999999999996</v>
      </c>
    </row>
    <row r="47" spans="2:4" x14ac:dyDescent="0.2">
      <c r="B47" s="3">
        <v>46044</v>
      </c>
      <c r="C47">
        <v>5881.6724810400001</v>
      </c>
      <c r="D47">
        <v>608.86</v>
      </c>
    </row>
    <row r="48" spans="2:4" x14ac:dyDescent="0.2">
      <c r="B48" s="3">
        <v>46045</v>
      </c>
      <c r="C48">
        <v>5847.7711672539999</v>
      </c>
      <c r="D48">
        <v>608.34</v>
      </c>
    </row>
    <row r="49" spans="2:4" x14ac:dyDescent="0.2">
      <c r="B49" s="3">
        <v>46048</v>
      </c>
      <c r="C49">
        <v>5850.844470604</v>
      </c>
      <c r="D49">
        <v>609.57000000000005</v>
      </c>
    </row>
    <row r="50" spans="2:4" x14ac:dyDescent="0.2">
      <c r="B50" s="3">
        <v>46049</v>
      </c>
      <c r="C50">
        <v>5795.7247254499998</v>
      </c>
      <c r="D50">
        <v>613.11</v>
      </c>
    </row>
    <row r="51" spans="2:4" x14ac:dyDescent="0.2">
      <c r="B51" s="3">
        <v>46050</v>
      </c>
      <c r="C51">
        <v>5838.3776383920003</v>
      </c>
      <c r="D51">
        <v>608.51</v>
      </c>
    </row>
    <row r="52" spans="2:4" x14ac:dyDescent="0.2">
      <c r="B52" s="3">
        <v>46051</v>
      </c>
      <c r="C52">
        <v>5822.5355748809998</v>
      </c>
      <c r="D52" s="2">
        <v>607.14</v>
      </c>
    </row>
    <row r="53" spans="2:4" x14ac:dyDescent="0.2">
      <c r="B53" s="3">
        <v>46052</v>
      </c>
      <c r="C53">
        <v>5856.6796785899996</v>
      </c>
      <c r="D53">
        <v>611</v>
      </c>
    </row>
    <row r="54" spans="2:4" x14ac:dyDescent="0.2">
      <c r="B54" s="3">
        <v>45988</v>
      </c>
      <c r="C54" s="2" t="s">
        <v>5</v>
      </c>
      <c r="D54">
        <v>575</v>
      </c>
    </row>
    <row r="55" spans="2:4" x14ac:dyDescent="0.2">
      <c r="B55" s="3">
        <v>46041</v>
      </c>
      <c r="C55" s="2" t="s">
        <v>5</v>
      </c>
      <c r="D55">
        <v>607.05999999999995</v>
      </c>
    </row>
    <row r="56" spans="2:4" x14ac:dyDescent="0.2">
      <c r="B56" s="3"/>
    </row>
    <row r="57" spans="2:4" x14ac:dyDescent="0.2">
      <c r="B57" s="3"/>
    </row>
    <row r="58" spans="2:4" x14ac:dyDescent="0.2">
      <c r="B58" s="3"/>
    </row>
    <row r="59" spans="2:4" x14ac:dyDescent="0.2">
      <c r="B59" s="3"/>
    </row>
    <row r="60" spans="2:4" x14ac:dyDescent="0.2">
      <c r="B60" s="3"/>
    </row>
    <row r="61" spans="2:4" x14ac:dyDescent="0.2">
      <c r="B61" s="3"/>
    </row>
    <row r="62" spans="2:4" x14ac:dyDescent="0.2">
      <c r="B62" s="3"/>
    </row>
    <row r="63" spans="2:4" x14ac:dyDescent="0.2">
      <c r="B63" s="3"/>
    </row>
    <row r="64" spans="2:4" x14ac:dyDescent="0.2">
      <c r="B64" s="3"/>
    </row>
    <row r="65" spans="2:2" x14ac:dyDescent="0.2">
      <c r="B65" s="3"/>
    </row>
    <row r="66" spans="2:2" x14ac:dyDescent="0.2">
      <c r="B66" s="3"/>
    </row>
    <row r="67" spans="2:2" x14ac:dyDescent="0.2">
      <c r="B67" s="3"/>
    </row>
    <row r="68" spans="2:2" x14ac:dyDescent="0.2">
      <c r="B68" s="3"/>
    </row>
    <row r="69" spans="2:2" x14ac:dyDescent="0.2">
      <c r="B69" s="3"/>
    </row>
    <row r="70" spans="2:2" x14ac:dyDescent="0.2">
      <c r="B70" s="3"/>
    </row>
    <row r="71" spans="2:2" x14ac:dyDescent="0.2">
      <c r="B71" s="3"/>
    </row>
    <row r="72" spans="2:2" x14ac:dyDescent="0.2">
      <c r="B72" s="3"/>
    </row>
    <row r="73" spans="2:2" x14ac:dyDescent="0.2">
      <c r="B73" s="3"/>
    </row>
    <row r="74" spans="2:2" x14ac:dyDescent="0.2">
      <c r="B74" s="3"/>
    </row>
    <row r="75" spans="2:2" x14ac:dyDescent="0.2">
      <c r="B75" s="3"/>
    </row>
    <row r="76" spans="2:2" x14ac:dyDescent="0.2">
      <c r="B76" s="3"/>
    </row>
    <row r="77" spans="2:2" x14ac:dyDescent="0.2">
      <c r="B77" s="3"/>
    </row>
    <row r="78" spans="2:2" x14ac:dyDescent="0.2">
      <c r="B78" s="3"/>
    </row>
    <row r="79" spans="2:2" x14ac:dyDescent="0.2">
      <c r="B79" s="3"/>
    </row>
    <row r="80" spans="2:2" x14ac:dyDescent="0.2">
      <c r="B80" s="3"/>
    </row>
    <row r="81" spans="2:4" x14ac:dyDescent="0.2">
      <c r="B81" s="3"/>
    </row>
    <row r="82" spans="2:4" x14ac:dyDescent="0.2">
      <c r="B82" s="3"/>
    </row>
    <row r="83" spans="2:4" x14ac:dyDescent="0.2">
      <c r="B83" s="3"/>
    </row>
    <row r="84" spans="2:4" x14ac:dyDescent="0.2">
      <c r="B84" s="3"/>
    </row>
    <row r="85" spans="2:4" x14ac:dyDescent="0.2">
      <c r="B85" s="3"/>
    </row>
    <row r="86" spans="2:4" x14ac:dyDescent="0.2">
      <c r="B86" s="3"/>
    </row>
    <row r="87" spans="2:4" x14ac:dyDescent="0.2">
      <c r="B87" s="3"/>
    </row>
    <row r="88" spans="2:4" x14ac:dyDescent="0.2">
      <c r="B88" s="3"/>
    </row>
    <row r="89" spans="2:4" x14ac:dyDescent="0.2">
      <c r="B89" s="3"/>
    </row>
    <row r="90" spans="2:4" x14ac:dyDescent="0.2">
      <c r="B90" s="3"/>
    </row>
    <row r="91" spans="2:4" x14ac:dyDescent="0.2">
      <c r="B91" s="3"/>
    </row>
    <row r="92" spans="2:4" x14ac:dyDescent="0.2">
      <c r="B92" s="3"/>
    </row>
    <row r="93" spans="2:4" x14ac:dyDescent="0.2">
      <c r="B93" s="3"/>
      <c r="D93" s="2"/>
    </row>
    <row r="94" spans="2:4" x14ac:dyDescent="0.2">
      <c r="B94" s="3"/>
    </row>
    <row r="95" spans="2:4" x14ac:dyDescent="0.2">
      <c r="B95" s="3"/>
    </row>
    <row r="96" spans="2:4" x14ac:dyDescent="0.2">
      <c r="B96" s="3"/>
    </row>
    <row r="97" spans="2:2" x14ac:dyDescent="0.2">
      <c r="B97" s="3"/>
    </row>
    <row r="98" spans="2:2" x14ac:dyDescent="0.2">
      <c r="B98" s="3"/>
    </row>
    <row r="99" spans="2:2" x14ac:dyDescent="0.2">
      <c r="B99" s="3"/>
    </row>
    <row r="100" spans="2:2" x14ac:dyDescent="0.2">
      <c r="B100" s="3"/>
    </row>
    <row r="101" spans="2:2" x14ac:dyDescent="0.2">
      <c r="B101" s="3"/>
    </row>
    <row r="102" spans="2:2" x14ac:dyDescent="0.2">
      <c r="B102" s="3"/>
    </row>
    <row r="103" spans="2:2" x14ac:dyDescent="0.2">
      <c r="B103" s="3"/>
    </row>
    <row r="104" spans="2:2" x14ac:dyDescent="0.2">
      <c r="B104" s="3"/>
    </row>
    <row r="105" spans="2:2" x14ac:dyDescent="0.2">
      <c r="B105" s="3"/>
    </row>
    <row r="106" spans="2:2" x14ac:dyDescent="0.2">
      <c r="B106" s="3"/>
    </row>
    <row r="107" spans="2:2" x14ac:dyDescent="0.2">
      <c r="B107" s="3"/>
    </row>
    <row r="108" spans="2:2" x14ac:dyDescent="0.2">
      <c r="B108" s="3"/>
    </row>
    <row r="109" spans="2:2" x14ac:dyDescent="0.2">
      <c r="B109" s="3"/>
    </row>
    <row r="110" spans="2:2" x14ac:dyDescent="0.2">
      <c r="B110" s="3"/>
    </row>
    <row r="111" spans="2:2" x14ac:dyDescent="0.2">
      <c r="B111" s="3"/>
    </row>
    <row r="112" spans="2:2" x14ac:dyDescent="0.2">
      <c r="B112" s="3"/>
    </row>
    <row r="113" spans="2:2" x14ac:dyDescent="0.2">
      <c r="B113" s="3"/>
    </row>
    <row r="114" spans="2:2" x14ac:dyDescent="0.2">
      <c r="B114" s="3"/>
    </row>
    <row r="115" spans="2:2" x14ac:dyDescent="0.2">
      <c r="B115" s="3"/>
    </row>
    <row r="116" spans="2:2" x14ac:dyDescent="0.2">
      <c r="B116" s="3"/>
    </row>
    <row r="117" spans="2:2" x14ac:dyDescent="0.2">
      <c r="B117" s="3"/>
    </row>
    <row r="118" spans="2:2" x14ac:dyDescent="0.2">
      <c r="B118" s="3"/>
    </row>
    <row r="119" spans="2:2" x14ac:dyDescent="0.2">
      <c r="B119" s="3"/>
    </row>
    <row r="120" spans="2:2" x14ac:dyDescent="0.2">
      <c r="B120" s="3"/>
    </row>
    <row r="121" spans="2:2" x14ac:dyDescent="0.2">
      <c r="B121" s="3"/>
    </row>
    <row r="122" spans="2:2" x14ac:dyDescent="0.2">
      <c r="B122" s="3"/>
    </row>
    <row r="123" spans="2:2" x14ac:dyDescent="0.2">
      <c r="B123" s="3"/>
    </row>
    <row r="124" spans="2:2" x14ac:dyDescent="0.2">
      <c r="B124" s="3"/>
    </row>
    <row r="125" spans="2:2" x14ac:dyDescent="0.2">
      <c r="B125" s="3"/>
    </row>
    <row r="126" spans="2:2" x14ac:dyDescent="0.2">
      <c r="B126" s="3"/>
    </row>
    <row r="127" spans="2:2" x14ac:dyDescent="0.2">
      <c r="B127" s="3"/>
    </row>
    <row r="128" spans="2:2" x14ac:dyDescent="0.2">
      <c r="B128" s="3"/>
    </row>
    <row r="129" spans="2:2" x14ac:dyDescent="0.2">
      <c r="B129" s="3"/>
    </row>
    <row r="130" spans="2:2" x14ac:dyDescent="0.2">
      <c r="B130" s="3"/>
    </row>
    <row r="131" spans="2:2" x14ac:dyDescent="0.2">
      <c r="B131" s="3"/>
    </row>
    <row r="132" spans="2:2" x14ac:dyDescent="0.2">
      <c r="B132" s="3"/>
    </row>
    <row r="133" spans="2:2" x14ac:dyDescent="0.2">
      <c r="B133" s="3"/>
    </row>
    <row r="134" spans="2:2" x14ac:dyDescent="0.2">
      <c r="B134" s="3"/>
    </row>
    <row r="135" spans="2:2" x14ac:dyDescent="0.2">
      <c r="B135" s="3"/>
    </row>
    <row r="136" spans="2:2" x14ac:dyDescent="0.2">
      <c r="B136" s="3"/>
    </row>
    <row r="137" spans="2:2" x14ac:dyDescent="0.2">
      <c r="B137" s="3"/>
    </row>
    <row r="138" spans="2:2" x14ac:dyDescent="0.2">
      <c r="B138" s="3"/>
    </row>
    <row r="139" spans="2:2" x14ac:dyDescent="0.2">
      <c r="B139" s="3"/>
    </row>
    <row r="140" spans="2:2" x14ac:dyDescent="0.2">
      <c r="B140" s="3"/>
    </row>
    <row r="141" spans="2:2" x14ac:dyDescent="0.2">
      <c r="B141" s="3"/>
    </row>
    <row r="142" spans="2:2" x14ac:dyDescent="0.2">
      <c r="B142" s="3"/>
    </row>
    <row r="143" spans="2:2" x14ac:dyDescent="0.2">
      <c r="B143" s="3"/>
    </row>
    <row r="144" spans="2:2" x14ac:dyDescent="0.2">
      <c r="B144" s="3"/>
    </row>
    <row r="145" spans="2:4" x14ac:dyDescent="0.2">
      <c r="B145" s="3"/>
    </row>
    <row r="146" spans="2:4" x14ac:dyDescent="0.2">
      <c r="B146" s="3"/>
    </row>
    <row r="147" spans="2:4" x14ac:dyDescent="0.2">
      <c r="B147" s="3"/>
    </row>
    <row r="148" spans="2:4" x14ac:dyDescent="0.2">
      <c r="B148" s="3"/>
    </row>
    <row r="149" spans="2:4" x14ac:dyDescent="0.2">
      <c r="B149" s="3"/>
    </row>
    <row r="150" spans="2:4" x14ac:dyDescent="0.2">
      <c r="B150" s="3"/>
    </row>
    <row r="151" spans="2:4" x14ac:dyDescent="0.2">
      <c r="B151" s="3"/>
    </row>
    <row r="152" spans="2:4" x14ac:dyDescent="0.2">
      <c r="B152" s="3"/>
      <c r="D152" s="2"/>
    </row>
    <row r="153" spans="2:4" x14ac:dyDescent="0.2">
      <c r="B153" s="3"/>
      <c r="C153" s="2"/>
      <c r="D153" s="2"/>
    </row>
    <row r="154" spans="2:4" x14ac:dyDescent="0.2">
      <c r="B154" s="3"/>
      <c r="C154" s="2"/>
    </row>
    <row r="155" spans="2:4" x14ac:dyDescent="0.2">
      <c r="B155" s="3"/>
      <c r="C155" s="2"/>
    </row>
    <row r="156" spans="2:4" x14ac:dyDescent="0.2">
      <c r="B156" s="3"/>
      <c r="C156" s="2"/>
    </row>
    <row r="157" spans="2:4" x14ac:dyDescent="0.2">
      <c r="B157" s="3"/>
      <c r="C157" s="2"/>
    </row>
    <row r="158" spans="2:4" x14ac:dyDescent="0.2">
      <c r="B158" s="3"/>
      <c r="C158" s="2"/>
    </row>
    <row r="159" spans="2:4" x14ac:dyDescent="0.2">
      <c r="B159" s="3"/>
      <c r="C159" s="2"/>
    </row>
  </sheetData>
  <pageMargins left="0.7" right="0.7" top="0.75" bottom="0.75" header="0.3" footer="0.3"/>
  <customProperties>
    <customPr name="REFI_OFFICE_FUNCTION_DATA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588D9-6604-4944-9C11-8795CC6F12B4}">
  <dimension ref="A1:P158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11.6640625" customWidth="1"/>
    <col min="7" max="7" width="18" customWidth="1"/>
    <col min="8" max="8" width="14.1640625" customWidth="1"/>
    <col min="9" max="9" width="13" customWidth="1"/>
    <col min="13" max="13" width="14.33203125" customWidth="1"/>
    <col min="14" max="14" width="13.6640625" customWidth="1"/>
    <col min="15" max="15" width="9.6640625" customWidth="1"/>
    <col min="16" max="16" width="11.33203125" customWidth="1"/>
  </cols>
  <sheetData>
    <row r="1" spans="1:16" x14ac:dyDescent="0.2">
      <c r="B1" s="2" t="s">
        <v>12</v>
      </c>
      <c r="C1" s="2" t="s">
        <v>13</v>
      </c>
      <c r="G1" s="10" t="s">
        <v>14</v>
      </c>
      <c r="H1" s="10" t="s">
        <v>14</v>
      </c>
      <c r="I1" s="10" t="s">
        <v>15</v>
      </c>
      <c r="J1" s="10" t="s">
        <v>16</v>
      </c>
      <c r="M1" s="10" t="s">
        <v>14</v>
      </c>
      <c r="N1" s="10" t="s">
        <v>15</v>
      </c>
      <c r="O1" s="10" t="s">
        <v>16</v>
      </c>
      <c r="P1" s="10" t="s">
        <v>17</v>
      </c>
    </row>
    <row r="2" spans="1:16" x14ac:dyDescent="0.2">
      <c r="A2" s="3">
        <v>45775</v>
      </c>
      <c r="B2">
        <v>4840.8591600059999</v>
      </c>
      <c r="C2">
        <v>523.19000000000005</v>
      </c>
      <c r="G2" s="3">
        <v>45775</v>
      </c>
      <c r="H2" s="3">
        <v>45775</v>
      </c>
      <c r="I2">
        <v>4840.8591600059999</v>
      </c>
      <c r="J2">
        <v>523.19000000000005</v>
      </c>
      <c r="M2" s="3">
        <v>45775</v>
      </c>
      <c r="N2">
        <v>1</v>
      </c>
      <c r="O2">
        <v>1</v>
      </c>
      <c r="P2">
        <v>1</v>
      </c>
    </row>
    <row r="3" spans="1:16" x14ac:dyDescent="0.2">
      <c r="A3" s="3">
        <v>45776</v>
      </c>
      <c r="B3">
        <v>4884.3523954499997</v>
      </c>
      <c r="C3">
        <v>525.09</v>
      </c>
      <c r="G3" s="3">
        <v>45776</v>
      </c>
      <c r="H3" s="3">
        <v>45776</v>
      </c>
      <c r="I3">
        <v>4884.3523954499997</v>
      </c>
      <c r="J3">
        <v>525.09</v>
      </c>
      <c r="M3" s="3">
        <v>45776</v>
      </c>
      <c r="N3">
        <f>I3/$I$2</f>
        <v>1.0089846107904419</v>
      </c>
      <c r="O3">
        <f>J3/$J$2</f>
        <v>1.003631567881649</v>
      </c>
      <c r="P3">
        <v>0.99788386596624978</v>
      </c>
    </row>
    <row r="4" spans="1:16" x14ac:dyDescent="0.2">
      <c r="A4" s="3">
        <v>45777</v>
      </c>
      <c r="B4">
        <v>4916.6487703949997</v>
      </c>
      <c r="C4">
        <v>527.48</v>
      </c>
      <c r="G4" s="3">
        <v>45777</v>
      </c>
      <c r="H4" s="3">
        <v>45777</v>
      </c>
      <c r="I4">
        <v>4916.6487703949997</v>
      </c>
      <c r="J4">
        <v>527.48</v>
      </c>
      <c r="M4" s="3">
        <v>45777</v>
      </c>
      <c r="N4">
        <f t="shared" ref="N4:N67" si="0">I4/$I$2</f>
        <v>1.0156562312358011</v>
      </c>
      <c r="O4">
        <f t="shared" ref="O4:O67" si="1">J4/$J$2</f>
        <v>1.0081996980064603</v>
      </c>
      <c r="P4">
        <v>0.9826644045284233</v>
      </c>
    </row>
    <row r="5" spans="1:16" x14ac:dyDescent="0.2">
      <c r="A5" s="3">
        <v>45778</v>
      </c>
      <c r="B5">
        <v>4963.363783758</v>
      </c>
      <c r="C5">
        <v>527.6</v>
      </c>
      <c r="G5" s="3">
        <v>45778</v>
      </c>
      <c r="H5" s="3">
        <v>45778</v>
      </c>
      <c r="I5">
        <v>4963.363783758</v>
      </c>
      <c r="J5">
        <v>527.6</v>
      </c>
      <c r="M5" s="3">
        <v>45778</v>
      </c>
      <c r="N5">
        <f t="shared" si="0"/>
        <v>1.0253063804797511</v>
      </c>
      <c r="O5">
        <f t="shared" si="1"/>
        <v>1.0084290601884591</v>
      </c>
      <c r="P5">
        <v>0.98118698826264183</v>
      </c>
    </row>
    <row r="6" spans="1:16" x14ac:dyDescent="0.2">
      <c r="A6" s="3">
        <v>45779</v>
      </c>
      <c r="B6">
        <v>5034.6975341799998</v>
      </c>
      <c r="C6">
        <v>536.42999999999995</v>
      </c>
      <c r="G6" s="3">
        <v>45779</v>
      </c>
      <c r="H6" s="3">
        <v>45779</v>
      </c>
      <c r="I6">
        <v>5034.6975341799998</v>
      </c>
      <c r="J6">
        <v>536.42999999999995</v>
      </c>
      <c r="M6" s="3">
        <v>45779</v>
      </c>
      <c r="N6">
        <f t="shared" si="0"/>
        <v>1.0400421428855946</v>
      </c>
      <c r="O6">
        <f t="shared" si="1"/>
        <v>1.0253062940805442</v>
      </c>
      <c r="P6">
        <v>0.9918788569264918</v>
      </c>
    </row>
    <row r="7" spans="1:16" x14ac:dyDescent="0.2">
      <c r="A7" s="3">
        <v>45782</v>
      </c>
      <c r="B7">
        <v>4994.1463693619999</v>
      </c>
      <c r="C7">
        <v>537.30999999999995</v>
      </c>
      <c r="G7" s="3">
        <v>45782</v>
      </c>
      <c r="H7" s="3">
        <v>45782</v>
      </c>
      <c r="I7">
        <v>4994.1463693619999</v>
      </c>
      <c r="J7">
        <v>537.30999999999995</v>
      </c>
      <c r="M7" s="3">
        <v>45782</v>
      </c>
      <c r="N7">
        <f t="shared" si="0"/>
        <v>1.0316652900424002</v>
      </c>
      <c r="O7">
        <f t="shared" si="1"/>
        <v>1.0269882834152027</v>
      </c>
      <c r="P7">
        <v>0.99607989222916982</v>
      </c>
    </row>
    <row r="8" spans="1:16" x14ac:dyDescent="0.2">
      <c r="A8" s="3">
        <v>45783</v>
      </c>
      <c r="B8">
        <v>4932.1716356879997</v>
      </c>
      <c r="C8">
        <v>536.35</v>
      </c>
      <c r="G8" s="3">
        <v>45783</v>
      </c>
      <c r="H8" s="3">
        <v>45783</v>
      </c>
      <c r="I8">
        <v>4932.1716356879997</v>
      </c>
      <c r="J8">
        <v>536.35</v>
      </c>
      <c r="M8" s="3">
        <v>45783</v>
      </c>
      <c r="N8">
        <f t="shared" si="0"/>
        <v>1.0188628655913812</v>
      </c>
      <c r="O8">
        <f t="shared" si="1"/>
        <v>1.0251533859592117</v>
      </c>
      <c r="P8">
        <v>0.99383103118717353</v>
      </c>
    </row>
    <row r="9" spans="1:16" x14ac:dyDescent="0.2">
      <c r="A9" s="3">
        <v>45784</v>
      </c>
      <c r="B9">
        <v>4983.8555440290002</v>
      </c>
      <c r="C9">
        <v>533.47</v>
      </c>
      <c r="G9" s="3">
        <v>45784</v>
      </c>
      <c r="H9" s="3">
        <v>45784</v>
      </c>
      <c r="I9">
        <v>4983.8555440290002</v>
      </c>
      <c r="J9">
        <v>533.47</v>
      </c>
      <c r="M9" s="3">
        <v>45784</v>
      </c>
      <c r="N9">
        <f t="shared" si="0"/>
        <v>1.0295394638217119</v>
      </c>
      <c r="O9">
        <f t="shared" si="1"/>
        <v>1.0196486935912383</v>
      </c>
      <c r="P9">
        <v>0.99022201802807186</v>
      </c>
    </row>
    <row r="10" spans="1:16" x14ac:dyDescent="0.2">
      <c r="A10" s="3">
        <v>45785</v>
      </c>
      <c r="B10">
        <v>5044.9273739030004</v>
      </c>
      <c r="C10">
        <v>535.63</v>
      </c>
      <c r="G10" s="3">
        <v>45785</v>
      </c>
      <c r="H10" s="3">
        <v>45785</v>
      </c>
      <c r="I10">
        <v>5044.9273739030004</v>
      </c>
      <c r="J10">
        <v>535.63</v>
      </c>
      <c r="M10" s="3">
        <v>45785</v>
      </c>
      <c r="N10">
        <f t="shared" si="0"/>
        <v>1.0421553710099567</v>
      </c>
      <c r="O10">
        <f t="shared" si="1"/>
        <v>1.0237772128672182</v>
      </c>
      <c r="P10">
        <v>0.99283465338276533</v>
      </c>
    </row>
    <row r="11" spans="1:16" x14ac:dyDescent="0.2">
      <c r="A11" s="3">
        <v>45786</v>
      </c>
      <c r="B11">
        <v>5032.3978232990003</v>
      </c>
      <c r="C11">
        <v>537.96</v>
      </c>
      <c r="G11" s="3">
        <v>45786</v>
      </c>
      <c r="H11" s="3">
        <v>45786</v>
      </c>
      <c r="I11">
        <v>5032.3978232990003</v>
      </c>
      <c r="J11">
        <v>537.96</v>
      </c>
      <c r="M11" s="3">
        <v>45786</v>
      </c>
      <c r="N11">
        <f t="shared" si="0"/>
        <v>1.0395670803388468</v>
      </c>
      <c r="O11">
        <f t="shared" si="1"/>
        <v>1.0282306619010302</v>
      </c>
      <c r="P11">
        <v>1.004264183709102</v>
      </c>
    </row>
    <row r="12" spans="1:16" x14ac:dyDescent="0.2">
      <c r="A12" s="3">
        <v>45789</v>
      </c>
      <c r="B12">
        <v>5271.2226359320002</v>
      </c>
      <c r="C12">
        <v>544.49</v>
      </c>
      <c r="G12" s="3">
        <v>45789</v>
      </c>
      <c r="H12" s="3">
        <v>45789</v>
      </c>
      <c r="I12">
        <v>5271.2226359320002</v>
      </c>
      <c r="J12">
        <v>544.49</v>
      </c>
      <c r="M12" s="3">
        <v>45789</v>
      </c>
      <c r="N12">
        <f t="shared" si="0"/>
        <v>1.0889022922793454</v>
      </c>
      <c r="O12">
        <f t="shared" si="1"/>
        <v>1.0407117873048031</v>
      </c>
      <c r="P12">
        <v>0.99742439022902585</v>
      </c>
    </row>
    <row r="13" spans="1:16" x14ac:dyDescent="0.2">
      <c r="A13" s="3">
        <v>45790</v>
      </c>
      <c r="B13">
        <v>5263.3434550640004</v>
      </c>
      <c r="C13">
        <v>545.16999999999996</v>
      </c>
      <c r="G13" s="3">
        <v>45790</v>
      </c>
      <c r="H13" s="3">
        <v>45790</v>
      </c>
      <c r="I13">
        <v>5263.3434550640004</v>
      </c>
      <c r="J13">
        <v>545.16999999999996</v>
      </c>
      <c r="M13" s="3">
        <v>45790</v>
      </c>
      <c r="N13">
        <f t="shared" si="0"/>
        <v>1.0872746512743983</v>
      </c>
      <c r="O13">
        <f t="shared" si="1"/>
        <v>1.0420115063361302</v>
      </c>
      <c r="P13">
        <v>1.0043448627517775</v>
      </c>
    </row>
    <row r="14" spans="1:16" x14ac:dyDescent="0.2">
      <c r="A14" s="3">
        <v>45791</v>
      </c>
      <c r="B14">
        <v>5273.450646585</v>
      </c>
      <c r="C14">
        <v>543.88</v>
      </c>
      <c r="G14" s="3">
        <v>45791</v>
      </c>
      <c r="H14" s="3">
        <v>45791</v>
      </c>
      <c r="I14">
        <v>5273.450646585</v>
      </c>
      <c r="J14">
        <v>543.88</v>
      </c>
      <c r="M14" s="3">
        <v>45791</v>
      </c>
      <c r="N14">
        <f t="shared" si="0"/>
        <v>1.0893625433586183</v>
      </c>
      <c r="O14">
        <f t="shared" si="1"/>
        <v>1.0395458628796421</v>
      </c>
      <c r="P14">
        <v>1.0106639563133295</v>
      </c>
    </row>
    <row r="15" spans="1:16" x14ac:dyDescent="0.2">
      <c r="A15" s="3">
        <v>45792</v>
      </c>
      <c r="B15">
        <v>5289.0810715289999</v>
      </c>
      <c r="C15">
        <v>546.95000000000005</v>
      </c>
      <c r="G15" s="3">
        <v>45792</v>
      </c>
      <c r="H15" s="3">
        <v>45792</v>
      </c>
      <c r="I15">
        <v>5289.0810715289999</v>
      </c>
      <c r="J15">
        <v>546.95000000000005</v>
      </c>
      <c r="M15" s="3">
        <v>45792</v>
      </c>
      <c r="N15">
        <f t="shared" si="0"/>
        <v>1.0925913968384167</v>
      </c>
      <c r="O15">
        <f t="shared" si="1"/>
        <v>1.0454137120357805</v>
      </c>
      <c r="P15">
        <v>1.0090737752553822</v>
      </c>
    </row>
    <row r="16" spans="1:16" x14ac:dyDescent="0.2">
      <c r="A16" s="3">
        <v>45793</v>
      </c>
      <c r="B16">
        <v>5337.6319404100004</v>
      </c>
      <c r="C16">
        <v>549.26</v>
      </c>
      <c r="G16" s="3">
        <v>45793</v>
      </c>
      <c r="H16" s="3">
        <v>45793</v>
      </c>
      <c r="I16">
        <v>5337.6319404100004</v>
      </c>
      <c r="J16">
        <v>549.26</v>
      </c>
      <c r="M16" s="3">
        <v>45793</v>
      </c>
      <c r="N16">
        <f t="shared" si="0"/>
        <v>1.1026207877535905</v>
      </c>
      <c r="O16">
        <f t="shared" si="1"/>
        <v>1.049828934039259</v>
      </c>
      <c r="P16">
        <v>1.0100547096555859</v>
      </c>
    </row>
    <row r="17" spans="1:16" x14ac:dyDescent="0.2">
      <c r="A17" s="3">
        <v>45796</v>
      </c>
      <c r="B17">
        <v>5304.7453858879999</v>
      </c>
      <c r="C17">
        <v>549.98</v>
      </c>
      <c r="G17" s="3">
        <v>45796</v>
      </c>
      <c r="H17" s="3">
        <v>45796</v>
      </c>
      <c r="I17">
        <v>5304.7453858879999</v>
      </c>
      <c r="J17">
        <v>549.98</v>
      </c>
      <c r="M17" s="3">
        <v>45796</v>
      </c>
      <c r="N17">
        <f t="shared" si="0"/>
        <v>1.0958272510207516</v>
      </c>
      <c r="O17">
        <f t="shared" si="1"/>
        <v>1.0512051071312525</v>
      </c>
      <c r="P17">
        <v>1.017002809288942</v>
      </c>
    </row>
    <row r="18" spans="1:16" x14ac:dyDescent="0.2">
      <c r="A18" s="3">
        <v>45797</v>
      </c>
      <c r="B18">
        <v>5265.448809769</v>
      </c>
      <c r="C18">
        <v>554.02</v>
      </c>
      <c r="G18" s="3">
        <v>45797</v>
      </c>
      <c r="H18" s="3">
        <v>45797</v>
      </c>
      <c r="I18">
        <v>5265.448809769</v>
      </c>
      <c r="J18">
        <v>554.02</v>
      </c>
      <c r="M18" s="3">
        <v>45797</v>
      </c>
      <c r="N18">
        <f t="shared" si="0"/>
        <v>1.0877095647133996</v>
      </c>
      <c r="O18">
        <f t="shared" si="1"/>
        <v>1.0589269672585484</v>
      </c>
      <c r="P18">
        <v>1.0093913768374452</v>
      </c>
    </row>
    <row r="19" spans="1:16" x14ac:dyDescent="0.2">
      <c r="A19" s="3">
        <v>45798</v>
      </c>
      <c r="B19">
        <v>5158.9806545490001</v>
      </c>
      <c r="C19">
        <v>553.82000000000005</v>
      </c>
      <c r="G19" s="3">
        <v>45798</v>
      </c>
      <c r="H19" s="3">
        <v>45798</v>
      </c>
      <c r="I19">
        <v>5158.9806545490001</v>
      </c>
      <c r="J19">
        <v>553.82000000000005</v>
      </c>
      <c r="M19" s="3">
        <v>45798</v>
      </c>
      <c r="N19">
        <f t="shared" si="0"/>
        <v>1.0657159161272947</v>
      </c>
      <c r="O19">
        <f t="shared" si="1"/>
        <v>1.058544696955217</v>
      </c>
      <c r="P19">
        <v>1.0114347958630143</v>
      </c>
    </row>
    <row r="20" spans="1:16" x14ac:dyDescent="0.2">
      <c r="A20" s="3">
        <v>45799</v>
      </c>
      <c r="B20">
        <v>5179.0571981160001</v>
      </c>
      <c r="C20">
        <v>550.27</v>
      </c>
      <c r="G20" s="3">
        <v>45799</v>
      </c>
      <c r="H20" s="3">
        <v>45799</v>
      </c>
      <c r="I20">
        <v>5179.0571981160001</v>
      </c>
      <c r="J20">
        <v>550.27</v>
      </c>
      <c r="M20" s="3">
        <v>45799</v>
      </c>
      <c r="N20">
        <f t="shared" si="0"/>
        <v>1.0698632261198817</v>
      </c>
      <c r="O20">
        <f t="shared" si="1"/>
        <v>1.051759399071083</v>
      </c>
      <c r="P20">
        <v>1.0197990106738377</v>
      </c>
    </row>
    <row r="21" spans="1:16" x14ac:dyDescent="0.2">
      <c r="A21" s="3">
        <v>45800</v>
      </c>
      <c r="B21">
        <v>5106.3032035469996</v>
      </c>
      <c r="C21">
        <v>545.13</v>
      </c>
      <c r="G21" s="3">
        <v>45800</v>
      </c>
      <c r="H21" s="3">
        <v>45800</v>
      </c>
      <c r="I21">
        <v>5106.3032035469996</v>
      </c>
      <c r="J21">
        <v>545.13</v>
      </c>
      <c r="M21" s="3">
        <v>45800</v>
      </c>
      <c r="N21">
        <f t="shared" si="0"/>
        <v>1.0548340769204843</v>
      </c>
      <c r="O21">
        <f t="shared" si="1"/>
        <v>1.0419350522754638</v>
      </c>
      <c r="P21">
        <v>1.021808279286275</v>
      </c>
    </row>
    <row r="22" spans="1:16" x14ac:dyDescent="0.2">
      <c r="A22" s="3"/>
      <c r="C22" s="2"/>
      <c r="G22" s="3">
        <v>45804</v>
      </c>
      <c r="H22" s="3">
        <v>45804</v>
      </c>
      <c r="I22">
        <v>5227.3582189079998</v>
      </c>
      <c r="J22">
        <v>552.32000000000005</v>
      </c>
      <c r="M22" s="3">
        <v>45804</v>
      </c>
      <c r="N22">
        <f t="shared" si="0"/>
        <v>1.0798410046908948</v>
      </c>
      <c r="O22">
        <f t="shared" si="1"/>
        <v>1.0556776696802308</v>
      </c>
      <c r="P22">
        <v>1.0335822218443547</v>
      </c>
    </row>
    <row r="23" spans="1:16" x14ac:dyDescent="0.2">
      <c r="A23" s="3">
        <v>45804</v>
      </c>
      <c r="B23">
        <v>5227.3582189079998</v>
      </c>
      <c r="C23">
        <v>552.32000000000005</v>
      </c>
      <c r="G23" s="3">
        <v>45805</v>
      </c>
      <c r="H23" s="3">
        <v>45805</v>
      </c>
      <c r="I23">
        <v>5214.7844115079997</v>
      </c>
      <c r="J23">
        <v>548.92999999999995</v>
      </c>
      <c r="M23" s="3">
        <v>45805</v>
      </c>
      <c r="N23">
        <f t="shared" si="0"/>
        <v>1.0772435716765485</v>
      </c>
      <c r="O23">
        <f t="shared" si="1"/>
        <v>1.049198188038762</v>
      </c>
      <c r="P23">
        <v>1.0383825189005067</v>
      </c>
    </row>
    <row r="24" spans="1:16" x14ac:dyDescent="0.2">
      <c r="A24" s="3">
        <v>45805</v>
      </c>
      <c r="B24">
        <v>5214.7844115079997</v>
      </c>
      <c r="C24">
        <v>548.92999999999995</v>
      </c>
      <c r="G24" s="3">
        <v>45806</v>
      </c>
      <c r="H24" s="3">
        <v>45806</v>
      </c>
      <c r="I24">
        <v>5199.3420375610003</v>
      </c>
      <c r="J24">
        <v>547.88</v>
      </c>
      <c r="M24" s="3">
        <v>45806</v>
      </c>
      <c r="N24">
        <f t="shared" si="0"/>
        <v>1.0740535648127709</v>
      </c>
      <c r="O24">
        <f t="shared" si="1"/>
        <v>1.0471912689462717</v>
      </c>
      <c r="P24">
        <v>1.0333234667012452</v>
      </c>
    </row>
    <row r="25" spans="1:16" x14ac:dyDescent="0.2">
      <c r="A25" s="3">
        <v>45806</v>
      </c>
      <c r="B25">
        <v>5199.3420375610003</v>
      </c>
      <c r="C25">
        <v>547.88</v>
      </c>
      <c r="G25" s="3">
        <v>45807</v>
      </c>
      <c r="H25" s="3">
        <v>45807</v>
      </c>
      <c r="I25">
        <v>5209.9103718429997</v>
      </c>
      <c r="J25">
        <v>548.66999999999996</v>
      </c>
      <c r="M25" s="3">
        <v>45807</v>
      </c>
      <c r="N25">
        <f t="shared" si="0"/>
        <v>1.0762367174170262</v>
      </c>
      <c r="O25">
        <f t="shared" si="1"/>
        <v>1.048701236644431</v>
      </c>
      <c r="P25">
        <v>1.0335631846596627</v>
      </c>
    </row>
    <row r="26" spans="1:16" x14ac:dyDescent="0.2">
      <c r="A26" s="3">
        <v>45807</v>
      </c>
      <c r="B26">
        <v>5209.9103718429997</v>
      </c>
      <c r="C26">
        <v>548.66999999999996</v>
      </c>
      <c r="G26" s="3">
        <v>45810</v>
      </c>
      <c r="H26" s="3">
        <v>45810</v>
      </c>
      <c r="I26">
        <v>5188.3092310499997</v>
      </c>
      <c r="J26">
        <v>547.91999999999996</v>
      </c>
      <c r="M26" s="3">
        <v>45810</v>
      </c>
      <c r="N26">
        <f t="shared" si="0"/>
        <v>1.071774463903959</v>
      </c>
      <c r="O26">
        <f t="shared" si="1"/>
        <v>1.047267723006938</v>
      </c>
      <c r="P26">
        <v>1.0458770568186775</v>
      </c>
    </row>
    <row r="27" spans="1:16" x14ac:dyDescent="0.2">
      <c r="A27" s="3">
        <v>45810</v>
      </c>
      <c r="B27">
        <v>5188.3092310499997</v>
      </c>
      <c r="C27">
        <v>547.91999999999996</v>
      </c>
      <c r="G27" s="3">
        <v>45811</v>
      </c>
      <c r="H27" s="3">
        <v>45811</v>
      </c>
      <c r="I27">
        <v>5250.9985355819999</v>
      </c>
      <c r="J27">
        <v>548.44000000000005</v>
      </c>
      <c r="M27" s="3">
        <v>45811</v>
      </c>
      <c r="N27">
        <f t="shared" si="0"/>
        <v>1.084724500758971</v>
      </c>
      <c r="O27">
        <f t="shared" si="1"/>
        <v>1.0482616257956001</v>
      </c>
      <c r="P27">
        <v>1.0477314779674098</v>
      </c>
    </row>
    <row r="28" spans="1:16" x14ac:dyDescent="0.2">
      <c r="A28" s="3">
        <v>45811</v>
      </c>
      <c r="B28">
        <v>5250.9985355819999</v>
      </c>
      <c r="C28">
        <v>548.44000000000005</v>
      </c>
      <c r="G28" s="3">
        <v>45812</v>
      </c>
      <c r="H28" s="3">
        <v>45812</v>
      </c>
      <c r="I28">
        <v>5229.7755737480002</v>
      </c>
      <c r="J28">
        <v>551.02</v>
      </c>
      <c r="M28" s="3">
        <v>45812</v>
      </c>
      <c r="N28">
        <f t="shared" si="0"/>
        <v>1.0803403695267841</v>
      </c>
      <c r="O28">
        <f t="shared" si="1"/>
        <v>1.0531929127085762</v>
      </c>
      <c r="P28">
        <v>1.0379179407592698</v>
      </c>
    </row>
    <row r="29" spans="1:16" x14ac:dyDescent="0.2">
      <c r="A29" s="3">
        <v>45812</v>
      </c>
      <c r="B29">
        <v>5229.7755737480002</v>
      </c>
      <c r="C29">
        <v>551.02</v>
      </c>
      <c r="G29" s="3">
        <v>45813</v>
      </c>
      <c r="H29" s="3">
        <v>45813</v>
      </c>
      <c r="I29">
        <v>5189.8820096059999</v>
      </c>
      <c r="J29">
        <v>551.88</v>
      </c>
      <c r="M29" s="3">
        <v>45813</v>
      </c>
      <c r="N29">
        <f t="shared" si="0"/>
        <v>1.0720993604778966</v>
      </c>
      <c r="O29">
        <f t="shared" si="1"/>
        <v>1.0548366750129015</v>
      </c>
      <c r="P29">
        <v>1.0496460169567663</v>
      </c>
    </row>
    <row r="30" spans="1:16" x14ac:dyDescent="0.2">
      <c r="A30" s="3">
        <v>45813</v>
      </c>
      <c r="B30">
        <v>5189.8820096059999</v>
      </c>
      <c r="C30">
        <v>551.88</v>
      </c>
      <c r="G30" s="3">
        <v>45814</v>
      </c>
      <c r="H30" s="3">
        <v>45814</v>
      </c>
      <c r="I30">
        <v>5266.2116535149999</v>
      </c>
      <c r="J30">
        <v>553.64</v>
      </c>
      <c r="M30" s="3">
        <v>45814</v>
      </c>
      <c r="N30">
        <f t="shared" si="0"/>
        <v>1.0878671490844349</v>
      </c>
      <c r="O30">
        <f t="shared" si="1"/>
        <v>1.0582006536822186</v>
      </c>
      <c r="P30">
        <v>1.0529729627322788</v>
      </c>
    </row>
    <row r="31" spans="1:16" x14ac:dyDescent="0.2">
      <c r="A31" s="3">
        <v>45814</v>
      </c>
      <c r="B31">
        <v>5266.2116535149999</v>
      </c>
      <c r="C31">
        <v>553.64</v>
      </c>
      <c r="G31" s="3">
        <v>45817</v>
      </c>
      <c r="H31" s="3">
        <v>45817</v>
      </c>
      <c r="I31">
        <v>5259.1119456099996</v>
      </c>
      <c r="J31">
        <v>553.24</v>
      </c>
      <c r="M31" s="3">
        <v>45817</v>
      </c>
      <c r="N31">
        <f t="shared" si="0"/>
        <v>1.0864005276293727</v>
      </c>
      <c r="O31">
        <f t="shared" si="1"/>
        <v>1.0574361130755556</v>
      </c>
      <c r="P31">
        <v>1.048953781055334</v>
      </c>
    </row>
    <row r="32" spans="1:16" x14ac:dyDescent="0.2">
      <c r="A32" s="3">
        <v>45817</v>
      </c>
      <c r="B32">
        <v>5259.1119456099996</v>
      </c>
      <c r="C32">
        <v>553.24</v>
      </c>
      <c r="G32" s="3">
        <v>45818</v>
      </c>
      <c r="H32" s="3">
        <v>45818</v>
      </c>
      <c r="I32">
        <v>5286.5517614939999</v>
      </c>
      <c r="J32">
        <v>553.12</v>
      </c>
      <c r="M32" s="3">
        <v>45818</v>
      </c>
      <c r="N32">
        <f t="shared" si="0"/>
        <v>1.0920689048692438</v>
      </c>
      <c r="O32">
        <f t="shared" si="1"/>
        <v>1.0572067508935568</v>
      </c>
      <c r="P32">
        <v>1.0297791501053362</v>
      </c>
    </row>
    <row r="33" spans="1:16" x14ac:dyDescent="0.2">
      <c r="A33" s="3">
        <v>45818</v>
      </c>
      <c r="B33">
        <v>5286.5517614939999</v>
      </c>
      <c r="C33">
        <v>553.12</v>
      </c>
      <c r="G33" s="3">
        <v>45819</v>
      </c>
      <c r="H33" s="3">
        <v>45819</v>
      </c>
      <c r="I33">
        <v>5242.6620766599999</v>
      </c>
      <c r="J33">
        <v>551.64</v>
      </c>
      <c r="M33" s="3">
        <v>45819</v>
      </c>
      <c r="N33">
        <f t="shared" si="0"/>
        <v>1.083002397585453</v>
      </c>
      <c r="O33">
        <f t="shared" si="1"/>
        <v>1.0543779506489037</v>
      </c>
      <c r="P33">
        <v>1.0343832402902635</v>
      </c>
    </row>
    <row r="34" spans="1:16" x14ac:dyDescent="0.2">
      <c r="A34" s="3">
        <v>45819</v>
      </c>
      <c r="B34">
        <v>5242.6620766599999</v>
      </c>
      <c r="C34">
        <v>551.64</v>
      </c>
      <c r="G34" s="3">
        <v>45820</v>
      </c>
      <c r="H34" s="3">
        <v>45820</v>
      </c>
      <c r="I34">
        <v>5219.0506034809996</v>
      </c>
      <c r="J34">
        <v>549.84</v>
      </c>
      <c r="M34" s="3">
        <v>45820</v>
      </c>
      <c r="N34">
        <f t="shared" si="0"/>
        <v>1.0781248598594906</v>
      </c>
      <c r="O34">
        <f t="shared" si="1"/>
        <v>1.0509375179189204</v>
      </c>
      <c r="P34">
        <v>1.0370969849702039</v>
      </c>
    </row>
    <row r="35" spans="1:16" x14ac:dyDescent="0.2">
      <c r="A35" s="3">
        <v>45820</v>
      </c>
      <c r="B35">
        <v>5219.0506034809996</v>
      </c>
      <c r="C35">
        <v>549.84</v>
      </c>
      <c r="G35" s="3">
        <v>45821</v>
      </c>
      <c r="H35" s="3">
        <v>45821</v>
      </c>
      <c r="I35">
        <v>5173.9605313350003</v>
      </c>
      <c r="J35">
        <v>544.94000000000005</v>
      </c>
      <c r="M35" s="3">
        <v>45821</v>
      </c>
      <c r="N35">
        <f t="shared" si="0"/>
        <v>1.0688103826859916</v>
      </c>
      <c r="O35">
        <f t="shared" si="1"/>
        <v>1.041571895487299</v>
      </c>
      <c r="P35">
        <v>1.0385286376736331</v>
      </c>
    </row>
    <row r="36" spans="1:16" x14ac:dyDescent="0.2">
      <c r="A36" s="3">
        <v>45821</v>
      </c>
      <c r="B36">
        <v>5173.9605313350003</v>
      </c>
      <c r="C36">
        <v>544.94000000000005</v>
      </c>
      <c r="G36" s="3">
        <v>45824</v>
      </c>
      <c r="H36" s="3">
        <v>45824</v>
      </c>
      <c r="I36">
        <v>5218.5162873740001</v>
      </c>
      <c r="J36">
        <v>546.91</v>
      </c>
      <c r="M36" s="3">
        <v>45824</v>
      </c>
      <c r="N36">
        <f t="shared" si="0"/>
        <v>1.0780144835627756</v>
      </c>
      <c r="O36">
        <f t="shared" si="1"/>
        <v>1.0453372579751141</v>
      </c>
      <c r="P36">
        <v>1.0494637477104549</v>
      </c>
    </row>
    <row r="37" spans="1:16" x14ac:dyDescent="0.2">
      <c r="A37" s="3">
        <v>45824</v>
      </c>
      <c r="B37">
        <v>5218.5162873740001</v>
      </c>
      <c r="C37">
        <v>546.91</v>
      </c>
      <c r="G37" s="3">
        <v>45825</v>
      </c>
      <c r="H37" s="3">
        <v>45825</v>
      </c>
      <c r="I37">
        <v>5211.9037417199997</v>
      </c>
      <c r="J37">
        <v>542.26</v>
      </c>
      <c r="M37" s="3">
        <v>45825</v>
      </c>
      <c r="N37">
        <f t="shared" si="0"/>
        <v>1.07664849760131</v>
      </c>
      <c r="O37">
        <f t="shared" si="1"/>
        <v>1.036449473422657</v>
      </c>
      <c r="P37">
        <v>1.0444562080090145</v>
      </c>
    </row>
    <row r="38" spans="1:16" x14ac:dyDescent="0.2">
      <c r="A38" s="3">
        <v>45825</v>
      </c>
      <c r="B38">
        <v>5211.9037417199997</v>
      </c>
      <c r="C38">
        <v>542.26</v>
      </c>
      <c r="G38" s="3">
        <v>45826</v>
      </c>
      <c r="H38" s="3">
        <v>45826</v>
      </c>
      <c r="I38">
        <v>5210.2907889799999</v>
      </c>
      <c r="J38">
        <v>540.33000000000004</v>
      </c>
      <c r="M38" s="3">
        <v>45826</v>
      </c>
      <c r="N38">
        <f t="shared" si="0"/>
        <v>1.0763153020493044</v>
      </c>
      <c r="O38">
        <f t="shared" si="1"/>
        <v>1.0327605649955083</v>
      </c>
      <c r="P38">
        <v>1.0512980307204283</v>
      </c>
    </row>
    <row r="39" spans="1:16" x14ac:dyDescent="0.2">
      <c r="A39" s="3">
        <v>45826</v>
      </c>
      <c r="B39">
        <v>5210.2907889799999</v>
      </c>
      <c r="C39">
        <v>540.33000000000004</v>
      </c>
      <c r="G39" s="3">
        <v>45827</v>
      </c>
      <c r="H39" s="3">
        <v>45827</v>
      </c>
      <c r="I39">
        <v>5210.2907889799999</v>
      </c>
      <c r="J39">
        <v>540.33000000000004</v>
      </c>
      <c r="M39" s="3">
        <v>45827</v>
      </c>
      <c r="N39">
        <f t="shared" si="0"/>
        <v>1.0763153020493044</v>
      </c>
      <c r="O39">
        <f t="shared" si="1"/>
        <v>1.0327605649955083</v>
      </c>
      <c r="P39">
        <v>1.0460842300332067</v>
      </c>
    </row>
    <row r="40" spans="1:16" x14ac:dyDescent="0.2">
      <c r="A40" s="3">
        <v>45826</v>
      </c>
      <c r="B40">
        <v>5210.2907889799999</v>
      </c>
      <c r="C40" s="2" t="s">
        <v>5</v>
      </c>
      <c r="G40" s="3">
        <v>45828</v>
      </c>
      <c r="H40" s="3">
        <v>45828</v>
      </c>
      <c r="I40">
        <v>5179.4879020500002</v>
      </c>
      <c r="J40">
        <v>536.53</v>
      </c>
      <c r="M40" s="3">
        <v>45828</v>
      </c>
      <c r="N40">
        <f t="shared" si="0"/>
        <v>1.069952198742254</v>
      </c>
      <c r="O40">
        <f t="shared" si="1"/>
        <v>1.0254974292322099</v>
      </c>
      <c r="P40">
        <v>1.0533586660279077</v>
      </c>
    </row>
    <row r="41" spans="1:16" x14ac:dyDescent="0.2">
      <c r="A41" s="3">
        <v>45828</v>
      </c>
      <c r="B41">
        <v>5179.4879020500002</v>
      </c>
      <c r="C41">
        <v>536.53</v>
      </c>
      <c r="G41" s="3">
        <v>45831</v>
      </c>
      <c r="H41" s="3">
        <v>45831</v>
      </c>
      <c r="I41">
        <v>5204.9068116400003</v>
      </c>
      <c r="J41">
        <v>535.03</v>
      </c>
      <c r="M41" s="3">
        <v>45831</v>
      </c>
      <c r="N41">
        <f t="shared" si="0"/>
        <v>1.0752031074652355</v>
      </c>
      <c r="O41">
        <f t="shared" si="1"/>
        <v>1.0226304019572239</v>
      </c>
      <c r="P41">
        <v>1.042317138399091</v>
      </c>
    </row>
    <row r="42" spans="1:16" x14ac:dyDescent="0.2">
      <c r="A42" s="3">
        <v>45831</v>
      </c>
      <c r="B42">
        <v>5204.9068116400003</v>
      </c>
      <c r="C42">
        <v>535.03</v>
      </c>
      <c r="G42" s="3">
        <v>45832</v>
      </c>
      <c r="H42" s="3">
        <v>45832</v>
      </c>
      <c r="I42">
        <v>5248.2312522169996</v>
      </c>
      <c r="J42">
        <v>540.98</v>
      </c>
      <c r="M42" s="3">
        <v>45832</v>
      </c>
      <c r="N42">
        <f t="shared" si="0"/>
        <v>1.0841528494727979</v>
      </c>
      <c r="O42">
        <f t="shared" si="1"/>
        <v>1.0340029434813356</v>
      </c>
      <c r="P42">
        <v>1.0545768989169402</v>
      </c>
    </row>
    <row r="43" spans="1:16" x14ac:dyDescent="0.2">
      <c r="A43" s="3">
        <v>45832</v>
      </c>
      <c r="B43">
        <v>5248.2312522169996</v>
      </c>
      <c r="C43">
        <v>540.98</v>
      </c>
      <c r="G43" s="3">
        <v>45833</v>
      </c>
      <c r="H43" s="3">
        <v>45833</v>
      </c>
      <c r="I43">
        <v>5225.3077543939999</v>
      </c>
      <c r="J43">
        <v>536.98</v>
      </c>
      <c r="M43" s="3">
        <v>45833</v>
      </c>
      <c r="N43">
        <f t="shared" si="0"/>
        <v>1.0794174301876454</v>
      </c>
      <c r="O43">
        <f t="shared" si="1"/>
        <v>1.0263575374147058</v>
      </c>
      <c r="P43">
        <v>1.064414398528335</v>
      </c>
    </row>
    <row r="44" spans="1:16" x14ac:dyDescent="0.2">
      <c r="A44" s="3">
        <v>45833</v>
      </c>
      <c r="B44">
        <v>5225.3077543939999</v>
      </c>
      <c r="C44">
        <v>536.98</v>
      </c>
      <c r="G44" s="3">
        <v>45834</v>
      </c>
      <c r="H44" s="3">
        <v>45834</v>
      </c>
      <c r="I44">
        <v>5249.1590670610003</v>
      </c>
      <c r="J44">
        <v>537.48</v>
      </c>
      <c r="M44" s="3">
        <v>45834</v>
      </c>
      <c r="N44">
        <f t="shared" si="0"/>
        <v>1.0843445127320115</v>
      </c>
      <c r="O44">
        <f t="shared" si="1"/>
        <v>1.0273132131730345</v>
      </c>
      <c r="P44">
        <v>1.0781776087389299</v>
      </c>
    </row>
    <row r="45" spans="1:16" x14ac:dyDescent="0.2">
      <c r="A45" s="3">
        <v>45834</v>
      </c>
      <c r="B45">
        <v>5249.1590670610003</v>
      </c>
      <c r="C45">
        <v>537.48</v>
      </c>
      <c r="G45" s="3">
        <v>45835</v>
      </c>
      <c r="H45" s="3">
        <v>45835</v>
      </c>
      <c r="I45">
        <v>5267.6071643519999</v>
      </c>
      <c r="J45">
        <v>543.63</v>
      </c>
      <c r="M45" s="3">
        <v>45835</v>
      </c>
      <c r="N45">
        <f t="shared" si="0"/>
        <v>1.0881554265969331</v>
      </c>
      <c r="O45">
        <f t="shared" si="1"/>
        <v>1.0390680250004778</v>
      </c>
      <c r="P45">
        <v>1.0800267897420575</v>
      </c>
    </row>
    <row r="46" spans="1:16" x14ac:dyDescent="0.2">
      <c r="A46" s="3">
        <v>45835</v>
      </c>
      <c r="B46">
        <v>5267.6071643519999</v>
      </c>
      <c r="C46">
        <v>543.63</v>
      </c>
      <c r="G46" s="3">
        <v>45838</v>
      </c>
      <c r="H46" s="3">
        <v>45838</v>
      </c>
      <c r="I46">
        <v>5264.6552708400004</v>
      </c>
      <c r="J46">
        <v>541.37</v>
      </c>
      <c r="M46" s="3">
        <v>45838</v>
      </c>
      <c r="N46">
        <f t="shared" si="0"/>
        <v>1.0875456394879861</v>
      </c>
      <c r="O46">
        <f t="shared" si="1"/>
        <v>1.034748370572832</v>
      </c>
      <c r="P46">
        <v>1.094583989825892</v>
      </c>
    </row>
    <row r="47" spans="1:16" x14ac:dyDescent="0.2">
      <c r="A47" s="3">
        <v>45838</v>
      </c>
      <c r="B47">
        <v>5264.6552708400004</v>
      </c>
      <c r="C47">
        <v>541.37</v>
      </c>
      <c r="G47" s="3">
        <v>45839</v>
      </c>
      <c r="H47" s="3">
        <v>45839</v>
      </c>
      <c r="I47">
        <v>5250.3316449900003</v>
      </c>
      <c r="J47">
        <v>540.25</v>
      </c>
      <c r="M47" s="3">
        <v>45839</v>
      </c>
      <c r="N47">
        <f t="shared" si="0"/>
        <v>1.0845867379011895</v>
      </c>
      <c r="O47">
        <f t="shared" si="1"/>
        <v>1.0326076568741756</v>
      </c>
      <c r="P47">
        <v>1.0658502273274044</v>
      </c>
    </row>
    <row r="48" spans="1:16" x14ac:dyDescent="0.2">
      <c r="A48" s="3">
        <v>45839</v>
      </c>
      <c r="B48">
        <v>5250.3316449900003</v>
      </c>
      <c r="C48">
        <v>540.25</v>
      </c>
      <c r="G48" s="3">
        <v>45840</v>
      </c>
      <c r="H48" s="3">
        <v>45840</v>
      </c>
      <c r="I48">
        <v>5278.36093772</v>
      </c>
      <c r="J48">
        <v>541.21</v>
      </c>
      <c r="M48" s="3">
        <v>45840</v>
      </c>
      <c r="N48">
        <f t="shared" si="0"/>
        <v>1.0903768862619538</v>
      </c>
      <c r="O48">
        <f t="shared" si="1"/>
        <v>1.0344425543301667</v>
      </c>
      <c r="P48">
        <v>1.0726144188661297</v>
      </c>
    </row>
    <row r="49" spans="1:16" x14ac:dyDescent="0.2">
      <c r="A49" s="3">
        <v>45840</v>
      </c>
      <c r="B49">
        <v>5278.36093772</v>
      </c>
      <c r="C49">
        <v>541.21</v>
      </c>
      <c r="G49" s="3">
        <v>45841</v>
      </c>
      <c r="H49" s="3">
        <v>45841</v>
      </c>
      <c r="I49">
        <v>5341.4043411299999</v>
      </c>
      <c r="J49">
        <v>543.76</v>
      </c>
      <c r="M49" s="3">
        <v>45841</v>
      </c>
      <c r="N49">
        <f t="shared" si="0"/>
        <v>1.1034000710575063</v>
      </c>
      <c r="O49">
        <f t="shared" si="1"/>
        <v>1.0393165006976433</v>
      </c>
      <c r="P49">
        <v>1.0801060543234036</v>
      </c>
    </row>
    <row r="50" spans="1:16" x14ac:dyDescent="0.2">
      <c r="A50" s="3">
        <v>45841</v>
      </c>
      <c r="B50">
        <v>5341.4043411299999</v>
      </c>
      <c r="C50">
        <v>543.76</v>
      </c>
      <c r="G50" s="3">
        <v>45842</v>
      </c>
      <c r="H50" s="3">
        <v>45842</v>
      </c>
      <c r="I50">
        <v>5341.4043411299999</v>
      </c>
      <c r="J50">
        <v>543.76</v>
      </c>
      <c r="M50" s="3">
        <v>45842</v>
      </c>
      <c r="N50">
        <f t="shared" si="0"/>
        <v>1.1034000710575063</v>
      </c>
      <c r="O50">
        <f t="shared" si="1"/>
        <v>1.0393165006976433</v>
      </c>
      <c r="P50">
        <v>1.0795117500810802</v>
      </c>
    </row>
    <row r="51" spans="1:16" x14ac:dyDescent="0.2">
      <c r="A51" s="3">
        <v>45841</v>
      </c>
      <c r="B51">
        <v>5341.4043411299999</v>
      </c>
      <c r="C51" s="2" t="s">
        <v>5</v>
      </c>
      <c r="G51" s="3">
        <v>45845</v>
      </c>
      <c r="H51" s="3">
        <v>45845</v>
      </c>
      <c r="I51">
        <v>5321.5844807249996</v>
      </c>
      <c r="J51">
        <v>543.5</v>
      </c>
      <c r="M51" s="3">
        <v>45845</v>
      </c>
      <c r="N51">
        <f t="shared" si="0"/>
        <v>1.0993057853636055</v>
      </c>
      <c r="O51">
        <f t="shared" si="1"/>
        <v>1.0388195493033123</v>
      </c>
      <c r="P51">
        <v>1.0912311102788932</v>
      </c>
    </row>
    <row r="52" spans="1:16" x14ac:dyDescent="0.2">
      <c r="A52" s="3">
        <v>45845</v>
      </c>
      <c r="B52">
        <v>5321.5844807249996</v>
      </c>
      <c r="C52">
        <v>543.5</v>
      </c>
      <c r="G52" s="3">
        <v>45846</v>
      </c>
      <c r="H52" s="3">
        <v>45846</v>
      </c>
      <c r="I52">
        <v>5310.0601840299996</v>
      </c>
      <c r="J52">
        <v>545.71</v>
      </c>
      <c r="M52" s="3">
        <v>45846</v>
      </c>
      <c r="N52">
        <f t="shared" si="0"/>
        <v>1.0969251549188674</v>
      </c>
      <c r="O52">
        <f t="shared" si="1"/>
        <v>1.0430436361551252</v>
      </c>
      <c r="P52">
        <v>1.0883109115300456</v>
      </c>
    </row>
    <row r="53" spans="1:16" x14ac:dyDescent="0.2">
      <c r="A53" s="3">
        <v>45846</v>
      </c>
      <c r="B53">
        <v>5310.0601840299996</v>
      </c>
      <c r="C53">
        <v>545.71</v>
      </c>
      <c r="G53" s="3">
        <v>45847</v>
      </c>
      <c r="H53" s="3">
        <v>45847</v>
      </c>
      <c r="I53">
        <v>5344.568777808</v>
      </c>
      <c r="J53">
        <v>549.96</v>
      </c>
      <c r="M53" s="3">
        <v>45847</v>
      </c>
      <c r="N53">
        <f t="shared" si="0"/>
        <v>1.1040537642498518</v>
      </c>
      <c r="O53">
        <f t="shared" si="1"/>
        <v>1.0511668801009193</v>
      </c>
      <c r="P53">
        <v>1.0925397821710607</v>
      </c>
    </row>
    <row r="54" spans="1:16" x14ac:dyDescent="0.2">
      <c r="A54" s="3">
        <v>45847</v>
      </c>
      <c r="B54">
        <v>5344.568777808</v>
      </c>
      <c r="C54">
        <v>549.96</v>
      </c>
      <c r="G54" s="3">
        <v>45848</v>
      </c>
      <c r="H54" s="3">
        <v>45848</v>
      </c>
      <c r="I54">
        <v>5367.90770901</v>
      </c>
      <c r="J54">
        <v>552.92999999999995</v>
      </c>
      <c r="M54" s="3">
        <v>45848</v>
      </c>
      <c r="N54">
        <f t="shared" si="0"/>
        <v>1.1088750016439948</v>
      </c>
      <c r="O54">
        <f t="shared" si="1"/>
        <v>1.0568435941053917</v>
      </c>
      <c r="P54">
        <v>1.086340402394868</v>
      </c>
    </row>
    <row r="55" spans="1:16" x14ac:dyDescent="0.2">
      <c r="A55" s="3">
        <v>45848</v>
      </c>
      <c r="B55">
        <v>5367.90770901</v>
      </c>
      <c r="C55">
        <v>552.92999999999995</v>
      </c>
      <c r="G55" s="3">
        <v>45849</v>
      </c>
      <c r="H55" s="3">
        <v>45849</v>
      </c>
      <c r="I55">
        <v>5355.2756426639999</v>
      </c>
      <c r="J55">
        <v>547.34</v>
      </c>
      <c r="M55" s="3">
        <v>45849</v>
      </c>
      <c r="N55">
        <f t="shared" si="0"/>
        <v>1.1062655337936669</v>
      </c>
      <c r="O55">
        <f t="shared" si="1"/>
        <v>1.0461591391272769</v>
      </c>
      <c r="P55">
        <v>1.0887278214888338</v>
      </c>
    </row>
    <row r="56" spans="1:16" x14ac:dyDescent="0.2">
      <c r="A56" s="3">
        <v>45849</v>
      </c>
      <c r="B56">
        <v>5355.2756426639999</v>
      </c>
      <c r="C56">
        <v>547.34</v>
      </c>
      <c r="G56" s="3">
        <v>45852</v>
      </c>
      <c r="H56" s="3">
        <v>45852</v>
      </c>
      <c r="I56">
        <v>5374.7251721900002</v>
      </c>
      <c r="J56">
        <v>546.99</v>
      </c>
      <c r="M56" s="3">
        <v>45852</v>
      </c>
      <c r="N56">
        <f t="shared" si="0"/>
        <v>1.1102833184230336</v>
      </c>
      <c r="O56">
        <f t="shared" si="1"/>
        <v>1.0454901660964466</v>
      </c>
      <c r="P56">
        <v>1.1031898212635673</v>
      </c>
    </row>
    <row r="57" spans="1:16" x14ac:dyDescent="0.2">
      <c r="A57" s="3">
        <v>45852</v>
      </c>
      <c r="B57">
        <v>5374.7251721900002</v>
      </c>
      <c r="C57">
        <v>546.99</v>
      </c>
      <c r="G57" s="3">
        <v>45853</v>
      </c>
      <c r="H57" s="3">
        <v>45853</v>
      </c>
      <c r="I57">
        <v>5382.9915391980003</v>
      </c>
      <c r="J57">
        <v>544.95000000000005</v>
      </c>
      <c r="M57" s="3">
        <v>45853</v>
      </c>
      <c r="N57">
        <f t="shared" si="0"/>
        <v>1.1119909423663812</v>
      </c>
      <c r="O57">
        <f t="shared" si="1"/>
        <v>1.0415910090024656</v>
      </c>
      <c r="P57">
        <v>1.104143377538904</v>
      </c>
    </row>
    <row r="58" spans="1:16" x14ac:dyDescent="0.2">
      <c r="A58" s="3">
        <v>45853</v>
      </c>
      <c r="B58">
        <v>5382.9915391980003</v>
      </c>
      <c r="C58">
        <v>544.95000000000005</v>
      </c>
      <c r="G58" s="3">
        <v>45854</v>
      </c>
      <c r="H58" s="3">
        <v>45854</v>
      </c>
      <c r="I58">
        <v>5383.9592091599998</v>
      </c>
      <c r="J58">
        <v>541.84</v>
      </c>
      <c r="M58" s="3">
        <v>45854</v>
      </c>
      <c r="N58">
        <f t="shared" si="0"/>
        <v>1.1121908386926354</v>
      </c>
      <c r="O58">
        <f t="shared" si="1"/>
        <v>1.0356467057856611</v>
      </c>
      <c r="P58">
        <v>1.1036038833721722</v>
      </c>
    </row>
    <row r="59" spans="1:16" x14ac:dyDescent="0.2">
      <c r="A59" s="3">
        <v>45854</v>
      </c>
      <c r="B59">
        <v>5383.9592091599998</v>
      </c>
      <c r="C59">
        <v>541.84</v>
      </c>
      <c r="G59" s="3">
        <v>45855</v>
      </c>
      <c r="H59" s="3">
        <v>45855</v>
      </c>
      <c r="I59">
        <v>5431.0967970359998</v>
      </c>
      <c r="J59">
        <v>547.03</v>
      </c>
      <c r="M59" s="3">
        <v>45855</v>
      </c>
      <c r="N59">
        <f t="shared" si="0"/>
        <v>1.1219282812246221</v>
      </c>
      <c r="O59">
        <f t="shared" si="1"/>
        <v>1.045566620157113</v>
      </c>
      <c r="P59">
        <v>1.114557109465363</v>
      </c>
    </row>
    <row r="60" spans="1:16" x14ac:dyDescent="0.2">
      <c r="A60" s="3">
        <v>45855</v>
      </c>
      <c r="B60">
        <v>5431.0967970359998</v>
      </c>
      <c r="C60">
        <v>547.03</v>
      </c>
      <c r="G60" s="3">
        <v>45856</v>
      </c>
      <c r="H60" s="3">
        <v>45856</v>
      </c>
      <c r="I60">
        <v>5416.6238335799999</v>
      </c>
      <c r="J60">
        <v>547</v>
      </c>
      <c r="M60" s="3">
        <v>45856</v>
      </c>
      <c r="N60">
        <f t="shared" si="0"/>
        <v>1.1189385302367041</v>
      </c>
      <c r="O60">
        <f t="shared" si="1"/>
        <v>1.0455092796116132</v>
      </c>
      <c r="P60">
        <v>1.1178500619961969</v>
      </c>
    </row>
    <row r="61" spans="1:16" x14ac:dyDescent="0.2">
      <c r="A61" s="3">
        <v>45856</v>
      </c>
      <c r="B61">
        <v>5416.6238335799999</v>
      </c>
      <c r="C61">
        <v>547</v>
      </c>
      <c r="G61" s="3">
        <v>45859</v>
      </c>
      <c r="H61" s="3">
        <v>45859</v>
      </c>
      <c r="I61">
        <v>5391.7252876639996</v>
      </c>
      <c r="J61">
        <v>546.58000000000004</v>
      </c>
      <c r="M61" s="3">
        <v>45859</v>
      </c>
      <c r="N61">
        <f t="shared" si="0"/>
        <v>1.1137951155879768</v>
      </c>
      <c r="O61">
        <f t="shared" si="1"/>
        <v>1.0447065119746173</v>
      </c>
      <c r="P61">
        <v>1.113369756133995</v>
      </c>
    </row>
    <row r="62" spans="1:16" x14ac:dyDescent="0.2">
      <c r="A62" s="3">
        <v>45859</v>
      </c>
      <c r="B62">
        <v>5391.7252876639996</v>
      </c>
      <c r="C62">
        <v>546.58000000000004</v>
      </c>
      <c r="G62" s="3">
        <v>45860</v>
      </c>
      <c r="H62" s="3">
        <v>45860</v>
      </c>
      <c r="I62">
        <v>5368.5433251450004</v>
      </c>
      <c r="J62">
        <v>544.34</v>
      </c>
      <c r="M62" s="3">
        <v>45860</v>
      </c>
      <c r="N62">
        <f t="shared" si="0"/>
        <v>1.1090063039839289</v>
      </c>
      <c r="O62">
        <f t="shared" si="1"/>
        <v>1.0404250845773046</v>
      </c>
      <c r="P62">
        <v>1.1088914891335122</v>
      </c>
    </row>
    <row r="63" spans="1:16" x14ac:dyDescent="0.2">
      <c r="A63" s="3">
        <v>45860</v>
      </c>
      <c r="B63">
        <v>5368.5433251450004</v>
      </c>
      <c r="C63">
        <v>544.34</v>
      </c>
      <c r="G63" s="3">
        <v>45861</v>
      </c>
      <c r="H63" s="3">
        <v>45861</v>
      </c>
      <c r="I63">
        <v>5402.6603427560003</v>
      </c>
      <c r="J63">
        <v>550.22</v>
      </c>
      <c r="M63" s="3">
        <v>45861</v>
      </c>
      <c r="N63">
        <f t="shared" si="0"/>
        <v>1.1160540235071215</v>
      </c>
      <c r="O63">
        <f t="shared" si="1"/>
        <v>1.0516638314952502</v>
      </c>
      <c r="P63">
        <v>1.1165126367055136</v>
      </c>
    </row>
    <row r="64" spans="1:16" x14ac:dyDescent="0.2">
      <c r="A64" s="3">
        <v>45861</v>
      </c>
      <c r="B64">
        <v>5402.6603427560003</v>
      </c>
      <c r="C64">
        <v>550.22</v>
      </c>
      <c r="G64" s="3">
        <v>45862</v>
      </c>
      <c r="H64" s="3">
        <v>45862</v>
      </c>
      <c r="I64">
        <v>5413.7466839609997</v>
      </c>
      <c r="J64">
        <v>551.54999999999995</v>
      </c>
      <c r="M64" s="3">
        <v>45862</v>
      </c>
      <c r="N64">
        <f t="shared" si="0"/>
        <v>1.1183441833400272</v>
      </c>
      <c r="O64">
        <f t="shared" si="1"/>
        <v>1.0542059290124044</v>
      </c>
      <c r="P64">
        <v>1.1255343093519998</v>
      </c>
    </row>
    <row r="65" spans="1:16" x14ac:dyDescent="0.2">
      <c r="A65" s="3">
        <v>45862</v>
      </c>
      <c r="B65">
        <v>5413.7466839609997</v>
      </c>
      <c r="C65">
        <v>551.54999999999995</v>
      </c>
      <c r="G65" s="3">
        <v>45863</v>
      </c>
      <c r="H65" s="3">
        <v>45863</v>
      </c>
      <c r="I65">
        <v>5441.7834986549997</v>
      </c>
      <c r="J65">
        <v>549.95000000000005</v>
      </c>
      <c r="M65" s="3">
        <v>45863</v>
      </c>
      <c r="N65">
        <f t="shared" si="0"/>
        <v>1.1241358855497574</v>
      </c>
      <c r="O65">
        <f t="shared" si="1"/>
        <v>1.0511477665857527</v>
      </c>
      <c r="P65">
        <v>1.1297235965325305</v>
      </c>
    </row>
    <row r="66" spans="1:16" x14ac:dyDescent="0.2">
      <c r="A66" s="3">
        <v>45863</v>
      </c>
      <c r="B66">
        <v>5441.7834986549997</v>
      </c>
      <c r="C66">
        <v>549.95000000000005</v>
      </c>
      <c r="G66" s="3">
        <v>45866</v>
      </c>
      <c r="H66" s="3">
        <v>45866</v>
      </c>
      <c r="I66">
        <v>5514.1128988399996</v>
      </c>
      <c r="J66">
        <v>548.76</v>
      </c>
      <c r="M66" s="3">
        <v>45866</v>
      </c>
      <c r="N66">
        <f t="shared" si="0"/>
        <v>1.1390773242064669</v>
      </c>
      <c r="O66">
        <f t="shared" si="1"/>
        <v>1.0488732582809304</v>
      </c>
      <c r="P66">
        <v>1.1335428277224167</v>
      </c>
    </row>
    <row r="67" spans="1:16" x14ac:dyDescent="0.2">
      <c r="A67" s="3">
        <v>45866</v>
      </c>
      <c r="B67">
        <v>5514.1128988399996</v>
      </c>
      <c r="C67">
        <v>548.76</v>
      </c>
      <c r="G67" s="3">
        <v>45867</v>
      </c>
      <c r="H67" s="3">
        <v>45867</v>
      </c>
      <c r="I67">
        <v>5518.3126408340004</v>
      </c>
      <c r="J67">
        <v>550.36</v>
      </c>
      <c r="M67" s="3">
        <v>45867</v>
      </c>
      <c r="N67">
        <f t="shared" si="0"/>
        <v>1.1399448854915994</v>
      </c>
      <c r="O67">
        <f t="shared" si="1"/>
        <v>1.0519314207075823</v>
      </c>
      <c r="P67">
        <v>1.1448186922896917</v>
      </c>
    </row>
    <row r="68" spans="1:16" x14ac:dyDescent="0.2">
      <c r="A68" s="3">
        <v>45867</v>
      </c>
      <c r="B68">
        <v>5518.3126408340004</v>
      </c>
      <c r="C68">
        <v>550.36</v>
      </c>
      <c r="G68" s="3">
        <v>45868</v>
      </c>
      <c r="H68" s="3">
        <v>45868</v>
      </c>
      <c r="I68">
        <v>5579.5623287320004</v>
      </c>
      <c r="J68">
        <v>550.24</v>
      </c>
      <c r="M68" s="3">
        <v>45868</v>
      </c>
      <c r="N68">
        <f t="shared" ref="N68:N131" si="2">I68/$I$2</f>
        <v>1.1525975336834804</v>
      </c>
      <c r="O68">
        <f t="shared" ref="O68:O131" si="3">J68/$J$2</f>
        <v>1.0517020585255834</v>
      </c>
      <c r="P68">
        <v>1.1557305926427872</v>
      </c>
    </row>
    <row r="69" spans="1:16" x14ac:dyDescent="0.2">
      <c r="A69" s="3">
        <v>45868</v>
      </c>
      <c r="B69">
        <v>5579.5623287320004</v>
      </c>
      <c r="C69">
        <v>550.24</v>
      </c>
      <c r="G69" s="3">
        <v>45869</v>
      </c>
      <c r="H69" s="3">
        <v>45869</v>
      </c>
      <c r="I69">
        <v>5553.5632453839999</v>
      </c>
      <c r="J69">
        <v>546.11</v>
      </c>
      <c r="M69" s="3">
        <v>45869</v>
      </c>
      <c r="N69">
        <f t="shared" si="2"/>
        <v>1.147226775624085</v>
      </c>
      <c r="O69">
        <f t="shared" si="3"/>
        <v>1.0438081767617882</v>
      </c>
      <c r="P69">
        <v>1.152030994041962</v>
      </c>
    </row>
    <row r="70" spans="1:16" x14ac:dyDescent="0.2">
      <c r="A70" s="3">
        <v>45869</v>
      </c>
      <c r="B70">
        <v>5553.5632453839999</v>
      </c>
      <c r="C70">
        <v>546.11</v>
      </c>
      <c r="G70" s="3">
        <v>45870</v>
      </c>
      <c r="H70" s="3">
        <v>45870</v>
      </c>
      <c r="I70">
        <v>5385.0215775160004</v>
      </c>
      <c r="J70">
        <v>535.79</v>
      </c>
      <c r="M70" s="3">
        <v>45870</v>
      </c>
      <c r="N70">
        <f t="shared" si="2"/>
        <v>1.1124102973302215</v>
      </c>
      <c r="O70">
        <f t="shared" si="3"/>
        <v>1.0240830291098835</v>
      </c>
      <c r="P70">
        <v>1.148991818736987</v>
      </c>
    </row>
    <row r="71" spans="1:16" x14ac:dyDescent="0.2">
      <c r="A71" s="3">
        <v>45870</v>
      </c>
      <c r="B71">
        <v>5385.0215775160004</v>
      </c>
      <c r="C71">
        <v>535.79</v>
      </c>
      <c r="G71" s="3">
        <v>45873</v>
      </c>
      <c r="H71" s="3">
        <v>45873</v>
      </c>
      <c r="I71">
        <v>5470.9667098500004</v>
      </c>
      <c r="J71">
        <v>540.6</v>
      </c>
      <c r="M71" s="3">
        <v>45873</v>
      </c>
      <c r="N71">
        <f t="shared" si="2"/>
        <v>1.1301644045027783</v>
      </c>
      <c r="O71">
        <f t="shared" si="3"/>
        <v>1.0332766299050058</v>
      </c>
      <c r="P71">
        <v>1.143205327636879</v>
      </c>
    </row>
    <row r="72" spans="1:16" x14ac:dyDescent="0.2">
      <c r="A72" s="3">
        <v>45873</v>
      </c>
      <c r="B72">
        <v>5470.9667098500004</v>
      </c>
      <c r="C72">
        <v>540.6</v>
      </c>
      <c r="G72" s="3">
        <v>45874</v>
      </c>
      <c r="H72" s="3">
        <v>45874</v>
      </c>
      <c r="I72">
        <v>5442.5666079399998</v>
      </c>
      <c r="J72">
        <v>541.4</v>
      </c>
      <c r="M72" s="3">
        <v>45874</v>
      </c>
      <c r="N72">
        <f t="shared" si="2"/>
        <v>1.1242976562724982</v>
      </c>
      <c r="O72">
        <f t="shared" si="3"/>
        <v>1.0348057111183315</v>
      </c>
      <c r="P72">
        <v>1.1371469358048858</v>
      </c>
    </row>
    <row r="73" spans="1:16" x14ac:dyDescent="0.2">
      <c r="A73" s="3">
        <v>45874</v>
      </c>
      <c r="B73">
        <v>5442.5666079399998</v>
      </c>
      <c r="C73">
        <v>541.4</v>
      </c>
      <c r="G73" s="3">
        <v>45875</v>
      </c>
      <c r="H73" s="3">
        <v>45875</v>
      </c>
      <c r="I73">
        <v>5442.220983745</v>
      </c>
      <c r="J73">
        <v>541.07000000000005</v>
      </c>
      <c r="M73" s="3">
        <v>45875</v>
      </c>
      <c r="N73">
        <f t="shared" si="2"/>
        <v>1.1242262589887566</v>
      </c>
      <c r="O73">
        <f t="shared" si="3"/>
        <v>1.0341749651178349</v>
      </c>
      <c r="P73">
        <v>1.1444730094935465</v>
      </c>
    </row>
    <row r="74" spans="1:16" x14ac:dyDescent="0.2">
      <c r="A74" s="3">
        <v>45875</v>
      </c>
      <c r="B74">
        <v>5442.220983745</v>
      </c>
      <c r="C74">
        <v>541.07000000000005</v>
      </c>
      <c r="G74" s="3">
        <v>45876</v>
      </c>
      <c r="H74" s="3">
        <v>45876</v>
      </c>
      <c r="I74">
        <v>5435.0898282790004</v>
      </c>
      <c r="J74">
        <v>546.04999999999995</v>
      </c>
      <c r="M74" s="3">
        <v>45876</v>
      </c>
      <c r="N74">
        <f t="shared" si="2"/>
        <v>1.1227531412569054</v>
      </c>
      <c r="O74">
        <f t="shared" si="3"/>
        <v>1.0436934956707886</v>
      </c>
      <c r="P74">
        <v>1.1457390867440567</v>
      </c>
    </row>
    <row r="75" spans="1:16" x14ac:dyDescent="0.2">
      <c r="A75" s="3">
        <v>45876</v>
      </c>
      <c r="B75">
        <v>5435.0898282790004</v>
      </c>
      <c r="C75">
        <v>546.04999999999995</v>
      </c>
      <c r="G75" s="3">
        <v>45877</v>
      </c>
      <c r="H75" s="3">
        <v>45877</v>
      </c>
      <c r="I75">
        <v>5489.6836128539999</v>
      </c>
      <c r="J75">
        <v>547.08000000000004</v>
      </c>
      <c r="M75" s="3">
        <v>45877</v>
      </c>
      <c r="N75">
        <f t="shared" si="2"/>
        <v>1.1340308468811549</v>
      </c>
      <c r="O75">
        <f t="shared" si="3"/>
        <v>1.0456621877329459</v>
      </c>
      <c r="P75">
        <v>1.1424374708569685</v>
      </c>
    </row>
    <row r="76" spans="1:16" x14ac:dyDescent="0.2">
      <c r="A76" s="3">
        <v>45877</v>
      </c>
      <c r="B76">
        <v>5489.6836128539999</v>
      </c>
      <c r="C76">
        <v>547.08000000000004</v>
      </c>
      <c r="G76" s="3">
        <v>45880</v>
      </c>
      <c r="H76" s="3">
        <v>45880</v>
      </c>
      <c r="I76">
        <v>5487.7345810019997</v>
      </c>
      <c r="J76">
        <v>546.76</v>
      </c>
      <c r="M76" s="3">
        <v>45880</v>
      </c>
      <c r="N76">
        <f t="shared" si="2"/>
        <v>1.1336282258199799</v>
      </c>
      <c r="O76">
        <f t="shared" si="3"/>
        <v>1.0450505552476155</v>
      </c>
      <c r="P76">
        <v>1.1631212147994205</v>
      </c>
    </row>
    <row r="77" spans="1:16" x14ac:dyDescent="0.2">
      <c r="A77" s="3">
        <v>45880</v>
      </c>
      <c r="B77">
        <v>5487.7345810019997</v>
      </c>
      <c r="C77">
        <v>546.76</v>
      </c>
      <c r="G77" s="3">
        <v>45881</v>
      </c>
      <c r="H77" s="3">
        <v>45881</v>
      </c>
      <c r="I77">
        <v>5521.955561496</v>
      </c>
      <c r="J77">
        <v>547.89</v>
      </c>
      <c r="M77" s="3">
        <v>45881</v>
      </c>
      <c r="N77">
        <f t="shared" si="2"/>
        <v>1.1406974214653987</v>
      </c>
      <c r="O77">
        <f t="shared" si="3"/>
        <v>1.0472103824614383</v>
      </c>
      <c r="P77">
        <v>1.1734838705176813</v>
      </c>
    </row>
    <row r="78" spans="1:16" x14ac:dyDescent="0.2">
      <c r="A78" s="3">
        <v>45881</v>
      </c>
      <c r="B78">
        <v>5521.955561496</v>
      </c>
      <c r="C78">
        <v>547.89</v>
      </c>
      <c r="G78" s="3">
        <v>45882</v>
      </c>
      <c r="H78" s="3">
        <v>45882</v>
      </c>
      <c r="I78">
        <v>5525.1146335269996</v>
      </c>
      <c r="J78">
        <v>550.85</v>
      </c>
      <c r="M78" s="3">
        <v>45882</v>
      </c>
      <c r="N78">
        <f t="shared" si="2"/>
        <v>1.1413500064563233</v>
      </c>
      <c r="O78">
        <f t="shared" si="3"/>
        <v>1.0528679829507444</v>
      </c>
      <c r="P78">
        <v>1.1622811629603484</v>
      </c>
    </row>
    <row r="79" spans="1:16" x14ac:dyDescent="0.2">
      <c r="A79" s="3">
        <v>45882</v>
      </c>
      <c r="B79">
        <v>5525.1146335269996</v>
      </c>
      <c r="C79">
        <v>550.85</v>
      </c>
      <c r="G79" s="3">
        <v>45883</v>
      </c>
      <c r="H79" s="3">
        <v>45883</v>
      </c>
      <c r="I79">
        <v>5554.2724348319998</v>
      </c>
      <c r="J79">
        <v>553.87</v>
      </c>
      <c r="M79" s="3">
        <v>45883</v>
      </c>
      <c r="N79">
        <f t="shared" si="2"/>
        <v>1.147373276363842</v>
      </c>
      <c r="O79">
        <f t="shared" si="3"/>
        <v>1.0586402645310498</v>
      </c>
      <c r="P79">
        <v>1.1707898040032008</v>
      </c>
    </row>
    <row r="80" spans="1:16" x14ac:dyDescent="0.2">
      <c r="A80" s="3">
        <v>45883</v>
      </c>
      <c r="B80">
        <v>5554.2724348319998</v>
      </c>
      <c r="C80">
        <v>553.87</v>
      </c>
      <c r="G80" s="3">
        <v>45884</v>
      </c>
      <c r="H80" s="3">
        <v>45884</v>
      </c>
      <c r="I80">
        <v>5514.0601092719999</v>
      </c>
      <c r="J80">
        <v>553.55999999999995</v>
      </c>
      <c r="M80" s="3">
        <v>45884</v>
      </c>
      <c r="N80">
        <f t="shared" si="2"/>
        <v>1.1390664192067024</v>
      </c>
      <c r="O80">
        <f t="shared" si="3"/>
        <v>1.0580477455608859</v>
      </c>
      <c r="P80">
        <v>1.1684210852403156</v>
      </c>
    </row>
    <row r="81" spans="1:16" x14ac:dyDescent="0.2">
      <c r="A81" s="3">
        <v>45884</v>
      </c>
      <c r="B81">
        <v>5514.0601092719999</v>
      </c>
      <c r="C81">
        <v>553.55999999999995</v>
      </c>
      <c r="G81" s="3">
        <v>45887</v>
      </c>
      <c r="H81" s="3">
        <v>45887</v>
      </c>
      <c r="I81">
        <v>5530.9838283959998</v>
      </c>
      <c r="J81">
        <v>554.01</v>
      </c>
      <c r="M81" s="3">
        <v>45887</v>
      </c>
      <c r="N81">
        <f t="shared" si="2"/>
        <v>1.1425624348032353</v>
      </c>
      <c r="O81">
        <f t="shared" si="3"/>
        <v>1.0589078537433818</v>
      </c>
      <c r="P81">
        <v>1.1771976012125787</v>
      </c>
    </row>
    <row r="82" spans="1:16" x14ac:dyDescent="0.2">
      <c r="A82" s="3">
        <v>45887</v>
      </c>
      <c r="B82">
        <v>5530.9838283959998</v>
      </c>
      <c r="C82">
        <v>554.01</v>
      </c>
      <c r="G82" s="3">
        <v>45888</v>
      </c>
      <c r="H82" s="3">
        <v>45888</v>
      </c>
      <c r="I82">
        <v>5505.1909140360003</v>
      </c>
      <c r="J82">
        <v>557.80999999999995</v>
      </c>
      <c r="M82" s="3">
        <v>45888</v>
      </c>
      <c r="N82">
        <f t="shared" si="2"/>
        <v>1.1372342660820516</v>
      </c>
      <c r="O82">
        <f t="shared" si="3"/>
        <v>1.06617098950668</v>
      </c>
      <c r="P82">
        <v>1.1640630139934169</v>
      </c>
    </row>
    <row r="83" spans="1:16" x14ac:dyDescent="0.2">
      <c r="A83" s="3">
        <v>45888</v>
      </c>
      <c r="B83">
        <v>5505.1909140360003</v>
      </c>
      <c r="C83">
        <v>557.80999999999995</v>
      </c>
      <c r="G83" s="3">
        <v>45889</v>
      </c>
      <c r="H83" s="3">
        <v>45889</v>
      </c>
      <c r="I83">
        <v>5489.4990039599998</v>
      </c>
      <c r="J83">
        <v>559.09</v>
      </c>
      <c r="M83" s="3">
        <v>45889</v>
      </c>
      <c r="N83">
        <f t="shared" si="2"/>
        <v>1.1339927113172192</v>
      </c>
      <c r="O83">
        <f t="shared" si="3"/>
        <v>1.0686175194480017</v>
      </c>
      <c r="P83">
        <v>1.1552917574917136</v>
      </c>
    </row>
    <row r="84" spans="1:16" x14ac:dyDescent="0.2">
      <c r="A84" s="3">
        <v>45889</v>
      </c>
      <c r="B84">
        <v>5489.4990039599998</v>
      </c>
      <c r="C84">
        <v>559.09</v>
      </c>
      <c r="G84" s="3">
        <v>45890</v>
      </c>
      <c r="H84" s="3">
        <v>45890</v>
      </c>
      <c r="I84">
        <v>5489.1778155900001</v>
      </c>
      <c r="J84">
        <v>559.07000000000005</v>
      </c>
      <c r="M84" s="3">
        <v>45890</v>
      </c>
      <c r="N84">
        <f t="shared" si="2"/>
        <v>1.1339263618615991</v>
      </c>
      <c r="O84">
        <f t="shared" si="3"/>
        <v>1.0685792924176685</v>
      </c>
      <c r="P84">
        <v>1.1626725710177721</v>
      </c>
    </row>
    <row r="85" spans="1:16" x14ac:dyDescent="0.2">
      <c r="A85" s="3">
        <v>45890</v>
      </c>
      <c r="B85">
        <v>5489.1778155900001</v>
      </c>
      <c r="C85">
        <v>559.07000000000005</v>
      </c>
      <c r="G85" s="3">
        <v>45891</v>
      </c>
      <c r="H85" s="3">
        <v>45891</v>
      </c>
      <c r="I85">
        <v>5520.2216059299999</v>
      </c>
      <c r="J85">
        <v>561.29999999999995</v>
      </c>
      <c r="M85" s="3">
        <v>45891</v>
      </c>
      <c r="N85">
        <f t="shared" si="2"/>
        <v>1.1403392297666346</v>
      </c>
      <c r="O85">
        <f t="shared" si="3"/>
        <v>1.0728416062998145</v>
      </c>
      <c r="P85">
        <v>1.1565764627088324</v>
      </c>
    </row>
    <row r="86" spans="1:16" x14ac:dyDescent="0.2">
      <c r="A86" s="3">
        <v>45891</v>
      </c>
      <c r="B86">
        <v>5520.2216059299999</v>
      </c>
      <c r="C86">
        <v>561.29999999999995</v>
      </c>
      <c r="G86" s="3">
        <v>45894</v>
      </c>
      <c r="H86" s="3">
        <v>45894</v>
      </c>
      <c r="I86">
        <v>5542.5158175269999</v>
      </c>
      <c r="J86">
        <v>558.82000000000005</v>
      </c>
      <c r="M86" s="3">
        <v>45894</v>
      </c>
      <c r="N86">
        <f t="shared" si="2"/>
        <v>1.144944654312176</v>
      </c>
      <c r="O86">
        <f t="shared" si="3"/>
        <v>1.0681014545385041</v>
      </c>
      <c r="P86">
        <v>1.1601045125714526</v>
      </c>
    </row>
    <row r="87" spans="1:16" x14ac:dyDescent="0.2">
      <c r="A87" s="3">
        <v>45894</v>
      </c>
      <c r="B87">
        <v>5542.5158175269999</v>
      </c>
      <c r="C87">
        <v>558.82000000000005</v>
      </c>
      <c r="G87" s="3">
        <v>45895</v>
      </c>
      <c r="H87" s="3">
        <v>45895</v>
      </c>
      <c r="I87">
        <v>5553.9797852880001</v>
      </c>
      <c r="J87">
        <v>554.20000000000005</v>
      </c>
      <c r="M87" s="3">
        <v>45895</v>
      </c>
      <c r="N87">
        <f t="shared" si="2"/>
        <v>1.1473128223133673</v>
      </c>
      <c r="O87">
        <f t="shared" si="3"/>
        <v>1.0592710105315468</v>
      </c>
      <c r="P87">
        <v>1.1727379777303188</v>
      </c>
    </row>
    <row r="88" spans="1:16" x14ac:dyDescent="0.2">
      <c r="A88" s="3">
        <v>45895</v>
      </c>
      <c r="B88">
        <v>5553.9797852880001</v>
      </c>
      <c r="C88">
        <v>554.20000000000005</v>
      </c>
      <c r="G88" s="3">
        <v>45896</v>
      </c>
      <c r="H88" s="3">
        <v>45896</v>
      </c>
      <c r="I88">
        <v>5569.6642118560003</v>
      </c>
      <c r="J88">
        <v>554.76</v>
      </c>
      <c r="M88" s="3">
        <v>45896</v>
      </c>
      <c r="N88">
        <f t="shared" si="2"/>
        <v>1.1505528311732782</v>
      </c>
      <c r="O88">
        <f t="shared" si="3"/>
        <v>1.0603413673808748</v>
      </c>
      <c r="P88">
        <v>1.1616207716462719</v>
      </c>
    </row>
    <row r="89" spans="1:16" x14ac:dyDescent="0.2">
      <c r="A89" s="3">
        <v>45896</v>
      </c>
      <c r="B89">
        <v>5569.6642118560003</v>
      </c>
      <c r="C89">
        <v>554.76</v>
      </c>
      <c r="G89" s="3">
        <v>45897</v>
      </c>
      <c r="H89" s="3">
        <v>45897</v>
      </c>
      <c r="I89">
        <v>5565.7216835879999</v>
      </c>
      <c r="J89">
        <v>553.66999999999996</v>
      </c>
      <c r="M89" s="3">
        <v>45897</v>
      </c>
      <c r="N89">
        <f t="shared" si="2"/>
        <v>1.1497384037880378</v>
      </c>
      <c r="O89">
        <f t="shared" si="3"/>
        <v>1.0582579942277182</v>
      </c>
      <c r="P89">
        <v>1.164603500088971</v>
      </c>
    </row>
    <row r="90" spans="1:16" x14ac:dyDescent="0.2">
      <c r="A90" s="3">
        <v>45897</v>
      </c>
      <c r="B90">
        <v>5565.7216835879999</v>
      </c>
      <c r="C90">
        <v>553.66999999999996</v>
      </c>
      <c r="G90" s="3">
        <v>45898</v>
      </c>
      <c r="H90" s="3">
        <v>45898</v>
      </c>
      <c r="I90">
        <v>5529.1450370490002</v>
      </c>
      <c r="J90">
        <v>550.14</v>
      </c>
      <c r="M90" s="3">
        <v>45898</v>
      </c>
      <c r="N90">
        <f t="shared" si="2"/>
        <v>1.1421825866634276</v>
      </c>
      <c r="O90">
        <f t="shared" si="3"/>
        <v>1.0515109233739175</v>
      </c>
      <c r="P90">
        <v>1.1657744024739611</v>
      </c>
    </row>
    <row r="91" spans="1:16" x14ac:dyDescent="0.2">
      <c r="A91" s="3">
        <v>45898</v>
      </c>
      <c r="B91">
        <v>5529.1450370490002</v>
      </c>
      <c r="C91">
        <v>550.14</v>
      </c>
      <c r="G91" s="3">
        <v>45901</v>
      </c>
      <c r="H91" s="3">
        <v>45901</v>
      </c>
      <c r="I91">
        <v>5529.1450370490002</v>
      </c>
      <c r="J91">
        <v>550.14</v>
      </c>
      <c r="M91" s="3">
        <v>45901</v>
      </c>
      <c r="N91">
        <f t="shared" si="2"/>
        <v>1.1421825866634276</v>
      </c>
      <c r="O91">
        <f t="shared" si="3"/>
        <v>1.0515109233739175</v>
      </c>
      <c r="P91">
        <v>1.171701396286069</v>
      </c>
    </row>
    <row r="92" spans="1:16" x14ac:dyDescent="0.2">
      <c r="A92" s="3">
        <v>45898</v>
      </c>
      <c r="B92">
        <v>5529.1450370490002</v>
      </c>
      <c r="C92" s="2" t="s">
        <v>5</v>
      </c>
      <c r="G92" s="3">
        <v>45902</v>
      </c>
      <c r="H92" s="3">
        <v>45902</v>
      </c>
      <c r="I92">
        <v>5512.5538620249999</v>
      </c>
      <c r="J92">
        <v>543.16999999999996</v>
      </c>
      <c r="M92" s="3">
        <v>45902</v>
      </c>
      <c r="N92">
        <f t="shared" si="2"/>
        <v>1.1387552663313112</v>
      </c>
      <c r="O92">
        <f t="shared" si="3"/>
        <v>1.0381888033028153</v>
      </c>
      <c r="P92">
        <v>1.1681163263285812</v>
      </c>
    </row>
    <row r="93" spans="1:16" x14ac:dyDescent="0.2">
      <c r="A93" s="3">
        <v>45902</v>
      </c>
      <c r="B93">
        <v>5512.5538620249999</v>
      </c>
      <c r="C93">
        <v>543.16999999999996</v>
      </c>
      <c r="G93" s="3">
        <v>45903</v>
      </c>
      <c r="H93" s="3">
        <v>45903</v>
      </c>
      <c r="I93">
        <v>5529.7706174040004</v>
      </c>
      <c r="J93">
        <v>546.78</v>
      </c>
      <c r="M93" s="3">
        <v>45903</v>
      </c>
      <c r="N93">
        <f t="shared" si="2"/>
        <v>1.1423118158631054</v>
      </c>
      <c r="O93">
        <f t="shared" si="3"/>
        <v>1.0450887822779487</v>
      </c>
      <c r="P93">
        <v>1.1693314039012277</v>
      </c>
    </row>
    <row r="94" spans="1:16" x14ac:dyDescent="0.2">
      <c r="A94" s="3">
        <v>45903</v>
      </c>
      <c r="B94">
        <v>5529.7706174040004</v>
      </c>
      <c r="C94">
        <v>546.78</v>
      </c>
      <c r="G94" s="3">
        <v>45904</v>
      </c>
      <c r="H94" s="3">
        <v>45904</v>
      </c>
      <c r="I94">
        <v>5581.6480446759997</v>
      </c>
      <c r="J94">
        <v>550.09</v>
      </c>
      <c r="M94" s="3">
        <v>45904</v>
      </c>
      <c r="N94">
        <f t="shared" si="2"/>
        <v>1.1530283902473795</v>
      </c>
      <c r="O94">
        <f t="shared" si="3"/>
        <v>1.0514153557980848</v>
      </c>
      <c r="P94">
        <v>1.1701453637036126</v>
      </c>
    </row>
    <row r="95" spans="1:16" x14ac:dyDescent="0.2">
      <c r="A95" s="3">
        <v>45904</v>
      </c>
      <c r="B95">
        <v>5581.6480446759997</v>
      </c>
      <c r="C95">
        <v>550.09</v>
      </c>
      <c r="G95" s="3">
        <v>45905</v>
      </c>
      <c r="H95" s="3">
        <v>45905</v>
      </c>
      <c r="I95">
        <v>5531.6971494299996</v>
      </c>
      <c r="J95">
        <v>549.21</v>
      </c>
      <c r="M95" s="3">
        <v>45905</v>
      </c>
      <c r="N95">
        <f t="shared" si="2"/>
        <v>1.1427097890249596</v>
      </c>
      <c r="O95">
        <f t="shared" si="3"/>
        <v>1.0497333664634263</v>
      </c>
      <c r="P95">
        <v>1.1599885637262839</v>
      </c>
    </row>
    <row r="96" spans="1:16" x14ac:dyDescent="0.2">
      <c r="A96" s="3">
        <v>45905</v>
      </c>
      <c r="B96">
        <v>5531.6971494299996</v>
      </c>
      <c r="C96">
        <v>549.21</v>
      </c>
      <c r="G96" s="3">
        <v>45908</v>
      </c>
      <c r="H96" s="3">
        <v>45908</v>
      </c>
      <c r="I96">
        <v>5522.1806109600002</v>
      </c>
      <c r="J96">
        <v>552.04</v>
      </c>
      <c r="M96" s="3">
        <v>45908</v>
      </c>
      <c r="N96">
        <f t="shared" si="2"/>
        <v>1.140743911036064</v>
      </c>
      <c r="O96">
        <f t="shared" si="3"/>
        <v>1.0551424912555667</v>
      </c>
      <c r="P96">
        <v>1.1636531146614904</v>
      </c>
    </row>
    <row r="97" spans="1:16" x14ac:dyDescent="0.2">
      <c r="A97" s="3">
        <v>45908</v>
      </c>
      <c r="B97">
        <v>5522.1806109600002</v>
      </c>
      <c r="C97">
        <v>552.04</v>
      </c>
      <c r="G97" s="3">
        <v>45909</v>
      </c>
      <c r="H97" s="3">
        <v>45909</v>
      </c>
      <c r="I97">
        <v>5563.4628165820004</v>
      </c>
      <c r="J97">
        <v>552.39</v>
      </c>
      <c r="M97" s="3">
        <v>45909</v>
      </c>
      <c r="N97">
        <f t="shared" si="2"/>
        <v>1.1492717785607101</v>
      </c>
      <c r="O97">
        <f t="shared" si="3"/>
        <v>1.0558114642863967</v>
      </c>
      <c r="P97">
        <v>1.170827660761151</v>
      </c>
    </row>
    <row r="98" spans="1:16" x14ac:dyDescent="0.2">
      <c r="A98" s="3">
        <v>45909</v>
      </c>
      <c r="B98">
        <v>5563.4628165820004</v>
      </c>
      <c r="C98">
        <v>552.39</v>
      </c>
      <c r="G98" s="3">
        <v>45910</v>
      </c>
      <c r="H98" s="3">
        <v>45910</v>
      </c>
      <c r="I98">
        <v>5586.2687505929998</v>
      </c>
      <c r="J98">
        <v>552.29</v>
      </c>
      <c r="M98" s="3">
        <v>45910</v>
      </c>
      <c r="N98">
        <f t="shared" si="2"/>
        <v>1.1539829121130796</v>
      </c>
      <c r="O98">
        <f t="shared" si="3"/>
        <v>1.055620329134731</v>
      </c>
      <c r="P98">
        <v>1.2011363940627398</v>
      </c>
    </row>
    <row r="99" spans="1:16" x14ac:dyDescent="0.2">
      <c r="A99" s="3">
        <v>45910</v>
      </c>
      <c r="B99">
        <v>5586.2687505929998</v>
      </c>
      <c r="C99">
        <v>552.29</v>
      </c>
      <c r="G99" s="3">
        <v>45911</v>
      </c>
      <c r="H99" s="3">
        <v>45911</v>
      </c>
      <c r="I99">
        <v>5614.5014480700002</v>
      </c>
      <c r="J99">
        <v>555.33000000000004</v>
      </c>
      <c r="M99" s="3">
        <v>45911</v>
      </c>
      <c r="N99">
        <f t="shared" si="2"/>
        <v>1.1598150787892456</v>
      </c>
      <c r="O99">
        <f t="shared" si="3"/>
        <v>1.0614308377453696</v>
      </c>
      <c r="P99">
        <v>1.2031763321273561</v>
      </c>
    </row>
    <row r="100" spans="1:16" x14ac:dyDescent="0.2">
      <c r="A100" s="3">
        <v>45911</v>
      </c>
      <c r="B100">
        <v>5614.5014480700002</v>
      </c>
      <c r="C100">
        <v>555.33000000000004</v>
      </c>
      <c r="G100" s="3">
        <v>45912</v>
      </c>
      <c r="H100" s="3">
        <v>45912</v>
      </c>
      <c r="I100">
        <v>5611.7861055000003</v>
      </c>
      <c r="J100">
        <v>554.84</v>
      </c>
      <c r="M100" s="3">
        <v>45912</v>
      </c>
      <c r="N100">
        <f t="shared" si="2"/>
        <v>1.1592541571676389</v>
      </c>
      <c r="O100">
        <f t="shared" si="3"/>
        <v>1.0604942755022075</v>
      </c>
      <c r="P100">
        <v>1.2095577432796758</v>
      </c>
    </row>
    <row r="101" spans="1:16" x14ac:dyDescent="0.2">
      <c r="A101" s="3">
        <v>45912</v>
      </c>
      <c r="B101">
        <v>5611.7861055000003</v>
      </c>
      <c r="C101">
        <v>554.84</v>
      </c>
      <c r="G101" s="3">
        <v>45915</v>
      </c>
      <c r="H101" s="3">
        <v>45915</v>
      </c>
      <c r="I101">
        <v>5625.2344741119996</v>
      </c>
      <c r="J101">
        <v>557.16</v>
      </c>
      <c r="M101" s="3">
        <v>45915</v>
      </c>
      <c r="N101">
        <f t="shared" si="2"/>
        <v>1.1620322525774593</v>
      </c>
      <c r="O101">
        <f t="shared" si="3"/>
        <v>1.0649286110208527</v>
      </c>
      <c r="P101">
        <v>1.2150529424827838</v>
      </c>
    </row>
    <row r="102" spans="1:16" x14ac:dyDescent="0.2">
      <c r="A102" s="3">
        <v>45915</v>
      </c>
      <c r="B102">
        <v>5625.2344741119996</v>
      </c>
      <c r="C102">
        <v>557.16</v>
      </c>
      <c r="G102" s="3">
        <v>45916</v>
      </c>
      <c r="H102" s="3">
        <v>45916</v>
      </c>
      <c r="I102">
        <v>5567.777467166</v>
      </c>
      <c r="J102">
        <v>550.79</v>
      </c>
      <c r="M102" s="3">
        <v>45916</v>
      </c>
      <c r="N102">
        <f t="shared" si="2"/>
        <v>1.1501630770764046</v>
      </c>
      <c r="O102">
        <f t="shared" si="3"/>
        <v>1.0527533018597448</v>
      </c>
      <c r="P102">
        <v>1.2016557274466273</v>
      </c>
    </row>
    <row r="103" spans="1:16" x14ac:dyDescent="0.2">
      <c r="A103" s="3">
        <v>45916</v>
      </c>
      <c r="B103">
        <v>5567.777467166</v>
      </c>
      <c r="C103">
        <v>550.79</v>
      </c>
      <c r="G103" s="3">
        <v>45917</v>
      </c>
      <c r="H103" s="3">
        <v>45917</v>
      </c>
      <c r="I103">
        <v>5587.85385486</v>
      </c>
      <c r="J103">
        <v>550.63</v>
      </c>
      <c r="M103" s="3">
        <v>45917</v>
      </c>
      <c r="N103">
        <f t="shared" si="2"/>
        <v>1.1543103548695421</v>
      </c>
      <c r="O103">
        <f t="shared" si="3"/>
        <v>1.0524474856170798</v>
      </c>
      <c r="P103">
        <v>1.1900241015059276</v>
      </c>
    </row>
    <row r="104" spans="1:16" x14ac:dyDescent="0.2">
      <c r="A104" s="3">
        <v>45917</v>
      </c>
      <c r="B104">
        <v>5587.85385486</v>
      </c>
      <c r="C104">
        <v>550.63</v>
      </c>
      <c r="G104" s="3">
        <v>45918</v>
      </c>
      <c r="H104" s="3">
        <v>45918</v>
      </c>
      <c r="I104">
        <v>5626.9552421340004</v>
      </c>
      <c r="J104">
        <v>555.01</v>
      </c>
      <c r="M104" s="3">
        <v>45918</v>
      </c>
      <c r="N104">
        <f t="shared" si="2"/>
        <v>1.1623877200606321</v>
      </c>
      <c r="O104">
        <f t="shared" si="3"/>
        <v>1.0608192052600391</v>
      </c>
      <c r="P104">
        <v>1.1891542855753545</v>
      </c>
    </row>
    <row r="105" spans="1:16" x14ac:dyDescent="0.2">
      <c r="A105" s="3">
        <v>45918</v>
      </c>
      <c r="B105">
        <v>5626.9552421340004</v>
      </c>
      <c r="C105">
        <v>555.01</v>
      </c>
      <c r="G105" s="3">
        <v>45919</v>
      </c>
      <c r="H105" s="3">
        <v>45919</v>
      </c>
      <c r="I105">
        <v>5674.7066272000002</v>
      </c>
      <c r="J105">
        <v>554.12</v>
      </c>
      <c r="M105" s="3">
        <v>45919</v>
      </c>
      <c r="N105">
        <f t="shared" si="2"/>
        <v>1.1722519576861572</v>
      </c>
      <c r="O105">
        <f t="shared" si="3"/>
        <v>1.0591181024102141</v>
      </c>
      <c r="P105">
        <v>1.197067487640074</v>
      </c>
    </row>
    <row r="106" spans="1:16" x14ac:dyDescent="0.2">
      <c r="A106" s="3">
        <v>45919</v>
      </c>
      <c r="B106">
        <v>5674.7066272000002</v>
      </c>
      <c r="C106">
        <v>554.12</v>
      </c>
      <c r="G106" s="3">
        <v>45922</v>
      </c>
      <c r="H106" s="3">
        <v>45922</v>
      </c>
      <c r="I106">
        <v>5671.6841086229997</v>
      </c>
      <c r="J106">
        <v>553.4</v>
      </c>
      <c r="M106" s="3">
        <v>45922</v>
      </c>
      <c r="N106">
        <f t="shared" si="2"/>
        <v>1.171627581211425</v>
      </c>
      <c r="O106">
        <f t="shared" si="3"/>
        <v>1.0577419293182209</v>
      </c>
      <c r="P106">
        <v>1.1976570767732653</v>
      </c>
    </row>
    <row r="107" spans="1:16" x14ac:dyDescent="0.2">
      <c r="A107" s="3">
        <v>45922</v>
      </c>
      <c r="B107">
        <v>5671.6841086229997</v>
      </c>
      <c r="C107">
        <v>553.4</v>
      </c>
      <c r="G107" s="3">
        <v>45923</v>
      </c>
      <c r="H107" s="3">
        <v>45923</v>
      </c>
      <c r="I107">
        <v>5634.2838649619998</v>
      </c>
      <c r="J107">
        <v>554.95000000000005</v>
      </c>
      <c r="M107" s="3">
        <v>45923</v>
      </c>
      <c r="N107">
        <f t="shared" si="2"/>
        <v>1.1639016295931683</v>
      </c>
      <c r="O107">
        <f t="shared" si="3"/>
        <v>1.0607045241690398</v>
      </c>
      <c r="P107">
        <v>1.1986686053725015</v>
      </c>
    </row>
    <row r="108" spans="1:16" x14ac:dyDescent="0.2">
      <c r="A108" s="3">
        <v>45923</v>
      </c>
      <c r="B108">
        <v>5634.2838649619998</v>
      </c>
      <c r="C108">
        <v>554.95000000000005</v>
      </c>
      <c r="G108" s="3">
        <v>45924</v>
      </c>
      <c r="H108" s="3">
        <v>45924</v>
      </c>
      <c r="I108">
        <v>5655.6199721370003</v>
      </c>
      <c r="J108">
        <v>553.88</v>
      </c>
      <c r="M108" s="3">
        <v>45924</v>
      </c>
      <c r="N108">
        <f t="shared" si="2"/>
        <v>1.1683091338129306</v>
      </c>
      <c r="O108">
        <f t="shared" si="3"/>
        <v>1.0586593780462163</v>
      </c>
      <c r="P108">
        <v>1.2092418186213367</v>
      </c>
    </row>
    <row r="109" spans="1:16" x14ac:dyDescent="0.2">
      <c r="A109" s="3">
        <v>45924</v>
      </c>
      <c r="B109">
        <v>5655.6199721370003</v>
      </c>
      <c r="C109">
        <v>553.88</v>
      </c>
      <c r="G109" s="3">
        <v>45925</v>
      </c>
      <c r="H109" s="3">
        <v>45925</v>
      </c>
      <c r="I109">
        <v>5662.0259140440003</v>
      </c>
      <c r="J109">
        <v>550.22</v>
      </c>
      <c r="M109" s="3">
        <v>45925</v>
      </c>
      <c r="N109">
        <f t="shared" si="2"/>
        <v>1.1696324406258873</v>
      </c>
      <c r="O109">
        <f t="shared" si="3"/>
        <v>1.0516638314952502</v>
      </c>
      <c r="P109">
        <v>1.2060944513157608</v>
      </c>
    </row>
    <row r="110" spans="1:16" x14ac:dyDescent="0.2">
      <c r="A110" s="3">
        <v>45925</v>
      </c>
      <c r="B110">
        <v>5662.0259140440003</v>
      </c>
      <c r="C110">
        <v>550.22</v>
      </c>
      <c r="G110" s="3">
        <v>45926</v>
      </c>
      <c r="H110" s="3">
        <v>45926</v>
      </c>
      <c r="I110">
        <v>5677.903194425</v>
      </c>
      <c r="J110">
        <v>554.52</v>
      </c>
      <c r="M110" s="3">
        <v>45926</v>
      </c>
      <c r="N110">
        <f t="shared" si="2"/>
        <v>1.1729122882430569</v>
      </c>
      <c r="O110">
        <f t="shared" si="3"/>
        <v>1.0598826430168771</v>
      </c>
      <c r="P110">
        <v>1.2152309984281873</v>
      </c>
    </row>
    <row r="111" spans="1:16" x14ac:dyDescent="0.2">
      <c r="A111" s="3">
        <v>45926</v>
      </c>
      <c r="B111">
        <v>5677.903194425</v>
      </c>
      <c r="C111">
        <v>554.52</v>
      </c>
      <c r="G111" s="3">
        <v>45929</v>
      </c>
      <c r="H111" s="3">
        <v>45929</v>
      </c>
      <c r="I111">
        <v>5681.2104820240002</v>
      </c>
      <c r="J111">
        <v>555.53</v>
      </c>
      <c r="M111" s="3">
        <v>45929</v>
      </c>
      <c r="N111">
        <f t="shared" si="2"/>
        <v>1.1735954908502149</v>
      </c>
      <c r="O111">
        <f t="shared" si="3"/>
        <v>1.061813108048701</v>
      </c>
      <c r="P111">
        <v>1.2059696679118412</v>
      </c>
    </row>
    <row r="112" spans="1:16" x14ac:dyDescent="0.2">
      <c r="A112" s="3">
        <v>45929</v>
      </c>
      <c r="B112">
        <v>5681.2104820240002</v>
      </c>
      <c r="C112">
        <v>555.53</v>
      </c>
      <c r="G112" s="3">
        <v>45930</v>
      </c>
      <c r="H112" s="3">
        <v>45930</v>
      </c>
      <c r="I112">
        <v>5700.5736057000004</v>
      </c>
      <c r="J112">
        <v>558.17999999999995</v>
      </c>
      <c r="M112" s="3">
        <v>45930</v>
      </c>
      <c r="N112">
        <f t="shared" si="2"/>
        <v>1.1775954261997028</v>
      </c>
      <c r="O112">
        <f t="shared" si="3"/>
        <v>1.0668781895678432</v>
      </c>
      <c r="P112">
        <v>1.2083433230080454</v>
      </c>
    </row>
    <row r="113" spans="1:16" x14ac:dyDescent="0.2">
      <c r="A113" s="3">
        <v>45930</v>
      </c>
      <c r="B113">
        <v>5700.5736057000004</v>
      </c>
      <c r="C113">
        <v>558.17999999999995</v>
      </c>
      <c r="G113" s="3">
        <v>45931</v>
      </c>
      <c r="H113" s="3">
        <v>45931</v>
      </c>
      <c r="I113">
        <v>5721.905333101</v>
      </c>
      <c r="J113">
        <v>564.62</v>
      </c>
      <c r="M113" s="3">
        <v>45931</v>
      </c>
      <c r="N113">
        <f t="shared" si="2"/>
        <v>1.1820020256680857</v>
      </c>
      <c r="O113">
        <f t="shared" si="3"/>
        <v>1.0791872933351172</v>
      </c>
      <c r="P113">
        <v>1.214353156028571</v>
      </c>
    </row>
    <row r="114" spans="1:16" x14ac:dyDescent="0.2">
      <c r="A114" s="3">
        <v>45931</v>
      </c>
      <c r="B114">
        <v>5721.905333101</v>
      </c>
      <c r="C114">
        <v>564.62</v>
      </c>
      <c r="G114" s="3">
        <v>45932</v>
      </c>
      <c r="H114" s="3">
        <v>45932</v>
      </c>
      <c r="I114">
        <v>5732.7568293840004</v>
      </c>
      <c r="J114">
        <v>567.6</v>
      </c>
      <c r="M114" s="3">
        <v>45932</v>
      </c>
      <c r="N114">
        <f t="shared" si="2"/>
        <v>1.1842436724345633</v>
      </c>
      <c r="O114">
        <f t="shared" si="3"/>
        <v>1.0848831208547562</v>
      </c>
      <c r="P114">
        <v>1.2169672330673862</v>
      </c>
    </row>
    <row r="115" spans="1:16" x14ac:dyDescent="0.2">
      <c r="A115" s="3">
        <v>45932</v>
      </c>
      <c r="B115">
        <v>5732.7568293840004</v>
      </c>
      <c r="C115">
        <v>567.6</v>
      </c>
      <c r="G115" s="3">
        <v>45933</v>
      </c>
      <c r="H115" s="3">
        <v>45933</v>
      </c>
      <c r="I115">
        <v>5719.9720625959999</v>
      </c>
      <c r="J115">
        <v>570.45000000000005</v>
      </c>
      <c r="M115" s="3">
        <v>45933</v>
      </c>
      <c r="N115">
        <f t="shared" si="2"/>
        <v>1.1816026605056014</v>
      </c>
      <c r="O115">
        <f t="shared" si="3"/>
        <v>1.09033047267723</v>
      </c>
      <c r="P115">
        <v>1.2129223554733461</v>
      </c>
    </row>
    <row r="116" spans="1:16" x14ac:dyDescent="0.2">
      <c r="A116" s="3">
        <v>45933</v>
      </c>
      <c r="B116">
        <v>5719.9720625959999</v>
      </c>
      <c r="C116">
        <v>570.45000000000005</v>
      </c>
      <c r="G116" s="3">
        <v>45936</v>
      </c>
      <c r="H116" s="3">
        <v>45936</v>
      </c>
      <c r="I116">
        <v>5756.4699268559998</v>
      </c>
      <c r="J116">
        <v>570.24</v>
      </c>
      <c r="M116" s="3">
        <v>45936</v>
      </c>
      <c r="N116">
        <f t="shared" si="2"/>
        <v>1.1891422031887549</v>
      </c>
      <c r="O116">
        <f t="shared" si="3"/>
        <v>1.0899290888587319</v>
      </c>
      <c r="P116">
        <v>1.2182004824813584</v>
      </c>
    </row>
    <row r="117" spans="1:16" x14ac:dyDescent="0.2">
      <c r="A117" s="3">
        <v>45936</v>
      </c>
      <c r="B117">
        <v>5756.4699268559998</v>
      </c>
      <c r="C117">
        <v>570.24</v>
      </c>
      <c r="G117" s="3">
        <v>45937</v>
      </c>
      <c r="H117" s="3">
        <v>45937</v>
      </c>
      <c r="I117">
        <v>5761.1164182000002</v>
      </c>
      <c r="J117">
        <v>569.27</v>
      </c>
      <c r="M117" s="3">
        <v>45937</v>
      </c>
      <c r="N117">
        <f t="shared" si="2"/>
        <v>1.1901020516764755</v>
      </c>
      <c r="O117">
        <f t="shared" si="3"/>
        <v>1.0880750778875741</v>
      </c>
      <c r="P117">
        <v>1.212034023641664</v>
      </c>
    </row>
    <row r="118" spans="1:16" x14ac:dyDescent="0.2">
      <c r="A118" s="3">
        <v>45937</v>
      </c>
      <c r="B118">
        <v>5761.1164182000002</v>
      </c>
      <c r="C118">
        <v>569.27</v>
      </c>
      <c r="G118" s="3">
        <v>45938</v>
      </c>
      <c r="H118" s="3">
        <v>45938</v>
      </c>
      <c r="I118">
        <v>5809.1422263940003</v>
      </c>
      <c r="J118">
        <v>573.79</v>
      </c>
      <c r="M118" s="3">
        <v>45938</v>
      </c>
      <c r="N118">
        <f t="shared" si="2"/>
        <v>1.2000229782324012</v>
      </c>
      <c r="O118">
        <f t="shared" si="3"/>
        <v>1.0967143867428657</v>
      </c>
      <c r="P118">
        <v>1.2189372030457846</v>
      </c>
    </row>
    <row r="119" spans="1:16" x14ac:dyDescent="0.2">
      <c r="A119" s="3">
        <v>45938</v>
      </c>
      <c r="B119">
        <v>5809.1422263940003</v>
      </c>
      <c r="C119">
        <v>573.79</v>
      </c>
      <c r="G119" s="3">
        <v>45939</v>
      </c>
      <c r="H119" s="3">
        <v>45939</v>
      </c>
      <c r="I119">
        <v>5824.7258731640004</v>
      </c>
      <c r="J119">
        <v>571.30999999999995</v>
      </c>
      <c r="M119" s="3">
        <v>45939</v>
      </c>
      <c r="N119">
        <f t="shared" si="2"/>
        <v>1.2032421685155537</v>
      </c>
      <c r="O119">
        <f t="shared" si="3"/>
        <v>1.0919742349815553</v>
      </c>
      <c r="P119">
        <v>1.2225317451441637</v>
      </c>
    </row>
    <row r="120" spans="1:16" x14ac:dyDescent="0.2">
      <c r="A120" s="3">
        <v>45939</v>
      </c>
      <c r="B120">
        <v>5824.7258731640004</v>
      </c>
      <c r="C120">
        <v>571.30999999999995</v>
      </c>
      <c r="G120" s="3">
        <v>45940</v>
      </c>
      <c r="H120" s="3">
        <v>45940</v>
      </c>
      <c r="I120">
        <v>5639.9446866360004</v>
      </c>
      <c r="J120">
        <v>564.16</v>
      </c>
      <c r="M120" s="3">
        <v>45940</v>
      </c>
      <c r="N120">
        <f t="shared" si="2"/>
        <v>1.1650710132680271</v>
      </c>
      <c r="O120">
        <f t="shared" si="3"/>
        <v>1.0783080716374547</v>
      </c>
      <c r="P120">
        <v>1.2143898836005791</v>
      </c>
    </row>
    <row r="121" spans="1:16" x14ac:dyDescent="0.2">
      <c r="A121" s="3">
        <v>45940</v>
      </c>
      <c r="B121">
        <v>5639.9446866360004</v>
      </c>
      <c r="C121">
        <v>564.16</v>
      </c>
      <c r="G121" s="3">
        <v>45943</v>
      </c>
      <c r="H121" s="3">
        <v>45943</v>
      </c>
      <c r="I121">
        <v>5752.6719259949996</v>
      </c>
      <c r="J121">
        <v>566.63</v>
      </c>
      <c r="M121" s="3">
        <v>45943</v>
      </c>
      <c r="N121">
        <f t="shared" si="2"/>
        <v>1.1883576315382556</v>
      </c>
      <c r="O121">
        <f t="shared" si="3"/>
        <v>1.0830291098835985</v>
      </c>
      <c r="P121">
        <v>1.2151235611886169</v>
      </c>
    </row>
    <row r="122" spans="1:16" x14ac:dyDescent="0.2">
      <c r="A122" s="3">
        <v>45943</v>
      </c>
      <c r="B122">
        <v>5752.6719259949996</v>
      </c>
      <c r="C122">
        <v>566.63</v>
      </c>
      <c r="G122" s="3">
        <v>45944</v>
      </c>
      <c r="H122" s="3">
        <v>45944</v>
      </c>
      <c r="I122">
        <v>5725.4005482800003</v>
      </c>
      <c r="J122">
        <v>564.54</v>
      </c>
      <c r="M122" s="3">
        <v>45944</v>
      </c>
      <c r="N122">
        <f t="shared" si="2"/>
        <v>1.18272404939641</v>
      </c>
      <c r="O122">
        <f t="shared" si="3"/>
        <v>1.0790343852137845</v>
      </c>
      <c r="P122">
        <v>1.2178052088568434</v>
      </c>
    </row>
    <row r="123" spans="1:16" x14ac:dyDescent="0.2">
      <c r="A123" s="3">
        <v>45944</v>
      </c>
      <c r="B123">
        <v>5725.4005482800003</v>
      </c>
      <c r="C123">
        <v>564.54</v>
      </c>
      <c r="G123" s="3">
        <v>45945</v>
      </c>
      <c r="H123" s="3">
        <v>45945</v>
      </c>
      <c r="I123">
        <v>5728.1709198779999</v>
      </c>
      <c r="J123">
        <v>567.77</v>
      </c>
      <c r="M123" s="3">
        <v>45945</v>
      </c>
      <c r="N123">
        <f t="shared" si="2"/>
        <v>1.1832963386340081</v>
      </c>
      <c r="O123">
        <f t="shared" si="3"/>
        <v>1.0852080506125881</v>
      </c>
      <c r="P123">
        <v>1.2093668723648616</v>
      </c>
    </row>
    <row r="124" spans="1:16" x14ac:dyDescent="0.2">
      <c r="A124" s="3">
        <v>45945</v>
      </c>
      <c r="B124">
        <v>5728.1709198779999</v>
      </c>
      <c r="C124">
        <v>567.77</v>
      </c>
      <c r="G124" s="3">
        <v>45946</v>
      </c>
      <c r="H124" s="3">
        <v>45946</v>
      </c>
      <c r="I124">
        <v>5672.1673392299999</v>
      </c>
      <c r="J124">
        <v>571.66</v>
      </c>
      <c r="M124" s="3">
        <v>45946</v>
      </c>
      <c r="N124">
        <f t="shared" si="2"/>
        <v>1.1717274045260531</v>
      </c>
      <c r="O124">
        <f t="shared" si="3"/>
        <v>1.0926432080123853</v>
      </c>
      <c r="P124">
        <v>1.1988524727126599</v>
      </c>
    </row>
    <row r="125" spans="1:16" x14ac:dyDescent="0.2">
      <c r="A125" s="3">
        <v>45946</v>
      </c>
      <c r="B125">
        <v>5672.1673392299999</v>
      </c>
      <c r="C125">
        <v>571.66</v>
      </c>
      <c r="G125" s="3">
        <v>45947</v>
      </c>
      <c r="H125" s="3">
        <v>45947</v>
      </c>
      <c r="I125">
        <v>5719.7206413000004</v>
      </c>
      <c r="J125">
        <v>566.24</v>
      </c>
      <c r="M125" s="3">
        <v>45947</v>
      </c>
      <c r="N125">
        <f t="shared" si="2"/>
        <v>1.1815507231763609</v>
      </c>
      <c r="O125">
        <f t="shared" si="3"/>
        <v>1.0822836827921023</v>
      </c>
      <c r="P125">
        <v>1.1776102001015509</v>
      </c>
    </row>
    <row r="126" spans="1:16" x14ac:dyDescent="0.2">
      <c r="A126" s="3">
        <v>45947</v>
      </c>
      <c r="B126">
        <v>5719.7206413000004</v>
      </c>
      <c r="C126">
        <v>566.24</v>
      </c>
      <c r="G126" s="3">
        <v>45950</v>
      </c>
      <c r="H126" s="3">
        <v>45950</v>
      </c>
      <c r="I126">
        <v>5786.2145274149998</v>
      </c>
      <c r="J126">
        <v>572.1</v>
      </c>
      <c r="M126" s="3">
        <v>45950</v>
      </c>
      <c r="N126">
        <f t="shared" si="2"/>
        <v>1.1952866910938653</v>
      </c>
      <c r="O126">
        <f t="shared" si="3"/>
        <v>1.0934842026797147</v>
      </c>
      <c r="P126">
        <v>1.1965560630315906</v>
      </c>
    </row>
    <row r="127" spans="1:16" x14ac:dyDescent="0.2">
      <c r="A127" s="3">
        <v>45950</v>
      </c>
      <c r="B127">
        <v>5786.2145274149998</v>
      </c>
      <c r="C127">
        <v>572.1</v>
      </c>
      <c r="G127" s="3">
        <v>45951</v>
      </c>
      <c r="H127" s="3">
        <v>45951</v>
      </c>
      <c r="I127">
        <v>5807.3547703300001</v>
      </c>
      <c r="J127">
        <v>573.29999999999995</v>
      </c>
      <c r="M127" s="3">
        <v>45951</v>
      </c>
      <c r="N127">
        <f t="shared" si="2"/>
        <v>1.1996537346735785</v>
      </c>
      <c r="O127">
        <f t="shared" si="3"/>
        <v>1.0957778244997036</v>
      </c>
      <c r="P127">
        <v>1.1892051948010853</v>
      </c>
    </row>
    <row r="128" spans="1:16" x14ac:dyDescent="0.2">
      <c r="A128" s="3">
        <v>45951</v>
      </c>
      <c r="B128">
        <v>5807.3547703300001</v>
      </c>
      <c r="C128">
        <v>573.29999999999995</v>
      </c>
      <c r="G128" s="3">
        <v>45952</v>
      </c>
      <c r="H128" s="3">
        <v>45952</v>
      </c>
      <c r="I128">
        <v>5770.3962691919996</v>
      </c>
      <c r="J128">
        <v>572.29</v>
      </c>
      <c r="M128" s="3">
        <v>45952</v>
      </c>
      <c r="N128">
        <f t="shared" si="2"/>
        <v>1.19201903597312</v>
      </c>
      <c r="O128">
        <f t="shared" si="3"/>
        <v>1.0938473594678795</v>
      </c>
      <c r="P128">
        <v>1.1762231797959759</v>
      </c>
    </row>
    <row r="129" spans="1:16" x14ac:dyDescent="0.2">
      <c r="A129" s="3">
        <v>45952</v>
      </c>
      <c r="B129">
        <v>5770.3962691919996</v>
      </c>
      <c r="C129">
        <v>572.29</v>
      </c>
      <c r="G129" s="3">
        <v>45953</v>
      </c>
      <c r="H129" s="3">
        <v>45953</v>
      </c>
      <c r="I129">
        <v>5800.5145565370003</v>
      </c>
      <c r="J129">
        <v>574.42999999999995</v>
      </c>
      <c r="M129" s="3">
        <v>45953</v>
      </c>
      <c r="N129">
        <f t="shared" si="2"/>
        <v>1.1982407181889199</v>
      </c>
      <c r="O129">
        <f t="shared" si="3"/>
        <v>1.0979376517135264</v>
      </c>
      <c r="P129">
        <v>1.1687652887822815</v>
      </c>
    </row>
    <row r="130" spans="1:16" x14ac:dyDescent="0.2">
      <c r="A130" s="3">
        <v>45953</v>
      </c>
      <c r="B130">
        <v>5800.5145565370003</v>
      </c>
      <c r="C130">
        <v>574.42999999999995</v>
      </c>
      <c r="G130" s="3">
        <v>45954</v>
      </c>
      <c r="H130" s="3">
        <v>45954</v>
      </c>
      <c r="I130">
        <v>5842.3508406359997</v>
      </c>
      <c r="J130">
        <v>575.76</v>
      </c>
      <c r="M130" s="3">
        <v>45954</v>
      </c>
      <c r="N130">
        <f t="shared" si="2"/>
        <v>1.2068830444198997</v>
      </c>
      <c r="O130">
        <f t="shared" si="3"/>
        <v>1.1004797492306808</v>
      </c>
      <c r="P130">
        <v>1.172543133089673</v>
      </c>
    </row>
    <row r="131" spans="1:16" x14ac:dyDescent="0.2">
      <c r="A131" s="3">
        <v>45954</v>
      </c>
      <c r="B131">
        <v>5842.3508406359997</v>
      </c>
      <c r="C131">
        <v>575.76</v>
      </c>
      <c r="G131" s="3">
        <v>45957</v>
      </c>
      <c r="H131" s="3">
        <v>45957</v>
      </c>
      <c r="I131">
        <v>5905.0035098409999</v>
      </c>
      <c r="J131">
        <v>577.03</v>
      </c>
      <c r="M131" s="3">
        <v>45957</v>
      </c>
      <c r="N131">
        <f t="shared" si="2"/>
        <v>1.2198255133358766</v>
      </c>
      <c r="O131">
        <f t="shared" si="3"/>
        <v>1.1029071656568359</v>
      </c>
      <c r="P131">
        <v>1.1820542128829798</v>
      </c>
    </row>
    <row r="132" spans="1:16" x14ac:dyDescent="0.2">
      <c r="A132" s="3">
        <v>45957</v>
      </c>
      <c r="B132">
        <v>5905.0035098409999</v>
      </c>
      <c r="C132">
        <v>577.03</v>
      </c>
      <c r="G132" s="3">
        <v>45958</v>
      </c>
      <c r="H132" s="3">
        <v>45958</v>
      </c>
      <c r="I132">
        <v>5914.9318759079997</v>
      </c>
      <c r="J132">
        <v>575.76</v>
      </c>
      <c r="M132" s="3">
        <v>45958</v>
      </c>
      <c r="N132">
        <f t="shared" ref="N132:N150" si="4">I132/$I$2</f>
        <v>1.2218764645697042</v>
      </c>
      <c r="O132">
        <f t="shared" ref="O132:O150" si="5">J132/$J$2</f>
        <v>1.1004797492306808</v>
      </c>
      <c r="P132">
        <v>1.1787661064433979</v>
      </c>
    </row>
    <row r="133" spans="1:16" x14ac:dyDescent="0.2">
      <c r="A133" s="3">
        <v>45958</v>
      </c>
      <c r="B133">
        <v>5914.9318759079997</v>
      </c>
      <c r="C133">
        <v>575.76</v>
      </c>
      <c r="G133" s="3">
        <v>45959</v>
      </c>
      <c r="H133" s="3">
        <v>45959</v>
      </c>
      <c r="I133">
        <v>5940.6506761800001</v>
      </c>
      <c r="J133">
        <v>575.4</v>
      </c>
      <c r="M133" s="3">
        <v>45959</v>
      </c>
      <c r="N133">
        <f t="shared" si="4"/>
        <v>1.2271893231805233</v>
      </c>
      <c r="O133">
        <f t="shared" si="5"/>
        <v>1.0997916626846842</v>
      </c>
      <c r="P133">
        <v>1.1941530814579482</v>
      </c>
    </row>
    <row r="134" spans="1:16" x14ac:dyDescent="0.2">
      <c r="A134" s="3">
        <v>45959</v>
      </c>
      <c r="B134">
        <v>5940.6506761800001</v>
      </c>
      <c r="C134">
        <v>575.4</v>
      </c>
      <c r="G134" s="3">
        <v>45960</v>
      </c>
      <c r="H134" s="3">
        <v>45960</v>
      </c>
      <c r="I134">
        <v>5899.1412106039998</v>
      </c>
      <c r="J134">
        <v>574.83000000000004</v>
      </c>
      <c r="M134" s="3">
        <v>45960</v>
      </c>
      <c r="N134">
        <f t="shared" si="4"/>
        <v>1.2186145094534599</v>
      </c>
      <c r="O134">
        <f t="shared" si="5"/>
        <v>1.0987021923201896</v>
      </c>
      <c r="P134">
        <v>1.2027460211917782</v>
      </c>
    </row>
    <row r="135" spans="1:16" x14ac:dyDescent="0.2">
      <c r="A135" s="3">
        <v>45960</v>
      </c>
      <c r="B135">
        <v>5899.1412106039998</v>
      </c>
      <c r="C135">
        <v>574.83000000000004</v>
      </c>
      <c r="G135" s="3">
        <v>45961</v>
      </c>
      <c r="H135" s="3">
        <v>45961</v>
      </c>
      <c r="I135">
        <v>5930.4522729</v>
      </c>
      <c r="J135">
        <v>571.89</v>
      </c>
      <c r="M135" s="3">
        <v>45961</v>
      </c>
      <c r="N135">
        <f t="shared" si="4"/>
        <v>1.2250825890362507</v>
      </c>
      <c r="O135">
        <f t="shared" si="5"/>
        <v>1.0930828188612167</v>
      </c>
      <c r="P135">
        <v>1.2171877066856496</v>
      </c>
    </row>
    <row r="136" spans="1:16" x14ac:dyDescent="0.2">
      <c r="A136" s="3">
        <v>45961</v>
      </c>
      <c r="B136">
        <v>5930.4522729</v>
      </c>
      <c r="C136">
        <v>571.89</v>
      </c>
      <c r="G136" s="3">
        <v>45964</v>
      </c>
      <c r="H136" s="3">
        <v>45964</v>
      </c>
      <c r="I136">
        <v>5948.9460086070003</v>
      </c>
      <c r="J136">
        <v>572.28</v>
      </c>
      <c r="M136" s="3">
        <v>45964</v>
      </c>
      <c r="N136">
        <f t="shared" si="4"/>
        <v>1.2289029306524231</v>
      </c>
      <c r="O136">
        <f t="shared" si="5"/>
        <v>1.0938282459527131</v>
      </c>
      <c r="P136">
        <v>1.2302417702412078</v>
      </c>
    </row>
    <row r="137" spans="1:16" x14ac:dyDescent="0.2">
      <c r="A137" s="3">
        <v>45964</v>
      </c>
      <c r="B137">
        <v>5948.9460086070003</v>
      </c>
      <c r="C137">
        <v>572.28</v>
      </c>
      <c r="G137" s="3">
        <v>45965</v>
      </c>
      <c r="H137" s="3">
        <v>45965</v>
      </c>
      <c r="I137">
        <v>5897.5438641749997</v>
      </c>
      <c r="J137">
        <v>570.58000000000004</v>
      </c>
      <c r="M137" s="3">
        <v>45965</v>
      </c>
      <c r="N137">
        <f t="shared" si="4"/>
        <v>1.2182845377735985</v>
      </c>
      <c r="O137">
        <f t="shared" si="5"/>
        <v>1.0905789483743955</v>
      </c>
      <c r="P137">
        <v>1.209189401861259</v>
      </c>
    </row>
    <row r="138" spans="1:16" x14ac:dyDescent="0.2">
      <c r="A138" s="3">
        <v>45965</v>
      </c>
      <c r="B138">
        <v>5897.5438641749997</v>
      </c>
      <c r="C138">
        <v>570.58000000000004</v>
      </c>
      <c r="G138" s="3">
        <v>45966</v>
      </c>
      <c r="H138" s="3">
        <v>45966</v>
      </c>
      <c r="I138">
        <v>5914.4708503499996</v>
      </c>
      <c r="J138">
        <v>571.9</v>
      </c>
      <c r="M138" s="3">
        <v>45966</v>
      </c>
      <c r="N138">
        <f t="shared" si="4"/>
        <v>1.2217812282608671</v>
      </c>
      <c r="O138">
        <f t="shared" si="5"/>
        <v>1.0931019323763831</v>
      </c>
      <c r="P138">
        <v>1.201541311753124</v>
      </c>
    </row>
    <row r="139" spans="1:16" x14ac:dyDescent="0.2">
      <c r="A139" s="3">
        <v>45966</v>
      </c>
      <c r="B139">
        <v>5914.4708503499996</v>
      </c>
      <c r="C139">
        <v>571.9</v>
      </c>
      <c r="G139" s="3">
        <v>45967</v>
      </c>
      <c r="H139" s="3">
        <v>45967</v>
      </c>
      <c r="I139">
        <v>5819.9988162030004</v>
      </c>
      <c r="J139">
        <v>567.9</v>
      </c>
      <c r="M139" s="3">
        <v>45967</v>
      </c>
      <c r="N139">
        <f t="shared" si="4"/>
        <v>1.2022656771935061</v>
      </c>
      <c r="O139">
        <f t="shared" si="5"/>
        <v>1.0854565263097535</v>
      </c>
      <c r="P139">
        <v>1.2089774535328499</v>
      </c>
    </row>
    <row r="140" spans="1:16" x14ac:dyDescent="0.2">
      <c r="A140" s="3">
        <v>45967</v>
      </c>
      <c r="B140">
        <v>5819.9988162030004</v>
      </c>
      <c r="C140">
        <v>567.9</v>
      </c>
      <c r="G140" s="3">
        <v>45968</v>
      </c>
      <c r="H140" s="3">
        <v>45968</v>
      </c>
      <c r="I140">
        <v>5818.2597351479999</v>
      </c>
      <c r="J140">
        <v>564.79</v>
      </c>
      <c r="M140" s="3">
        <v>45968</v>
      </c>
      <c r="N140">
        <f t="shared" si="4"/>
        <v>1.2019064266973609</v>
      </c>
      <c r="O140">
        <f t="shared" si="5"/>
        <v>1.0795122230929488</v>
      </c>
      <c r="P140">
        <v>1.2113870375271625</v>
      </c>
    </row>
    <row r="141" spans="1:16" x14ac:dyDescent="0.2">
      <c r="A141" s="3">
        <v>45968</v>
      </c>
      <c r="B141">
        <v>5818.2597351479999</v>
      </c>
      <c r="C141">
        <v>564.79</v>
      </c>
      <c r="G141" s="3">
        <v>45971</v>
      </c>
      <c r="H141" s="3">
        <v>45971</v>
      </c>
      <c r="I141">
        <v>5912.4434735699997</v>
      </c>
      <c r="J141">
        <v>572.82000000000005</v>
      </c>
      <c r="M141" s="3">
        <v>45971</v>
      </c>
      <c r="N141">
        <f t="shared" si="4"/>
        <v>1.2213624231039748</v>
      </c>
      <c r="O141">
        <f t="shared" si="5"/>
        <v>1.0948603757717081</v>
      </c>
      <c r="P141">
        <v>1.2260109506998436</v>
      </c>
    </row>
    <row r="142" spans="1:16" x14ac:dyDescent="0.2">
      <c r="A142" s="3">
        <v>45971</v>
      </c>
      <c r="B142">
        <v>5912.4434735699997</v>
      </c>
      <c r="C142">
        <v>572.82000000000005</v>
      </c>
      <c r="G142" s="3">
        <v>45972</v>
      </c>
      <c r="H142" s="3">
        <v>45972</v>
      </c>
      <c r="I142">
        <v>5912.4621585519999</v>
      </c>
      <c r="J142">
        <v>580.13</v>
      </c>
      <c r="M142" s="3">
        <v>45972</v>
      </c>
      <c r="N142">
        <f t="shared" si="4"/>
        <v>1.2213662829522749</v>
      </c>
      <c r="O142">
        <f t="shared" si="5"/>
        <v>1.1088323553584738</v>
      </c>
      <c r="P142">
        <v>1.2245067044887066</v>
      </c>
    </row>
    <row r="143" spans="1:16" x14ac:dyDescent="0.2">
      <c r="A143" s="3">
        <v>45972</v>
      </c>
      <c r="B143">
        <v>5912.4621585519999</v>
      </c>
      <c r="C143">
        <v>580.13</v>
      </c>
      <c r="G143" s="3">
        <v>45973</v>
      </c>
      <c r="H143" s="3">
        <v>45973</v>
      </c>
      <c r="I143">
        <v>5910.0116278900005</v>
      </c>
      <c r="J143">
        <v>584.23</v>
      </c>
      <c r="M143" s="3">
        <v>45973</v>
      </c>
      <c r="N143">
        <f t="shared" si="4"/>
        <v>1.2208600648242522</v>
      </c>
      <c r="O143">
        <f t="shared" si="5"/>
        <v>1.1166688965767693</v>
      </c>
      <c r="P143">
        <v>1.225636632865901</v>
      </c>
    </row>
    <row r="144" spans="1:16" x14ac:dyDescent="0.2">
      <c r="A144" s="3">
        <v>45973</v>
      </c>
      <c r="B144">
        <v>5910.0116278900005</v>
      </c>
      <c r="C144">
        <v>584.23</v>
      </c>
      <c r="G144" s="3">
        <v>45974</v>
      </c>
      <c r="H144" s="3">
        <v>45974</v>
      </c>
      <c r="I144">
        <v>5792.6906595990004</v>
      </c>
      <c r="J144">
        <v>580.66999999999996</v>
      </c>
      <c r="M144" s="3">
        <v>45974</v>
      </c>
      <c r="N144">
        <f t="shared" si="4"/>
        <v>1.1966244974563194</v>
      </c>
      <c r="O144">
        <f t="shared" si="5"/>
        <v>1.1098644851774688</v>
      </c>
      <c r="P144">
        <v>1.2090697491997999</v>
      </c>
    </row>
    <row r="145" spans="1:16" x14ac:dyDescent="0.2">
      <c r="A145" s="3">
        <v>45974</v>
      </c>
      <c r="B145">
        <v>5792.6906595990004</v>
      </c>
      <c r="C145">
        <v>580.66999999999996</v>
      </c>
      <c r="G145" s="3">
        <v>45975</v>
      </c>
      <c r="H145" s="3">
        <v>45975</v>
      </c>
      <c r="I145">
        <v>5795.3083273129996</v>
      </c>
      <c r="J145">
        <v>574.80999999999995</v>
      </c>
      <c r="M145" s="3">
        <v>45975</v>
      </c>
      <c r="N145">
        <f t="shared" si="4"/>
        <v>1.1971652419042524</v>
      </c>
      <c r="O145">
        <f t="shared" si="5"/>
        <v>1.0986639652898562</v>
      </c>
      <c r="P145">
        <v>1.220080611480471</v>
      </c>
    </row>
    <row r="146" spans="1:16" x14ac:dyDescent="0.2">
      <c r="A146" s="3">
        <v>45975</v>
      </c>
      <c r="B146">
        <v>5795.3083273129996</v>
      </c>
      <c r="C146">
        <v>574.80999999999995</v>
      </c>
      <c r="G146" s="3">
        <v>45978</v>
      </c>
      <c r="H146" s="3">
        <v>45978</v>
      </c>
      <c r="I146">
        <v>5757.0234525960004</v>
      </c>
      <c r="J146">
        <v>571.67999999999995</v>
      </c>
      <c r="M146" s="3">
        <v>45978</v>
      </c>
      <c r="N146">
        <f t="shared" si="4"/>
        <v>1.1892565477134982</v>
      </c>
      <c r="O146">
        <f t="shared" si="5"/>
        <v>1.0926814350427185</v>
      </c>
      <c r="P146">
        <v>1.2210829961346137</v>
      </c>
    </row>
    <row r="147" spans="1:16" x14ac:dyDescent="0.2">
      <c r="A147" s="3">
        <v>45978</v>
      </c>
      <c r="B147">
        <v>5757.0234525960004</v>
      </c>
      <c r="C147">
        <v>571.67999999999995</v>
      </c>
      <c r="G147" s="3">
        <v>45979</v>
      </c>
      <c r="H147" s="3">
        <v>45979</v>
      </c>
      <c r="I147">
        <v>5714.9161579629999</v>
      </c>
      <c r="J147">
        <v>561.86</v>
      </c>
      <c r="M147" s="3">
        <v>45979</v>
      </c>
      <c r="N147">
        <f t="shared" si="4"/>
        <v>1.1805582375083841</v>
      </c>
      <c r="O147">
        <f t="shared" si="5"/>
        <v>1.0739119631491427</v>
      </c>
      <c r="P147">
        <v>1.2171876305177147</v>
      </c>
    </row>
    <row r="148" spans="1:16" x14ac:dyDescent="0.2">
      <c r="A148" s="3">
        <v>45979</v>
      </c>
      <c r="B148">
        <v>5714.9161579629999</v>
      </c>
      <c r="C148">
        <v>561.86</v>
      </c>
      <c r="G148" s="3">
        <v>45980</v>
      </c>
      <c r="H148" s="3">
        <v>45980</v>
      </c>
      <c r="I148">
        <v>5757.7550957249996</v>
      </c>
      <c r="J148">
        <v>561.71</v>
      </c>
      <c r="M148" s="3">
        <v>45980</v>
      </c>
      <c r="N148">
        <f t="shared" si="4"/>
        <v>1.1894076868201766</v>
      </c>
      <c r="O148">
        <f t="shared" si="5"/>
        <v>1.0736252604216441</v>
      </c>
      <c r="P148">
        <v>1.2277489068064049</v>
      </c>
    </row>
    <row r="149" spans="1:16" x14ac:dyDescent="0.2">
      <c r="A149" s="3">
        <v>45980</v>
      </c>
      <c r="B149">
        <v>5757.7550957249996</v>
      </c>
      <c r="C149">
        <v>561.71</v>
      </c>
      <c r="G149" s="3">
        <v>45981</v>
      </c>
      <c r="H149" s="3">
        <v>45981</v>
      </c>
      <c r="I149">
        <v>5672.5728051309998</v>
      </c>
      <c r="J149">
        <v>563.94000000000005</v>
      </c>
      <c r="M149" s="3">
        <v>45981</v>
      </c>
      <c r="N149">
        <f t="shared" si="4"/>
        <v>1.1718111636042658</v>
      </c>
      <c r="O149">
        <f t="shared" si="5"/>
        <v>1.0778875743037901</v>
      </c>
      <c r="P149">
        <v>1.2158425355356564</v>
      </c>
    </row>
    <row r="150" spans="1:16" x14ac:dyDescent="0.2">
      <c r="A150" s="3">
        <v>45981</v>
      </c>
      <c r="B150">
        <v>5672.5728051309998</v>
      </c>
      <c r="C150">
        <v>563.94000000000005</v>
      </c>
      <c r="G150" s="3">
        <v>45982</v>
      </c>
      <c r="H150" s="3">
        <v>45982</v>
      </c>
      <c r="I150">
        <v>5672.5728051309998</v>
      </c>
      <c r="J150">
        <v>562.1</v>
      </c>
      <c r="M150" s="3">
        <v>45982</v>
      </c>
      <c r="N150">
        <f t="shared" si="4"/>
        <v>1.1718111636042658</v>
      </c>
      <c r="O150">
        <f t="shared" si="5"/>
        <v>1.0743706875131405</v>
      </c>
      <c r="P150">
        <v>1.1942726804327675</v>
      </c>
    </row>
    <row r="151" spans="1:16" x14ac:dyDescent="0.2">
      <c r="A151" s="3">
        <v>45981</v>
      </c>
      <c r="B151">
        <v>5672.5728051309998</v>
      </c>
      <c r="C151" s="2" t="s">
        <v>5</v>
      </c>
    </row>
    <row r="152" spans="1:16" x14ac:dyDescent="0.2">
      <c r="A152" s="3">
        <v>45981</v>
      </c>
      <c r="B152" s="2">
        <v>5672.5728051309998</v>
      </c>
      <c r="C152" s="2" t="s">
        <v>5</v>
      </c>
    </row>
    <row r="153" spans="1:16" x14ac:dyDescent="0.2">
      <c r="A153" s="3">
        <v>45803</v>
      </c>
      <c r="B153" s="2" t="s">
        <v>5</v>
      </c>
      <c r="C153">
        <v>550.5</v>
      </c>
    </row>
    <row r="154" spans="1:16" x14ac:dyDescent="0.2">
      <c r="A154" s="3">
        <v>45827</v>
      </c>
      <c r="B154" s="2" t="s">
        <v>5</v>
      </c>
      <c r="C154">
        <v>535.86</v>
      </c>
    </row>
    <row r="155" spans="1:16" x14ac:dyDescent="0.2">
      <c r="A155" s="3">
        <v>45842</v>
      </c>
      <c r="B155" s="2" t="s">
        <v>5</v>
      </c>
      <c r="C155">
        <v>541.13</v>
      </c>
    </row>
    <row r="156" spans="1:16" x14ac:dyDescent="0.2">
      <c r="A156" s="3">
        <v>45901</v>
      </c>
      <c r="B156" s="2" t="s">
        <v>5</v>
      </c>
      <c r="C156">
        <v>551.42999999999995</v>
      </c>
    </row>
    <row r="157" spans="1:16" x14ac:dyDescent="0.2">
      <c r="A157" s="3">
        <v>45982</v>
      </c>
      <c r="B157" s="2" t="s">
        <v>5</v>
      </c>
      <c r="C157">
        <v>562.1</v>
      </c>
    </row>
    <row r="158" spans="1:16" x14ac:dyDescent="0.2">
      <c r="A158" s="3">
        <v>45982</v>
      </c>
      <c r="B158" s="2" t="s">
        <v>5</v>
      </c>
      <c r="C158">
        <v>562.1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A3B4D-45CD-436D-BC69-91CBB2D30EFF}">
  <dimension ref="A1:AX170"/>
  <sheetViews>
    <sheetView tabSelected="1" topLeftCell="AR48" zoomScale="104" zoomScaleNormal="85" workbookViewId="0">
      <selection activeCell="A58" sqref="A58:XFD58"/>
    </sheetView>
  </sheetViews>
  <sheetFormatPr baseColWidth="10" defaultColWidth="8.83203125" defaultRowHeight="15" x14ac:dyDescent="0.2"/>
  <cols>
    <col min="1" max="1" width="31.33203125" customWidth="1"/>
    <col min="23" max="23" width="25.83203125" customWidth="1"/>
    <col min="43" max="43" width="12.33203125" customWidth="1"/>
    <col min="44" max="44" width="24" customWidth="1"/>
    <col min="45" max="45" width="30.83203125" customWidth="1"/>
    <col min="46" max="46" width="36.1640625" customWidth="1"/>
    <col min="47" max="47" width="45.5" customWidth="1"/>
    <col min="48" max="48" width="30.1640625" customWidth="1"/>
    <col min="49" max="49" width="23.6640625" bestFit="1" customWidth="1"/>
    <col min="50" max="50" width="11.6640625" customWidth="1"/>
    <col min="51" max="51" width="14.6640625" customWidth="1"/>
  </cols>
  <sheetData>
    <row r="1" spans="1:50" x14ac:dyDescent="0.2">
      <c r="A1" s="4" t="s">
        <v>18</v>
      </c>
      <c r="B1" s="4">
        <v>5000</v>
      </c>
    </row>
    <row r="7" spans="1:50" x14ac:dyDescent="0.2"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</row>
    <row r="8" spans="1:50" ht="16" x14ac:dyDescent="0.2">
      <c r="A8" t="s">
        <v>19</v>
      </c>
      <c r="B8" s="30">
        <v>5.000000000000001E-2</v>
      </c>
      <c r="C8" s="30">
        <v>5.000000000000001E-2</v>
      </c>
      <c r="D8" s="30">
        <v>3.4145618258495959E-4</v>
      </c>
      <c r="E8" s="30">
        <v>1.2329728382236199E-2</v>
      </c>
      <c r="F8" s="30">
        <v>2.741770915725434E-2</v>
      </c>
      <c r="G8" s="30">
        <v>7.6568432417055898E-4</v>
      </c>
      <c r="H8" s="30">
        <v>2.3264252689508252E-2</v>
      </c>
      <c r="I8" s="30">
        <v>5.000000000000001E-2</v>
      </c>
      <c r="J8" s="30">
        <v>3.8168433499203097E-2</v>
      </c>
      <c r="K8" s="30">
        <v>1.4232641139600641E-2</v>
      </c>
      <c r="L8" s="30">
        <v>1.509370290642058E-2</v>
      </c>
      <c r="M8" s="30">
        <v>7.323669084412945E-3</v>
      </c>
      <c r="N8" s="30">
        <v>9.6434122159574642E-3</v>
      </c>
      <c r="O8" s="30">
        <v>3.7464774568671512E-2</v>
      </c>
      <c r="P8" s="30">
        <v>6.6656871128242413E-3</v>
      </c>
      <c r="Q8" s="30">
        <v>2.4609894211639009E-2</v>
      </c>
      <c r="R8" s="30">
        <v>9.5725519928723315E-3</v>
      </c>
      <c r="S8" s="30">
        <v>2.3106402532643931E-2</v>
      </c>
      <c r="T8" s="30">
        <v>5.000000000000001E-2</v>
      </c>
      <c r="U8" s="30">
        <v>5.000000000000001E-2</v>
      </c>
      <c r="V8" s="6"/>
      <c r="W8" t="s">
        <v>19</v>
      </c>
      <c r="X8" s="29">
        <v>0.05</v>
      </c>
      <c r="Y8" s="29">
        <v>2.668142660346819E-2</v>
      </c>
      <c r="Z8" s="29">
        <v>0.05</v>
      </c>
      <c r="AA8" s="29">
        <v>2.8622192751133941E-2</v>
      </c>
      <c r="AB8" s="29">
        <v>8.3942696765454943E-3</v>
      </c>
      <c r="AC8" s="29">
        <v>5.2007037706617932E-3</v>
      </c>
      <c r="AD8" s="29">
        <v>4.5609362895104817E-2</v>
      </c>
      <c r="AE8" s="29">
        <v>3.2804553881592112E-2</v>
      </c>
      <c r="AF8" s="29">
        <v>5.7050022281723047E-3</v>
      </c>
      <c r="AG8" s="29">
        <v>1.4719708820587809E-2</v>
      </c>
      <c r="AH8" s="29">
        <v>1.35188978150707E-2</v>
      </c>
      <c r="AI8" s="29">
        <v>0.05</v>
      </c>
      <c r="AJ8" s="29">
        <v>2.1450836043070479E-2</v>
      </c>
      <c r="AK8" s="29">
        <v>3.0350339371653191E-2</v>
      </c>
      <c r="AL8" s="29">
        <v>3.808311128716451E-2</v>
      </c>
      <c r="AM8" s="29">
        <v>1.1932104789912841E-2</v>
      </c>
      <c r="AN8" s="29">
        <v>3.8522730264537543E-2</v>
      </c>
      <c r="AO8" s="29">
        <v>1.7874373268117139E-2</v>
      </c>
      <c r="AP8" s="29">
        <v>7.3153622995786169E-3</v>
      </c>
      <c r="AQ8" s="29">
        <v>3.2150242336285448E-3</v>
      </c>
    </row>
    <row r="9" spans="1:50" x14ac:dyDescent="0.2">
      <c r="V9" s="6"/>
    </row>
    <row r="10" spans="1:50" x14ac:dyDescent="0.2"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62</v>
      </c>
      <c r="I10" s="2" t="s">
        <v>63</v>
      </c>
      <c r="J10" s="2" t="s">
        <v>64</v>
      </c>
      <c r="K10" s="2" t="s">
        <v>65</v>
      </c>
      <c r="L10" s="2" t="s">
        <v>66</v>
      </c>
      <c r="M10" s="2" t="s">
        <v>67</v>
      </c>
      <c r="N10" s="2" t="s">
        <v>68</v>
      </c>
      <c r="O10" s="2" t="s">
        <v>69</v>
      </c>
      <c r="P10" s="2" t="s">
        <v>70</v>
      </c>
      <c r="Q10" s="2" t="s">
        <v>71</v>
      </c>
      <c r="R10" s="2" t="s">
        <v>9</v>
      </c>
      <c r="S10" s="2" t="s">
        <v>72</v>
      </c>
      <c r="T10" s="2" t="s">
        <v>73</v>
      </c>
      <c r="U10" s="2" t="s">
        <v>74</v>
      </c>
      <c r="V10" s="6"/>
      <c r="X10" s="2" t="s">
        <v>75</v>
      </c>
      <c r="Y10" s="2" t="s">
        <v>76</v>
      </c>
      <c r="Z10" s="2" t="s">
        <v>77</v>
      </c>
      <c r="AA10" s="2" t="s">
        <v>78</v>
      </c>
      <c r="AB10" s="2" t="s">
        <v>79</v>
      </c>
      <c r="AC10" s="2" t="s">
        <v>80</v>
      </c>
      <c r="AD10" s="2" t="s">
        <v>81</v>
      </c>
      <c r="AE10" s="2" t="s">
        <v>10</v>
      </c>
      <c r="AF10" s="2" t="s">
        <v>82</v>
      </c>
      <c r="AG10" s="2" t="s">
        <v>83</v>
      </c>
      <c r="AH10" s="2" t="s">
        <v>84</v>
      </c>
      <c r="AI10" s="2" t="s">
        <v>8</v>
      </c>
      <c r="AJ10" s="2" t="s">
        <v>85</v>
      </c>
      <c r="AK10" s="2" t="s">
        <v>86</v>
      </c>
      <c r="AL10" s="2" t="s">
        <v>87</v>
      </c>
      <c r="AM10" s="2" t="s">
        <v>88</v>
      </c>
      <c r="AN10" s="2" t="s">
        <v>89</v>
      </c>
      <c r="AO10" s="2" t="s">
        <v>90</v>
      </c>
      <c r="AP10" s="2" t="s">
        <v>91</v>
      </c>
      <c r="AQ10" s="2" t="s">
        <v>11</v>
      </c>
      <c r="AR10" t="s">
        <v>21</v>
      </c>
      <c r="AS10" t="s">
        <v>22</v>
      </c>
      <c r="AT10" t="s">
        <v>23</v>
      </c>
      <c r="AU10" t="s">
        <v>24</v>
      </c>
      <c r="AV10" t="s">
        <v>25</v>
      </c>
      <c r="AW10" t="s">
        <v>26</v>
      </c>
      <c r="AX10" t="s">
        <v>27</v>
      </c>
    </row>
    <row r="11" spans="1:50" x14ac:dyDescent="0.2">
      <c r="A11" s="3">
        <v>45982</v>
      </c>
      <c r="B11" s="2">
        <v>20.61</v>
      </c>
      <c r="C11" s="2">
        <v>15.04</v>
      </c>
      <c r="D11" s="2">
        <v>632</v>
      </c>
      <c r="E11" s="2">
        <v>314</v>
      </c>
      <c r="F11" s="2">
        <v>80.8</v>
      </c>
      <c r="G11" s="2">
        <v>1808.5</v>
      </c>
      <c r="H11" s="2">
        <v>9.6539999999999999</v>
      </c>
      <c r="I11" s="2">
        <v>175.1</v>
      </c>
      <c r="J11" s="2">
        <v>16.725000000000001</v>
      </c>
      <c r="K11" s="2">
        <v>207.2</v>
      </c>
      <c r="L11" s="2">
        <v>342.2</v>
      </c>
      <c r="M11" s="2">
        <v>198.9</v>
      </c>
      <c r="N11" s="2">
        <v>61.32</v>
      </c>
      <c r="O11" s="2">
        <v>72.5</v>
      </c>
      <c r="P11" s="2">
        <v>67.52</v>
      </c>
      <c r="Q11" s="2">
        <v>202.75</v>
      </c>
      <c r="R11" s="2">
        <v>89.4</v>
      </c>
      <c r="S11" s="2">
        <v>27.55</v>
      </c>
      <c r="T11" s="2">
        <v>50.86</v>
      </c>
      <c r="U11" s="2">
        <v>42.3</v>
      </c>
      <c r="V11" s="6"/>
      <c r="W11" s="3">
        <v>45982</v>
      </c>
      <c r="X11">
        <v>68.540000000000006</v>
      </c>
      <c r="Y11">
        <v>5916.7715808659996</v>
      </c>
      <c r="Z11">
        <v>147.69999999999999</v>
      </c>
      <c r="AA11">
        <v>35.549999999999997</v>
      </c>
      <c r="AB11">
        <v>5308</v>
      </c>
      <c r="AC11">
        <v>802</v>
      </c>
      <c r="AD11">
        <v>94.3</v>
      </c>
      <c r="AE11">
        <v>198.2</v>
      </c>
      <c r="AF11">
        <v>918.2</v>
      </c>
      <c r="AG11">
        <v>4834</v>
      </c>
      <c r="AH11">
        <v>1041.4000000000001</v>
      </c>
      <c r="AI11">
        <v>377.2</v>
      </c>
      <c r="AJ11">
        <v>3.93</v>
      </c>
      <c r="AK11">
        <v>354.5</v>
      </c>
      <c r="AL11">
        <v>574.5</v>
      </c>
      <c r="AM11">
        <v>874</v>
      </c>
      <c r="AN11">
        <v>4911.4944112499998</v>
      </c>
      <c r="AO11">
        <v>1138.5</v>
      </c>
      <c r="AP11">
        <v>392.2</v>
      </c>
      <c r="AQ11">
        <v>140.89555350000001</v>
      </c>
      <c r="AR11" cm="1">
        <f t="array" ref="AR11">SUMPRODUCT($B$162:$U$162,(B11:U11)/($B$11:$U$11))</f>
        <v>2500.0000000000005</v>
      </c>
      <c r="AS11">
        <v>0</v>
      </c>
      <c r="AT11">
        <v>1</v>
      </c>
      <c r="AU11" cm="1">
        <f t="array" ref="AU11">SUMPRODUCT($X$162:$AQ$162,(X11:AQ11)/($X$11:$AQ$11))</f>
        <v>2500</v>
      </c>
      <c r="AV11">
        <v>0</v>
      </c>
      <c r="AW11">
        <v>0</v>
      </c>
      <c r="AX11">
        <v>0</v>
      </c>
    </row>
    <row r="12" spans="1:50" x14ac:dyDescent="0.2">
      <c r="A12" s="3">
        <v>45985</v>
      </c>
      <c r="B12">
        <v>20.52</v>
      </c>
      <c r="C12">
        <v>15.22</v>
      </c>
      <c r="D12">
        <v>638</v>
      </c>
      <c r="E12">
        <v>320.60000000000002</v>
      </c>
      <c r="F12">
        <v>83</v>
      </c>
      <c r="G12">
        <v>1844</v>
      </c>
      <c r="H12">
        <v>9.86</v>
      </c>
      <c r="I12">
        <v>176.4</v>
      </c>
      <c r="J12">
        <v>16.100000000000001</v>
      </c>
      <c r="K12">
        <v>209</v>
      </c>
      <c r="L12">
        <v>343.8</v>
      </c>
      <c r="M12">
        <v>199.4</v>
      </c>
      <c r="N12">
        <v>63.22</v>
      </c>
      <c r="O12">
        <v>69.2</v>
      </c>
      <c r="P12">
        <v>68.06</v>
      </c>
      <c r="Q12">
        <v>209.1</v>
      </c>
      <c r="R12">
        <v>89.46</v>
      </c>
      <c r="S12">
        <v>27.78</v>
      </c>
      <c r="T12">
        <v>48.634999999999998</v>
      </c>
      <c r="U12">
        <v>41.96</v>
      </c>
      <c r="V12" s="6"/>
      <c r="W12" s="3">
        <v>45985</v>
      </c>
      <c r="X12">
        <v>69.22</v>
      </c>
      <c r="Y12">
        <v>5856.6824991379999</v>
      </c>
      <c r="Z12">
        <v>149.69999999999999</v>
      </c>
      <c r="AA12">
        <v>36.08</v>
      </c>
      <c r="AB12">
        <v>5355</v>
      </c>
      <c r="AC12">
        <v>811</v>
      </c>
      <c r="AD12">
        <v>94.05</v>
      </c>
      <c r="AE12">
        <v>199.8</v>
      </c>
      <c r="AF12">
        <v>915.8</v>
      </c>
      <c r="AG12">
        <v>4870</v>
      </c>
      <c r="AH12">
        <v>1048</v>
      </c>
      <c r="AI12">
        <v>371.8</v>
      </c>
      <c r="AJ12">
        <v>3.94</v>
      </c>
      <c r="AK12">
        <v>357</v>
      </c>
      <c r="AL12">
        <v>580.5</v>
      </c>
      <c r="AM12">
        <v>871</v>
      </c>
      <c r="AN12">
        <v>4844.0082284999999</v>
      </c>
      <c r="AO12">
        <v>1116</v>
      </c>
      <c r="AP12">
        <v>400.6</v>
      </c>
      <c r="AQ12">
        <v>143.2854978</v>
      </c>
      <c r="AR12" cm="1">
        <f t="array" ref="AR12">SUMPRODUCT($B$162:$U$162,(B12:U12)/($B$11:$U$11))</f>
        <v>2490.4279868997282</v>
      </c>
      <c r="AS12">
        <f t="shared" ref="AS12:AS75" si="0">AR12-AR11</f>
        <v>-9.5720131002722155</v>
      </c>
      <c r="AT12">
        <f>AR12/AR11-1</f>
        <v>-3.8288052401088679E-3</v>
      </c>
      <c r="AU12" cm="1">
        <f t="array" ref="AU12">SUMPRODUCT($X$162:$AQ$162,(X12:AQ12)/($X$11:$AQ$11))</f>
        <v>2505.120385155793</v>
      </c>
      <c r="AV12">
        <f>AU12-AU11</f>
        <v>5.1203851557929738</v>
      </c>
      <c r="AW12">
        <f>IF(AV12&gt;0, -AV12, ABS(AV12))</f>
        <v>-5.1203851557929738</v>
      </c>
      <c r="AX12">
        <f>AS12+AW12</f>
        <v>-14.692398256065189</v>
      </c>
    </row>
    <row r="13" spans="1:50" x14ac:dyDescent="0.2">
      <c r="A13" s="3">
        <v>45986</v>
      </c>
      <c r="B13">
        <v>20.97</v>
      </c>
      <c r="C13">
        <v>15.22</v>
      </c>
      <c r="D13">
        <v>638.79999999999995</v>
      </c>
      <c r="E13">
        <v>323.2</v>
      </c>
      <c r="F13">
        <v>82.78</v>
      </c>
      <c r="G13">
        <v>1800</v>
      </c>
      <c r="H13">
        <v>10.039999999999999</v>
      </c>
      <c r="I13">
        <v>168.2</v>
      </c>
      <c r="J13">
        <v>15.965</v>
      </c>
      <c r="K13">
        <v>214.2</v>
      </c>
      <c r="L13">
        <v>347.2</v>
      </c>
      <c r="M13">
        <v>200</v>
      </c>
      <c r="N13">
        <v>64.52</v>
      </c>
      <c r="O13">
        <v>68.900000000000006</v>
      </c>
      <c r="P13">
        <v>67.8</v>
      </c>
      <c r="Q13">
        <v>208.65</v>
      </c>
      <c r="R13">
        <v>90</v>
      </c>
      <c r="S13">
        <v>28.21</v>
      </c>
      <c r="T13">
        <v>50.91</v>
      </c>
      <c r="U13">
        <v>41.99</v>
      </c>
      <c r="V13" s="6"/>
      <c r="W13" s="3">
        <v>45986</v>
      </c>
      <c r="X13">
        <v>70.22</v>
      </c>
      <c r="Y13">
        <v>5878.7151624380003</v>
      </c>
      <c r="Z13">
        <v>155.30000000000001</v>
      </c>
      <c r="AA13">
        <v>37.15</v>
      </c>
      <c r="AB13">
        <v>5400</v>
      </c>
      <c r="AC13">
        <v>834</v>
      </c>
      <c r="AD13">
        <v>95.2</v>
      </c>
      <c r="AE13">
        <v>199.8</v>
      </c>
      <c r="AF13">
        <v>937.6</v>
      </c>
      <c r="AG13">
        <v>4592</v>
      </c>
      <c r="AH13">
        <v>1050.5999999999999</v>
      </c>
      <c r="AI13">
        <v>374.5</v>
      </c>
      <c r="AJ13">
        <v>3.9729999999999999</v>
      </c>
      <c r="AK13">
        <v>357</v>
      </c>
      <c r="AL13">
        <v>582.5</v>
      </c>
      <c r="AM13">
        <v>879</v>
      </c>
      <c r="AN13">
        <v>4876.1445059999996</v>
      </c>
      <c r="AO13">
        <v>1123.5</v>
      </c>
      <c r="AP13">
        <v>410</v>
      </c>
      <c r="AQ13">
        <v>145.50870180000001</v>
      </c>
      <c r="AR13" cm="1">
        <f t="array" ref="AR13">SUMPRODUCT($B$162:$U$162,(B13:U13)/($B$11:$U$11))</f>
        <v>2500.7976943342828</v>
      </c>
      <c r="AS13">
        <f t="shared" si="0"/>
        <v>10.369707434554584</v>
      </c>
      <c r="AT13">
        <f t="shared" ref="AT13:AT76" si="1">AR13/AR12-1</f>
        <v>4.1638254505256267E-3</v>
      </c>
      <c r="AU13" cm="1">
        <f t="array" ref="AU13">SUMPRODUCT($X$162:$AQ$162,(X13:AQ13)/($X$11:$AQ$11))</f>
        <v>2530.425204965356</v>
      </c>
      <c r="AV13">
        <f t="shared" ref="AV13:AV76" si="2">AU13-AU12</f>
        <v>25.304819809563014</v>
      </c>
      <c r="AW13">
        <f t="shared" ref="AW13:AW76" si="3">IF(AV13&gt;0, -AV13, ABS(AV13))</f>
        <v>-25.304819809563014</v>
      </c>
      <c r="AX13">
        <f t="shared" ref="AX13:AX76" si="4">AS13+AW13</f>
        <v>-14.93511237500843</v>
      </c>
    </row>
    <row r="14" spans="1:50" x14ac:dyDescent="0.2">
      <c r="A14" s="3">
        <v>45987</v>
      </c>
      <c r="B14">
        <v>21</v>
      </c>
      <c r="C14" s="2">
        <v>15.26</v>
      </c>
      <c r="D14" s="2">
        <v>640</v>
      </c>
      <c r="E14" s="2">
        <v>329.9</v>
      </c>
      <c r="F14" s="2">
        <v>85.22</v>
      </c>
      <c r="G14" s="2">
        <v>1796.5</v>
      </c>
      <c r="H14" s="2">
        <v>10.005000000000001</v>
      </c>
      <c r="I14" s="2">
        <v>170.1</v>
      </c>
      <c r="J14" s="2">
        <v>16.5</v>
      </c>
      <c r="K14">
        <v>216.6</v>
      </c>
      <c r="L14" s="2">
        <v>351.2</v>
      </c>
      <c r="M14" s="2">
        <v>203</v>
      </c>
      <c r="N14" s="2">
        <v>66.319999999999993</v>
      </c>
      <c r="O14">
        <v>69</v>
      </c>
      <c r="P14" s="2">
        <v>68.38</v>
      </c>
      <c r="Q14" s="2">
        <v>215.6</v>
      </c>
      <c r="R14" s="2">
        <v>90.72</v>
      </c>
      <c r="S14" s="2">
        <v>28.12</v>
      </c>
      <c r="T14" s="2">
        <v>51.35</v>
      </c>
      <c r="U14" s="2">
        <v>41.81</v>
      </c>
      <c r="V14" s="6"/>
      <c r="W14" s="3">
        <v>45987</v>
      </c>
      <c r="X14">
        <v>69.900000000000006</v>
      </c>
      <c r="Y14" s="2">
        <v>5900.7478257390003</v>
      </c>
      <c r="Z14" s="2">
        <v>158.6</v>
      </c>
      <c r="AA14" s="2">
        <v>37.21</v>
      </c>
      <c r="AB14" s="2">
        <v>5461</v>
      </c>
      <c r="AC14" s="2">
        <v>834</v>
      </c>
      <c r="AD14" s="2">
        <v>96.35</v>
      </c>
      <c r="AE14" s="2">
        <v>200.5</v>
      </c>
      <c r="AF14" s="2">
        <v>945.6</v>
      </c>
      <c r="AG14">
        <v>4638</v>
      </c>
      <c r="AH14">
        <v>1064.4000000000001</v>
      </c>
      <c r="AI14" s="2">
        <v>370.8</v>
      </c>
      <c r="AJ14" s="2">
        <v>3.99</v>
      </c>
      <c r="AK14" s="2">
        <v>359</v>
      </c>
      <c r="AL14" s="2">
        <v>585.5</v>
      </c>
      <c r="AM14">
        <v>867</v>
      </c>
      <c r="AN14">
        <v>4842.93701925</v>
      </c>
      <c r="AO14">
        <v>1134.5</v>
      </c>
      <c r="AP14" s="2">
        <v>422.95</v>
      </c>
      <c r="AQ14">
        <v>148.7323476</v>
      </c>
      <c r="AR14" cm="1">
        <f t="array" ref="AR14">SUMPRODUCT($B$162:$U$162,(B14:U14)/($B$11:$U$11))</f>
        <v>2525.217037485455</v>
      </c>
      <c r="AS14">
        <f t="shared" si="0"/>
        <v>24.419343151172143</v>
      </c>
      <c r="AT14">
        <f t="shared" si="1"/>
        <v>9.7646215871423081E-3</v>
      </c>
      <c r="AU14" cm="1">
        <f t="array" ref="AU14">SUMPRODUCT($X$162:$AQ$162,(X14:AQ14)/($X$11:$AQ$11))</f>
        <v>2541.4489976630211</v>
      </c>
      <c r="AV14">
        <f t="shared" si="2"/>
        <v>11.023792697665158</v>
      </c>
      <c r="AW14">
        <f t="shared" si="3"/>
        <v>-11.023792697665158</v>
      </c>
      <c r="AX14">
        <f t="shared" si="4"/>
        <v>13.395550453506985</v>
      </c>
    </row>
    <row r="15" spans="1:50" x14ac:dyDescent="0.2">
      <c r="A15" s="3">
        <v>45988</v>
      </c>
      <c r="B15">
        <v>21.09</v>
      </c>
      <c r="C15">
        <v>15.4</v>
      </c>
      <c r="D15">
        <v>650</v>
      </c>
      <c r="E15">
        <v>330.6</v>
      </c>
      <c r="F15">
        <v>85.44</v>
      </c>
      <c r="G15">
        <v>1839.5</v>
      </c>
      <c r="H15">
        <v>10.164999999999999</v>
      </c>
      <c r="I15">
        <v>171.2</v>
      </c>
      <c r="J15">
        <v>16.72</v>
      </c>
      <c r="K15">
        <v>216.4</v>
      </c>
      <c r="L15">
        <v>350</v>
      </c>
      <c r="M15">
        <v>203</v>
      </c>
      <c r="N15">
        <v>65.5</v>
      </c>
      <c r="O15">
        <v>69.7</v>
      </c>
      <c r="P15">
        <v>68.42</v>
      </c>
      <c r="Q15">
        <v>219</v>
      </c>
      <c r="R15">
        <v>91.58</v>
      </c>
      <c r="S15">
        <v>28.18</v>
      </c>
      <c r="T15">
        <v>51.08</v>
      </c>
      <c r="U15">
        <v>41.03</v>
      </c>
      <c r="V15" s="6"/>
      <c r="W15" s="3">
        <v>45988</v>
      </c>
      <c r="X15">
        <v>69.86</v>
      </c>
      <c r="Y15">
        <v>5882.7211012199996</v>
      </c>
      <c r="Z15">
        <v>159.5</v>
      </c>
      <c r="AA15">
        <v>37.04</v>
      </c>
      <c r="AB15">
        <v>5355</v>
      </c>
      <c r="AC15">
        <v>839.5</v>
      </c>
      <c r="AD15">
        <v>97.2</v>
      </c>
      <c r="AE15">
        <v>201</v>
      </c>
      <c r="AF15">
        <v>946.8</v>
      </c>
      <c r="AG15">
        <v>4634</v>
      </c>
      <c r="AH15">
        <v>1065</v>
      </c>
      <c r="AI15">
        <v>370</v>
      </c>
      <c r="AJ15">
        <v>3.9870000000000001</v>
      </c>
      <c r="AK15">
        <v>357.5</v>
      </c>
      <c r="AL15">
        <v>583.5</v>
      </c>
      <c r="AM15">
        <v>870</v>
      </c>
      <c r="AN15">
        <v>4841.8658100000002</v>
      </c>
      <c r="AO15">
        <v>1144</v>
      </c>
      <c r="AP15">
        <v>429.95</v>
      </c>
      <c r="AQ15">
        <v>148.7323476</v>
      </c>
      <c r="AR15" cm="1">
        <f t="array" ref="AR15">SUMPRODUCT($B$162:$U$162,(B15:U15)/($B$11:$U$11))</f>
        <v>2532.9619820389617</v>
      </c>
      <c r="AS15">
        <f t="shared" si="0"/>
        <v>7.7449445535066843</v>
      </c>
      <c r="AT15">
        <f t="shared" si="1"/>
        <v>3.0670411447955015E-3</v>
      </c>
      <c r="AU15" cm="1">
        <f t="array" ref="AU15">SUMPRODUCT($X$162:$AQ$162,(X15:AQ15)/($X$11:$AQ$11))</f>
        <v>2543.2047311821339</v>
      </c>
      <c r="AV15">
        <f t="shared" si="2"/>
        <v>1.7557335191127095</v>
      </c>
      <c r="AW15">
        <f t="shared" si="3"/>
        <v>-1.7557335191127095</v>
      </c>
      <c r="AX15">
        <f t="shared" si="4"/>
        <v>5.9892110343939748</v>
      </c>
    </row>
    <row r="16" spans="1:50" x14ac:dyDescent="0.2">
      <c r="A16" s="3">
        <v>45989</v>
      </c>
      <c r="B16">
        <v>21.15</v>
      </c>
      <c r="C16">
        <v>15.38</v>
      </c>
      <c r="D16">
        <v>645.20000000000005</v>
      </c>
      <c r="E16">
        <v>327</v>
      </c>
      <c r="F16">
        <v>86.3</v>
      </c>
      <c r="G16">
        <v>1813.5</v>
      </c>
      <c r="H16">
        <v>10.130000000000001</v>
      </c>
      <c r="I16">
        <v>175.5</v>
      </c>
      <c r="J16">
        <v>16.64</v>
      </c>
      <c r="K16">
        <v>216.2</v>
      </c>
      <c r="L16">
        <v>347.2</v>
      </c>
      <c r="M16">
        <v>202</v>
      </c>
      <c r="N16">
        <v>66.2</v>
      </c>
      <c r="O16">
        <v>68.349999999999994</v>
      </c>
      <c r="P16">
        <v>67.92</v>
      </c>
      <c r="Q16">
        <v>218</v>
      </c>
      <c r="R16">
        <v>91.62</v>
      </c>
      <c r="S16">
        <v>28.11</v>
      </c>
      <c r="T16">
        <v>50.45</v>
      </c>
      <c r="U16">
        <v>40.83</v>
      </c>
      <c r="V16" s="6"/>
      <c r="W16" s="3">
        <v>45989</v>
      </c>
      <c r="X16">
        <v>70.260000000000005</v>
      </c>
      <c r="Y16">
        <v>5860.6884379200001</v>
      </c>
      <c r="Z16">
        <v>160</v>
      </c>
      <c r="AA16">
        <v>36.47</v>
      </c>
      <c r="AB16">
        <v>5422</v>
      </c>
      <c r="AC16">
        <v>841</v>
      </c>
      <c r="AD16">
        <v>97.5</v>
      </c>
      <c r="AE16">
        <v>202</v>
      </c>
      <c r="AF16">
        <v>959.8</v>
      </c>
      <c r="AG16">
        <v>4626</v>
      </c>
      <c r="AH16">
        <v>1070.2</v>
      </c>
      <c r="AI16">
        <v>370.9</v>
      </c>
      <c r="AJ16">
        <v>3.94</v>
      </c>
      <c r="AK16">
        <v>359</v>
      </c>
      <c r="AL16">
        <v>576.5</v>
      </c>
      <c r="AM16">
        <v>883</v>
      </c>
      <c r="AN16">
        <v>4867.5748320000002</v>
      </c>
      <c r="AO16">
        <v>1146.5</v>
      </c>
      <c r="AP16">
        <v>430.25</v>
      </c>
      <c r="AQ16">
        <v>148.8435078</v>
      </c>
      <c r="AR16" cm="1">
        <f t="array" ref="AR16">SUMPRODUCT($B$162:$U$162,(B16:U16)/($B$11:$U$11))</f>
        <v>2529.633838264393</v>
      </c>
      <c r="AS16">
        <f t="shared" si="0"/>
        <v>-3.3281437745686162</v>
      </c>
      <c r="AT16">
        <f t="shared" si="1"/>
        <v>-1.3139335679605013E-3</v>
      </c>
      <c r="AU16" cm="1">
        <f t="array" ref="AU16">SUMPRODUCT($X$162:$AQ$162,(X16:AQ16)/($X$11:$AQ$11))</f>
        <v>2545.2380532473653</v>
      </c>
      <c r="AV16">
        <f t="shared" si="2"/>
        <v>2.0333220652314594</v>
      </c>
      <c r="AW16">
        <f t="shared" si="3"/>
        <v>-2.0333220652314594</v>
      </c>
      <c r="AX16">
        <f t="shared" si="4"/>
        <v>-5.3614658398000756</v>
      </c>
    </row>
    <row r="17" spans="1:50" x14ac:dyDescent="0.2">
      <c r="A17" s="3">
        <v>45992</v>
      </c>
      <c r="B17">
        <v>20.85</v>
      </c>
      <c r="C17">
        <v>15.28</v>
      </c>
      <c r="D17">
        <v>653.4</v>
      </c>
      <c r="E17">
        <v>320.10000000000002</v>
      </c>
      <c r="F17">
        <v>84.82</v>
      </c>
      <c r="G17">
        <v>1805</v>
      </c>
      <c r="H17">
        <v>10.015000000000001</v>
      </c>
      <c r="I17">
        <v>169.6</v>
      </c>
      <c r="J17">
        <v>16.89</v>
      </c>
      <c r="K17">
        <v>214.2</v>
      </c>
      <c r="L17">
        <v>344.8</v>
      </c>
      <c r="M17">
        <v>199.1</v>
      </c>
      <c r="N17">
        <v>66.3</v>
      </c>
      <c r="O17">
        <v>66.2</v>
      </c>
      <c r="P17">
        <v>67.040000000000006</v>
      </c>
      <c r="Q17">
        <v>216.85</v>
      </c>
      <c r="R17">
        <v>91.24</v>
      </c>
      <c r="S17">
        <v>27.84</v>
      </c>
      <c r="T17">
        <v>48.07</v>
      </c>
      <c r="U17">
        <v>40.79</v>
      </c>
      <c r="V17" s="6"/>
      <c r="W17" s="3">
        <v>45992</v>
      </c>
      <c r="X17">
        <v>69.739999999999995</v>
      </c>
      <c r="Y17">
        <v>6002.8992646770002</v>
      </c>
      <c r="Z17">
        <v>158.1</v>
      </c>
      <c r="AA17">
        <v>35.99</v>
      </c>
      <c r="AB17">
        <v>5465</v>
      </c>
      <c r="AC17">
        <v>839.5</v>
      </c>
      <c r="AD17">
        <v>97.15</v>
      </c>
      <c r="AE17">
        <v>200</v>
      </c>
      <c r="AF17">
        <v>946.2</v>
      </c>
      <c r="AG17">
        <v>4614</v>
      </c>
      <c r="AH17">
        <v>1079.5999999999999</v>
      </c>
      <c r="AI17">
        <v>374.4</v>
      </c>
      <c r="AJ17">
        <v>3.9430000000000001</v>
      </c>
      <c r="AK17">
        <v>361</v>
      </c>
      <c r="AL17">
        <v>572.5</v>
      </c>
      <c r="AM17">
        <v>876.5</v>
      </c>
      <c r="AN17">
        <v>4883.6429707500001</v>
      </c>
      <c r="AO17">
        <v>1144</v>
      </c>
      <c r="AP17">
        <v>429.6</v>
      </c>
      <c r="AQ17">
        <v>144.06361920000001</v>
      </c>
      <c r="AR17" cm="1">
        <f t="array" ref="AR17">SUMPRODUCT($B$162:$U$162,(B17:U17)/($B$11:$U$11))</f>
        <v>2491.8844874336855</v>
      </c>
      <c r="AS17">
        <f t="shared" si="0"/>
        <v>-37.749350830707499</v>
      </c>
      <c r="AT17">
        <f t="shared" si="1"/>
        <v>-1.4922851781824509E-2</v>
      </c>
      <c r="AU17" cm="1">
        <f t="array" ref="AU17">SUMPRODUCT($X$162:$AQ$162,(X17:AQ17)/($X$11:$AQ$11))</f>
        <v>2540.5104925882661</v>
      </c>
      <c r="AV17">
        <f t="shared" si="2"/>
        <v>-4.7275606590992538</v>
      </c>
      <c r="AW17">
        <f t="shared" si="3"/>
        <v>4.7275606590992538</v>
      </c>
      <c r="AX17">
        <f t="shared" si="4"/>
        <v>-33.021790171608245</v>
      </c>
    </row>
    <row r="18" spans="1:50" x14ac:dyDescent="0.2">
      <c r="A18" s="3">
        <v>45993</v>
      </c>
      <c r="B18">
        <v>20.73</v>
      </c>
      <c r="C18">
        <v>15.29</v>
      </c>
      <c r="D18">
        <v>641.20000000000005</v>
      </c>
      <c r="E18">
        <v>321.10000000000002</v>
      </c>
      <c r="F18">
        <v>84.76</v>
      </c>
      <c r="G18">
        <v>1813</v>
      </c>
      <c r="H18">
        <v>9.9339999999999993</v>
      </c>
      <c r="I18">
        <v>165.9</v>
      </c>
      <c r="J18">
        <v>17.14</v>
      </c>
      <c r="K18">
        <v>213</v>
      </c>
      <c r="L18">
        <v>342.2</v>
      </c>
      <c r="M18">
        <v>197.2</v>
      </c>
      <c r="N18">
        <v>66.2</v>
      </c>
      <c r="O18">
        <v>68.150000000000006</v>
      </c>
      <c r="P18">
        <v>66.48</v>
      </c>
      <c r="Q18">
        <v>214.95</v>
      </c>
      <c r="R18">
        <v>91.26</v>
      </c>
      <c r="S18">
        <v>27.9</v>
      </c>
      <c r="T18">
        <v>48.965000000000003</v>
      </c>
      <c r="U18">
        <v>40.56</v>
      </c>
      <c r="V18" s="6"/>
      <c r="W18" s="3">
        <v>45993</v>
      </c>
      <c r="X18">
        <v>68.62</v>
      </c>
      <c r="Y18">
        <v>5988.8784789399997</v>
      </c>
      <c r="Z18">
        <v>158.1</v>
      </c>
      <c r="AA18">
        <v>35.35</v>
      </c>
      <c r="AB18">
        <v>5417</v>
      </c>
      <c r="AC18">
        <v>824.5</v>
      </c>
      <c r="AD18">
        <v>97.5</v>
      </c>
      <c r="AE18">
        <v>201</v>
      </c>
      <c r="AF18">
        <v>937.2</v>
      </c>
      <c r="AG18">
        <v>4600</v>
      </c>
      <c r="AH18">
        <v>1087.8</v>
      </c>
      <c r="AI18">
        <v>368.8</v>
      </c>
      <c r="AJ18">
        <v>3.956</v>
      </c>
      <c r="AK18">
        <v>360.5</v>
      </c>
      <c r="AL18">
        <v>568</v>
      </c>
      <c r="AM18">
        <v>877</v>
      </c>
      <c r="AN18">
        <v>4802.23106775</v>
      </c>
      <c r="AO18">
        <v>1150.5</v>
      </c>
      <c r="AP18">
        <v>436.4</v>
      </c>
      <c r="AQ18">
        <v>139.17257040000001</v>
      </c>
      <c r="AR18" cm="1">
        <f t="array" ref="AR18">SUMPRODUCT($B$162:$U$162,(B18:U18)/($B$11:$U$11))</f>
        <v>2492.7647718300354</v>
      </c>
      <c r="AS18">
        <f t="shared" si="0"/>
        <v>0.88028439634990718</v>
      </c>
      <c r="AT18">
        <f t="shared" si="1"/>
        <v>3.5326051459816377E-4</v>
      </c>
      <c r="AU18" cm="1">
        <f t="array" ref="AU18">SUMPRODUCT($X$162:$AQ$162,(X18:AQ18)/($X$11:$AQ$11))</f>
        <v>2526.7458031158062</v>
      </c>
      <c r="AV18">
        <f t="shared" si="2"/>
        <v>-13.76468947245985</v>
      </c>
      <c r="AW18">
        <f t="shared" si="3"/>
        <v>13.76468947245985</v>
      </c>
      <c r="AX18">
        <f t="shared" si="4"/>
        <v>14.644973868809757</v>
      </c>
    </row>
    <row r="19" spans="1:50" x14ac:dyDescent="0.2">
      <c r="A19" s="3">
        <v>45994</v>
      </c>
      <c r="B19">
        <v>20.55</v>
      </c>
      <c r="C19">
        <v>15.24</v>
      </c>
      <c r="D19">
        <v>633.4</v>
      </c>
      <c r="E19">
        <v>320.8</v>
      </c>
      <c r="F19">
        <v>82.6</v>
      </c>
      <c r="G19">
        <v>1794.5</v>
      </c>
      <c r="H19">
        <v>10.210000000000001</v>
      </c>
      <c r="I19">
        <v>162</v>
      </c>
      <c r="J19">
        <v>17.655000000000001</v>
      </c>
      <c r="K19">
        <v>213.2</v>
      </c>
      <c r="L19">
        <v>344.4</v>
      </c>
      <c r="M19">
        <v>195.9</v>
      </c>
      <c r="N19">
        <v>66.900000000000006</v>
      </c>
      <c r="O19">
        <v>68.3</v>
      </c>
      <c r="P19">
        <v>65.62</v>
      </c>
      <c r="Q19">
        <v>215.8</v>
      </c>
      <c r="R19">
        <v>90.14</v>
      </c>
      <c r="S19">
        <v>28.28</v>
      </c>
      <c r="T19">
        <v>49.225000000000001</v>
      </c>
      <c r="U19" s="2">
        <v>39.4</v>
      </c>
      <c r="V19" s="6"/>
      <c r="W19" s="3">
        <v>45994</v>
      </c>
      <c r="X19">
        <v>68.42</v>
      </c>
      <c r="Y19">
        <v>5932.7953359940002</v>
      </c>
      <c r="Z19">
        <v>163.19999999999999</v>
      </c>
      <c r="AA19">
        <v>35.479999999999997</v>
      </c>
      <c r="AB19">
        <v>5504</v>
      </c>
      <c r="AC19">
        <v>817.5</v>
      </c>
      <c r="AD19">
        <v>97.45</v>
      </c>
      <c r="AE19">
        <v>200.5</v>
      </c>
      <c r="AF19">
        <v>947</v>
      </c>
      <c r="AG19">
        <v>4600</v>
      </c>
      <c r="AH19">
        <v>1070.2</v>
      </c>
      <c r="AI19">
        <v>361.1</v>
      </c>
      <c r="AJ19">
        <v>3.952</v>
      </c>
      <c r="AK19">
        <v>358</v>
      </c>
      <c r="AL19">
        <v>562.5</v>
      </c>
      <c r="AM19">
        <v>850.5</v>
      </c>
      <c r="AN19">
        <v>4770.0947902500002</v>
      </c>
      <c r="AO19">
        <v>1143.5</v>
      </c>
      <c r="AP19">
        <v>433.35</v>
      </c>
      <c r="AQ19">
        <v>140.3397525</v>
      </c>
      <c r="AR19" cm="1">
        <f t="array" ref="AR19">SUMPRODUCT($B$162:$U$162,(B19:U19)/($B$11:$U$11))</f>
        <v>2486.3601534902959</v>
      </c>
      <c r="AS19">
        <f t="shared" si="0"/>
        <v>-6.4046183397394998</v>
      </c>
      <c r="AT19">
        <f t="shared" si="1"/>
        <v>-2.569283075609885E-3</v>
      </c>
      <c r="AU19" cm="1">
        <f t="array" ref="AU19">SUMPRODUCT($X$162:$AQ$162,(X19:AQ19)/($X$11:$AQ$11))</f>
        <v>2521.1201381442661</v>
      </c>
      <c r="AV19">
        <f t="shared" si="2"/>
        <v>-5.6256649715401181</v>
      </c>
      <c r="AW19">
        <f t="shared" si="3"/>
        <v>5.6256649715401181</v>
      </c>
      <c r="AX19">
        <f t="shared" si="4"/>
        <v>-0.77895336819938166</v>
      </c>
    </row>
    <row r="20" spans="1:50" x14ac:dyDescent="0.2">
      <c r="A20" s="3">
        <v>45995</v>
      </c>
      <c r="B20">
        <v>20.71</v>
      </c>
      <c r="C20">
        <v>15.02</v>
      </c>
      <c r="D20">
        <v>621.79999999999995</v>
      </c>
      <c r="E20">
        <v>324</v>
      </c>
      <c r="F20">
        <v>84.5</v>
      </c>
      <c r="G20">
        <v>1779</v>
      </c>
      <c r="H20">
        <v>10.4</v>
      </c>
      <c r="I20">
        <v>159.19999999999999</v>
      </c>
      <c r="J20">
        <v>17.364999999999998</v>
      </c>
      <c r="K20">
        <v>218.8</v>
      </c>
      <c r="L20">
        <v>352.4</v>
      </c>
      <c r="M20">
        <v>199.6</v>
      </c>
      <c r="N20">
        <v>67.66</v>
      </c>
      <c r="O20">
        <v>69.05</v>
      </c>
      <c r="P20">
        <v>66.66</v>
      </c>
      <c r="Q20">
        <v>221.65</v>
      </c>
      <c r="R20">
        <v>90.14</v>
      </c>
      <c r="S20">
        <v>28.87</v>
      </c>
      <c r="T20">
        <v>49.454999999999998</v>
      </c>
      <c r="U20">
        <v>38.630000000000003</v>
      </c>
      <c r="V20" s="6"/>
      <c r="W20" s="3">
        <v>45995</v>
      </c>
      <c r="X20">
        <v>68.099999999999994</v>
      </c>
      <c r="Y20">
        <v>5914.7686114750004</v>
      </c>
      <c r="Z20">
        <v>163.69999999999999</v>
      </c>
      <c r="AA20">
        <v>37.630000000000003</v>
      </c>
      <c r="AB20">
        <v>5494</v>
      </c>
      <c r="AC20">
        <v>827.5</v>
      </c>
      <c r="AD20">
        <v>97.6</v>
      </c>
      <c r="AE20">
        <v>200</v>
      </c>
      <c r="AF20">
        <v>940.8</v>
      </c>
      <c r="AG20">
        <v>4608</v>
      </c>
      <c r="AH20">
        <v>1074.4000000000001</v>
      </c>
      <c r="AI20">
        <v>359.5</v>
      </c>
      <c r="AJ20">
        <v>3.9689999999999999</v>
      </c>
      <c r="AK20">
        <v>357.5</v>
      </c>
      <c r="AL20">
        <v>561</v>
      </c>
      <c r="AM20">
        <v>849.5</v>
      </c>
      <c r="AN20">
        <v>4743.3145590000004</v>
      </c>
      <c r="AO20">
        <v>1142.5</v>
      </c>
      <c r="AP20">
        <v>439.2</v>
      </c>
      <c r="AQ20">
        <v>144.50826000000001</v>
      </c>
      <c r="AR20" cm="1">
        <f t="array" ref="AR20">SUMPRODUCT($B$162:$U$162,(B20:U20)/($B$11:$U$11))</f>
        <v>2493.4362178680217</v>
      </c>
      <c r="AS20">
        <f t="shared" si="0"/>
        <v>7.0760643777257428</v>
      </c>
      <c r="AT20">
        <f t="shared" si="1"/>
        <v>2.8459530964539681E-3</v>
      </c>
      <c r="AU20" cm="1">
        <f t="array" ref="AU20">SUMPRODUCT($X$162:$AQ$162,(X20:AQ20)/($X$11:$AQ$11))</f>
        <v>2527.960285280788</v>
      </c>
      <c r="AV20">
        <f t="shared" si="2"/>
        <v>6.840147136521864</v>
      </c>
      <c r="AW20">
        <f t="shared" si="3"/>
        <v>-6.840147136521864</v>
      </c>
      <c r="AX20">
        <f t="shared" si="4"/>
        <v>0.2359172412038788</v>
      </c>
    </row>
    <row r="21" spans="1:50" x14ac:dyDescent="0.2">
      <c r="A21" s="3">
        <v>45996</v>
      </c>
      <c r="B21">
        <v>20.399999999999999</v>
      </c>
      <c r="C21">
        <v>15.2</v>
      </c>
      <c r="D21">
        <v>622.4</v>
      </c>
      <c r="E21">
        <v>329.8</v>
      </c>
      <c r="F21">
        <v>84.98</v>
      </c>
      <c r="G21">
        <v>1796.5</v>
      </c>
      <c r="H21">
        <v>10.3</v>
      </c>
      <c r="I21">
        <v>170.5</v>
      </c>
      <c r="J21">
        <v>18.305</v>
      </c>
      <c r="K21">
        <v>214.6</v>
      </c>
      <c r="L21">
        <v>352.6</v>
      </c>
      <c r="M21">
        <v>200.8</v>
      </c>
      <c r="N21">
        <v>67.8</v>
      </c>
      <c r="O21">
        <v>68.45</v>
      </c>
      <c r="P21">
        <v>66.92</v>
      </c>
      <c r="Q21">
        <v>219.55</v>
      </c>
      <c r="R21">
        <v>89.22</v>
      </c>
      <c r="S21">
        <v>28.86</v>
      </c>
      <c r="T21">
        <v>51.71</v>
      </c>
      <c r="U21">
        <v>38.380000000000003</v>
      </c>
      <c r="V21" s="6"/>
      <c r="W21" s="3">
        <v>45996</v>
      </c>
      <c r="X21">
        <v>69.42</v>
      </c>
      <c r="Y21">
        <v>5976.8606625949997</v>
      </c>
      <c r="Z21">
        <v>162.80000000000001</v>
      </c>
      <c r="AA21">
        <v>37.65</v>
      </c>
      <c r="AB21">
        <v>5500</v>
      </c>
      <c r="AC21">
        <v>824.5</v>
      </c>
      <c r="AD21">
        <v>96.85</v>
      </c>
      <c r="AE21">
        <v>197.4</v>
      </c>
      <c r="AF21">
        <v>948.6</v>
      </c>
      <c r="AG21">
        <v>4590</v>
      </c>
      <c r="AH21">
        <v>1062</v>
      </c>
      <c r="AI21">
        <v>360.6</v>
      </c>
      <c r="AJ21">
        <v>3.9340000000000002</v>
      </c>
      <c r="AK21">
        <v>351.5</v>
      </c>
      <c r="AL21">
        <v>557.5</v>
      </c>
      <c r="AM21">
        <v>863.5</v>
      </c>
      <c r="AN21">
        <v>4773.3084179999996</v>
      </c>
      <c r="AO21">
        <v>1134.5</v>
      </c>
      <c r="AP21">
        <v>434.4</v>
      </c>
      <c r="AQ21">
        <v>142.9520172</v>
      </c>
      <c r="AR21" cm="1">
        <f t="array" ref="AR21">SUMPRODUCT($B$162:$U$162,(B21:U21)/($B$11:$U$11))</f>
        <v>2525.6229303314781</v>
      </c>
      <c r="AS21">
        <f t="shared" si="0"/>
        <v>32.186712463456388</v>
      </c>
      <c r="AT21">
        <f t="shared" si="1"/>
        <v>1.2908576619207635E-2</v>
      </c>
      <c r="AU21" cm="1">
        <f t="array" ref="AU21">SUMPRODUCT($X$162:$AQ$162,(X21:AQ21)/($X$11:$AQ$11))</f>
        <v>2524.8044388746061</v>
      </c>
      <c r="AV21">
        <f t="shared" si="2"/>
        <v>-3.1558464061818086</v>
      </c>
      <c r="AW21">
        <f t="shared" si="3"/>
        <v>3.1558464061818086</v>
      </c>
      <c r="AX21">
        <f t="shared" si="4"/>
        <v>35.342558869638196</v>
      </c>
    </row>
    <row r="22" spans="1:50" x14ac:dyDescent="0.2">
      <c r="A22" s="3">
        <v>45999</v>
      </c>
      <c r="B22">
        <v>20.45</v>
      </c>
      <c r="C22">
        <v>15.13</v>
      </c>
      <c r="D22">
        <v>630</v>
      </c>
      <c r="E22">
        <v>327.9</v>
      </c>
      <c r="F22">
        <v>85.96</v>
      </c>
      <c r="G22">
        <v>1788.5</v>
      </c>
      <c r="H22">
        <v>10.244999999999999</v>
      </c>
      <c r="I22">
        <v>177.3</v>
      </c>
      <c r="J22">
        <v>18.34</v>
      </c>
      <c r="K22">
        <v>213.6</v>
      </c>
      <c r="L22">
        <v>348.8</v>
      </c>
      <c r="M22">
        <v>198.6</v>
      </c>
      <c r="N22">
        <v>69</v>
      </c>
      <c r="O22">
        <v>69.95</v>
      </c>
      <c r="P22">
        <v>65.540000000000006</v>
      </c>
      <c r="Q22">
        <v>219.7</v>
      </c>
      <c r="R22">
        <v>90.74</v>
      </c>
      <c r="S22">
        <v>28.64</v>
      </c>
      <c r="T22">
        <v>54.57</v>
      </c>
      <c r="U22">
        <v>38.14</v>
      </c>
      <c r="V22" s="6"/>
      <c r="W22" s="3">
        <v>45999</v>
      </c>
      <c r="X22">
        <v>69.02</v>
      </c>
      <c r="Y22">
        <v>5910.7626726930002</v>
      </c>
      <c r="Z22">
        <v>164.5</v>
      </c>
      <c r="AA22">
        <v>37.5</v>
      </c>
      <c r="AB22">
        <v>5476</v>
      </c>
      <c r="AC22">
        <v>808.5</v>
      </c>
      <c r="AD22">
        <v>95.35</v>
      </c>
      <c r="AE22">
        <v>196.4</v>
      </c>
      <c r="AF22">
        <v>941.4</v>
      </c>
      <c r="AG22">
        <v>4532</v>
      </c>
      <c r="AH22">
        <v>1064.5999999999999</v>
      </c>
      <c r="AI22">
        <v>357.6</v>
      </c>
      <c r="AJ22">
        <v>3.9009999999999998</v>
      </c>
      <c r="AK22">
        <v>351</v>
      </c>
      <c r="AL22">
        <v>555.5</v>
      </c>
      <c r="AM22">
        <v>861</v>
      </c>
      <c r="AN22">
        <v>4680</v>
      </c>
      <c r="AO22">
        <v>1135.5</v>
      </c>
      <c r="AP22">
        <v>437</v>
      </c>
      <c r="AQ22">
        <v>138.50560920000001</v>
      </c>
      <c r="AR22" cm="1">
        <f t="array" ref="AR22">SUMPRODUCT($B$162:$U$162,(B22:U22)/($B$11:$U$11))</f>
        <v>2550.9780793362461</v>
      </c>
      <c r="AS22">
        <f t="shared" si="0"/>
        <v>25.355149004768009</v>
      </c>
      <c r="AT22">
        <f t="shared" si="1"/>
        <v>1.0039166456823567E-2</v>
      </c>
      <c r="AU22" cm="1">
        <f t="array" ref="AU22">SUMPRODUCT($X$162:$AQ$162,(X22:AQ22)/($X$11:$AQ$11))</f>
        <v>2510.2450463596788</v>
      </c>
      <c r="AV22">
        <f t="shared" si="2"/>
        <v>-14.559392514927367</v>
      </c>
      <c r="AW22">
        <f t="shared" si="3"/>
        <v>14.559392514927367</v>
      </c>
      <c r="AX22">
        <f t="shared" si="4"/>
        <v>39.914541519695376</v>
      </c>
    </row>
    <row r="23" spans="1:50" x14ac:dyDescent="0.2">
      <c r="A23" s="3">
        <v>46000</v>
      </c>
      <c r="B23">
        <v>20.6</v>
      </c>
      <c r="C23">
        <v>15.05</v>
      </c>
      <c r="D23">
        <v>637.4</v>
      </c>
      <c r="E23">
        <v>329.7</v>
      </c>
      <c r="F23">
        <v>84.32</v>
      </c>
      <c r="G23">
        <v>1781.5</v>
      </c>
      <c r="H23">
        <v>10.17</v>
      </c>
      <c r="I23">
        <v>172.1</v>
      </c>
      <c r="J23">
        <v>18.045000000000002</v>
      </c>
      <c r="K23">
        <v>210.6</v>
      </c>
      <c r="L23">
        <v>342.8</v>
      </c>
      <c r="M23">
        <v>195.3</v>
      </c>
      <c r="N23">
        <v>68.92</v>
      </c>
      <c r="O23">
        <v>74.05</v>
      </c>
      <c r="P23">
        <v>64.78</v>
      </c>
      <c r="Q23">
        <v>216.75</v>
      </c>
      <c r="R23">
        <v>90.56</v>
      </c>
      <c r="S23">
        <v>28.35</v>
      </c>
      <c r="T23">
        <v>57.57</v>
      </c>
      <c r="U23">
        <v>39.5</v>
      </c>
      <c r="V23" s="6"/>
      <c r="W23" s="3">
        <v>46000</v>
      </c>
      <c r="X23">
        <v>68.239999999999995</v>
      </c>
      <c r="Y23">
        <v>5926.786427821</v>
      </c>
      <c r="Z23">
        <v>165.5</v>
      </c>
      <c r="AA23">
        <v>36.909999999999997</v>
      </c>
      <c r="AB23">
        <v>5528</v>
      </c>
      <c r="AC23">
        <v>808</v>
      </c>
      <c r="AD23">
        <v>95.2</v>
      </c>
      <c r="AE23">
        <v>195.4</v>
      </c>
      <c r="AF23">
        <v>942.6</v>
      </c>
      <c r="AG23">
        <v>4446</v>
      </c>
      <c r="AH23">
        <v>1068</v>
      </c>
      <c r="AI23">
        <v>354.2</v>
      </c>
      <c r="AJ23">
        <v>3.8959999999999999</v>
      </c>
      <c r="AK23">
        <v>350</v>
      </c>
      <c r="AL23">
        <v>551.5</v>
      </c>
      <c r="AM23">
        <v>873</v>
      </c>
      <c r="AN23">
        <v>4846.5</v>
      </c>
      <c r="AO23">
        <v>1129</v>
      </c>
      <c r="AP23">
        <v>440</v>
      </c>
      <c r="AQ23">
        <v>136.0600848</v>
      </c>
      <c r="AR23" cm="1">
        <f t="array" ref="AR23">SUMPRODUCT($B$162:$U$162,(B23:U23)/($B$11:$U$11))</f>
        <v>2564.2253846160202</v>
      </c>
      <c r="AS23">
        <f t="shared" si="0"/>
        <v>13.247305279774082</v>
      </c>
      <c r="AT23">
        <f t="shared" si="1"/>
        <v>5.1930298370972405E-3</v>
      </c>
      <c r="AU23" cm="1">
        <f t="array" ref="AU23">SUMPRODUCT($X$162:$AQ$162,(X23:AQ23)/($X$11:$AQ$11))</f>
        <v>2507.9275522737571</v>
      </c>
      <c r="AV23">
        <f t="shared" si="2"/>
        <v>-2.3174940859216804</v>
      </c>
      <c r="AW23">
        <f t="shared" si="3"/>
        <v>2.3174940859216804</v>
      </c>
      <c r="AX23">
        <f t="shared" si="4"/>
        <v>15.564799365695762</v>
      </c>
    </row>
    <row r="24" spans="1:50" x14ac:dyDescent="0.2">
      <c r="A24" s="3">
        <v>46001</v>
      </c>
      <c r="B24">
        <v>20.88</v>
      </c>
      <c r="C24">
        <v>14.91</v>
      </c>
      <c r="D24">
        <v>628.4</v>
      </c>
      <c r="E24">
        <v>328</v>
      </c>
      <c r="F24">
        <v>86.34</v>
      </c>
      <c r="G24">
        <v>1807.5</v>
      </c>
      <c r="H24">
        <v>10.315</v>
      </c>
      <c r="I24">
        <v>180.5</v>
      </c>
      <c r="J24">
        <v>19.079999999999998</v>
      </c>
      <c r="K24">
        <v>208</v>
      </c>
      <c r="L24">
        <v>341.8</v>
      </c>
      <c r="M24">
        <v>197.4</v>
      </c>
      <c r="N24">
        <v>70.22</v>
      </c>
      <c r="O24">
        <v>72.5</v>
      </c>
      <c r="P24">
        <v>65.540000000000006</v>
      </c>
      <c r="Q24">
        <v>216.8</v>
      </c>
      <c r="R24">
        <v>91.08</v>
      </c>
      <c r="S24">
        <v>26.46</v>
      </c>
      <c r="T24">
        <v>55.99</v>
      </c>
      <c r="U24">
        <v>40.25</v>
      </c>
      <c r="V24" s="6"/>
      <c r="W24" s="3">
        <v>46001</v>
      </c>
      <c r="X24">
        <v>68.64</v>
      </c>
      <c r="Y24">
        <v>5962.839876858</v>
      </c>
      <c r="Z24">
        <v>167.8</v>
      </c>
      <c r="AA24">
        <v>36.79</v>
      </c>
      <c r="AB24">
        <v>5607</v>
      </c>
      <c r="AC24">
        <v>810</v>
      </c>
      <c r="AD24">
        <v>94.5</v>
      </c>
      <c r="AE24">
        <v>195.4</v>
      </c>
      <c r="AF24">
        <v>929.6</v>
      </c>
      <c r="AG24">
        <v>4434</v>
      </c>
      <c r="AH24">
        <v>1102.2</v>
      </c>
      <c r="AI24">
        <v>356.2</v>
      </c>
      <c r="AJ24">
        <v>3.887</v>
      </c>
      <c r="AK24">
        <v>350</v>
      </c>
      <c r="AL24">
        <v>553</v>
      </c>
      <c r="AM24">
        <v>848.5</v>
      </c>
      <c r="AN24">
        <v>4820</v>
      </c>
      <c r="AO24">
        <v>1117</v>
      </c>
      <c r="AP24">
        <v>442.25</v>
      </c>
      <c r="AQ24">
        <v>137.11610669999999</v>
      </c>
      <c r="AR24" cm="1">
        <f t="array" ref="AR24">SUMPRODUCT($B$162:$U$162,(B24:U24)/($B$11:$U$11))</f>
        <v>2579.6838243339066</v>
      </c>
      <c r="AS24">
        <f t="shared" si="0"/>
        <v>15.458439717886449</v>
      </c>
      <c r="AT24">
        <f t="shared" si="1"/>
        <v>6.0285027246937961E-3</v>
      </c>
      <c r="AU24" cm="1">
        <f t="array" ref="AU24">SUMPRODUCT($X$162:$AQ$162,(X24:AQ24)/($X$11:$AQ$11))</f>
        <v>2512.4931519596971</v>
      </c>
      <c r="AV24">
        <f t="shared" si="2"/>
        <v>4.5655996859400148</v>
      </c>
      <c r="AW24">
        <f t="shared" si="3"/>
        <v>-4.5655996859400148</v>
      </c>
      <c r="AX24">
        <f t="shared" si="4"/>
        <v>10.892840031946434</v>
      </c>
    </row>
    <row r="25" spans="1:50" x14ac:dyDescent="0.2">
      <c r="A25" s="3">
        <v>46002</v>
      </c>
      <c r="B25">
        <v>21.05</v>
      </c>
      <c r="C25">
        <v>14.71</v>
      </c>
      <c r="D25">
        <v>625.79999999999995</v>
      </c>
      <c r="E25">
        <v>326.89999999999998</v>
      </c>
      <c r="F25">
        <v>83.92</v>
      </c>
      <c r="G25">
        <v>1885</v>
      </c>
      <c r="H25">
        <v>10.26</v>
      </c>
      <c r="I25">
        <v>176</v>
      </c>
      <c r="J25">
        <v>18.98</v>
      </c>
      <c r="K25">
        <v>214.8</v>
      </c>
      <c r="L25">
        <v>345.2</v>
      </c>
      <c r="M25">
        <v>197</v>
      </c>
      <c r="N25">
        <v>69.86</v>
      </c>
      <c r="O25">
        <v>71.3</v>
      </c>
      <c r="P25">
        <v>65.44</v>
      </c>
      <c r="Q25">
        <v>220.8</v>
      </c>
      <c r="R25">
        <v>90.48</v>
      </c>
      <c r="S25">
        <v>27</v>
      </c>
      <c r="T25">
        <v>55.6</v>
      </c>
      <c r="U25">
        <v>39.659999999999997</v>
      </c>
      <c r="V25" s="6"/>
      <c r="W25" s="3">
        <v>46002</v>
      </c>
      <c r="X25">
        <v>70.12</v>
      </c>
      <c r="Y25">
        <v>6036.9497443230002</v>
      </c>
      <c r="Z25">
        <v>163.19999999999999</v>
      </c>
      <c r="AA25">
        <v>38.54</v>
      </c>
      <c r="AB25">
        <v>5685</v>
      </c>
      <c r="AC25">
        <v>806</v>
      </c>
      <c r="AD25">
        <v>94.15</v>
      </c>
      <c r="AE25">
        <v>194.2</v>
      </c>
      <c r="AF25">
        <v>899</v>
      </c>
      <c r="AG25">
        <v>4414</v>
      </c>
      <c r="AH25">
        <v>1112.5999999999999</v>
      </c>
      <c r="AI25">
        <v>361.6</v>
      </c>
      <c r="AJ25">
        <v>3.8620000000000001</v>
      </c>
      <c r="AK25">
        <v>348.5</v>
      </c>
      <c r="AL25">
        <v>549</v>
      </c>
      <c r="AM25">
        <v>862</v>
      </c>
      <c r="AN25">
        <v>4853.5</v>
      </c>
      <c r="AO25">
        <v>1116</v>
      </c>
      <c r="AP25">
        <v>446.9</v>
      </c>
      <c r="AQ25">
        <v>136.67146589999999</v>
      </c>
      <c r="AR25" cm="1">
        <f t="array" ref="AR25">SUMPRODUCT($B$162:$U$162,(B25:U25)/($B$11:$U$11))</f>
        <v>2564.5735712037094</v>
      </c>
      <c r="AS25">
        <f t="shared" si="0"/>
        <v>-15.110253130197179</v>
      </c>
      <c r="AT25">
        <f t="shared" si="1"/>
        <v>-5.8574050771895703E-3</v>
      </c>
      <c r="AU25" cm="1">
        <f t="array" ref="AU25">SUMPRODUCT($X$162:$AQ$162,(X25:AQ25)/($X$11:$AQ$11))</f>
        <v>2520.3572777262307</v>
      </c>
      <c r="AV25">
        <f t="shared" si="2"/>
        <v>7.8641257665335615</v>
      </c>
      <c r="AW25">
        <f t="shared" si="3"/>
        <v>-7.8641257665335615</v>
      </c>
      <c r="AX25">
        <f t="shared" si="4"/>
        <v>-22.974378896730741</v>
      </c>
    </row>
    <row r="26" spans="1:50" x14ac:dyDescent="0.2">
      <c r="A26" s="3">
        <v>46003</v>
      </c>
      <c r="B26">
        <v>20.77</v>
      </c>
      <c r="C26">
        <v>14.92</v>
      </c>
      <c r="D26">
        <v>629</v>
      </c>
      <c r="E26">
        <v>331.9</v>
      </c>
      <c r="F26">
        <v>82.64</v>
      </c>
      <c r="G26">
        <v>1915</v>
      </c>
      <c r="H26">
        <v>10.135</v>
      </c>
      <c r="I26">
        <v>179.7</v>
      </c>
      <c r="J26">
        <v>18.315000000000001</v>
      </c>
      <c r="K26">
        <v>215.2</v>
      </c>
      <c r="L26">
        <v>350</v>
      </c>
      <c r="M26">
        <v>198.3</v>
      </c>
      <c r="N26">
        <v>69.84</v>
      </c>
      <c r="O26">
        <v>73.05</v>
      </c>
      <c r="P26">
        <v>66</v>
      </c>
      <c r="Q26">
        <v>218.7</v>
      </c>
      <c r="R26">
        <v>91.4</v>
      </c>
      <c r="S26">
        <v>26.55</v>
      </c>
      <c r="T26">
        <v>54.42</v>
      </c>
      <c r="U26">
        <v>40.1</v>
      </c>
      <c r="V26" s="6"/>
      <c r="W26" s="3">
        <v>46003</v>
      </c>
      <c r="X26">
        <v>71.760000000000005</v>
      </c>
      <c r="Y26">
        <v>6008.9081728499996</v>
      </c>
      <c r="Z26">
        <v>163.6</v>
      </c>
      <c r="AA26">
        <v>38.47</v>
      </c>
      <c r="AB26">
        <v>5589</v>
      </c>
      <c r="AC26">
        <v>808</v>
      </c>
      <c r="AD26">
        <v>93.75</v>
      </c>
      <c r="AE26">
        <v>194.8</v>
      </c>
      <c r="AF26">
        <v>889</v>
      </c>
      <c r="AG26">
        <v>4424</v>
      </c>
      <c r="AH26">
        <v>1111.8</v>
      </c>
      <c r="AI26">
        <v>358.5</v>
      </c>
      <c r="AJ26">
        <v>3.9089999999999998</v>
      </c>
      <c r="AK26">
        <v>349</v>
      </c>
      <c r="AL26">
        <v>557</v>
      </c>
      <c r="AM26">
        <v>863</v>
      </c>
      <c r="AN26">
        <v>4835.5</v>
      </c>
      <c r="AO26">
        <v>1118.5</v>
      </c>
      <c r="AP26">
        <v>444.35</v>
      </c>
      <c r="AQ26">
        <v>156.5135616</v>
      </c>
      <c r="AR26" cm="1">
        <f t="array" ref="AR26">SUMPRODUCT($B$162:$U$162,(B26:U26)/($B$11:$U$11))</f>
        <v>2560.0873006431061</v>
      </c>
      <c r="AS26">
        <f t="shared" si="0"/>
        <v>-4.486270560603316</v>
      </c>
      <c r="AT26">
        <f t="shared" si="1"/>
        <v>-1.7493241804319437E-3</v>
      </c>
      <c r="AU26" cm="1">
        <f t="array" ref="AU26">SUMPRODUCT($X$162:$AQ$162,(X26:AQ26)/($X$11:$AQ$11))</f>
        <v>2528.4051097151832</v>
      </c>
      <c r="AV26">
        <f t="shared" si="2"/>
        <v>8.0478319889525665</v>
      </c>
      <c r="AW26">
        <f t="shared" si="3"/>
        <v>-8.0478319889525665</v>
      </c>
      <c r="AX26">
        <f t="shared" si="4"/>
        <v>-12.534102549555882</v>
      </c>
    </row>
    <row r="27" spans="1:50" x14ac:dyDescent="0.2">
      <c r="A27" s="3">
        <v>46006</v>
      </c>
      <c r="B27">
        <v>21.1</v>
      </c>
      <c r="C27">
        <v>15.04</v>
      </c>
      <c r="D27">
        <v>634.4</v>
      </c>
      <c r="E27">
        <v>337</v>
      </c>
      <c r="F27">
        <v>84.14</v>
      </c>
      <c r="G27">
        <v>1946.5</v>
      </c>
      <c r="H27">
        <v>10.11</v>
      </c>
      <c r="I27">
        <v>176.7</v>
      </c>
      <c r="J27">
        <v>18.600000000000001</v>
      </c>
      <c r="K27">
        <v>216.6</v>
      </c>
      <c r="L27">
        <v>352</v>
      </c>
      <c r="M27">
        <v>198.8</v>
      </c>
      <c r="N27">
        <v>69.7</v>
      </c>
      <c r="O27">
        <v>72.2</v>
      </c>
      <c r="P27">
        <v>65.58</v>
      </c>
      <c r="Q27">
        <v>220.55</v>
      </c>
      <c r="R27">
        <v>91.7</v>
      </c>
      <c r="S27">
        <v>26.18</v>
      </c>
      <c r="T27">
        <v>53.92</v>
      </c>
      <c r="U27">
        <v>40.909999999999997</v>
      </c>
      <c r="V27" s="6"/>
      <c r="W27" s="3">
        <v>46006</v>
      </c>
      <c r="X27">
        <v>70.3</v>
      </c>
      <c r="Y27">
        <v>5984.872540159</v>
      </c>
      <c r="Z27">
        <v>166.7</v>
      </c>
      <c r="AA27">
        <v>37.369999999999997</v>
      </c>
      <c r="AB27">
        <v>5632</v>
      </c>
      <c r="AC27">
        <v>816</v>
      </c>
      <c r="AD27">
        <v>96.2</v>
      </c>
      <c r="AE27">
        <v>196</v>
      </c>
      <c r="AF27">
        <v>891</v>
      </c>
      <c r="AG27">
        <v>4490</v>
      </c>
      <c r="AH27">
        <v>1124.8</v>
      </c>
      <c r="AI27">
        <v>368.9</v>
      </c>
      <c r="AJ27">
        <v>3.931</v>
      </c>
      <c r="AK27">
        <v>352.5</v>
      </c>
      <c r="AL27">
        <v>559</v>
      </c>
      <c r="AM27">
        <v>891.5</v>
      </c>
      <c r="AN27">
        <v>4845</v>
      </c>
      <c r="AO27">
        <v>1126</v>
      </c>
      <c r="AP27">
        <v>454.25</v>
      </c>
      <c r="AQ27">
        <v>147.67632570000001</v>
      </c>
      <c r="AR27" cm="1">
        <f t="array" ref="AR27">SUMPRODUCT($B$162:$U$162,(B27:U27)/($B$11:$U$11))</f>
        <v>2568.9415818089301</v>
      </c>
      <c r="AS27">
        <f t="shared" si="0"/>
        <v>8.8542811658239771</v>
      </c>
      <c r="AT27">
        <f t="shared" si="1"/>
        <v>3.4585856363569256E-3</v>
      </c>
      <c r="AU27" cm="1">
        <f t="array" ref="AU27">SUMPRODUCT($X$162:$AQ$162,(X27:AQ27)/($X$11:$AQ$11))</f>
        <v>2545.2610966038915</v>
      </c>
      <c r="AV27">
        <f t="shared" si="2"/>
        <v>16.85598688870823</v>
      </c>
      <c r="AW27">
        <f t="shared" si="3"/>
        <v>-16.85598688870823</v>
      </c>
      <c r="AX27">
        <f t="shared" si="4"/>
        <v>-8.0017057228842532</v>
      </c>
    </row>
    <row r="28" spans="1:50" x14ac:dyDescent="0.2">
      <c r="A28" s="3">
        <v>46007</v>
      </c>
      <c r="B28">
        <v>21.42</v>
      </c>
      <c r="C28">
        <v>14.99</v>
      </c>
      <c r="D28">
        <v>636.6</v>
      </c>
      <c r="E28">
        <v>336.4</v>
      </c>
      <c r="F28">
        <v>83.76</v>
      </c>
      <c r="G28">
        <v>1978</v>
      </c>
      <c r="H28">
        <v>10.164999999999999</v>
      </c>
      <c r="I28">
        <v>178</v>
      </c>
      <c r="J28">
        <v>18.215</v>
      </c>
      <c r="K28">
        <v>214</v>
      </c>
      <c r="L28">
        <v>350.2</v>
      </c>
      <c r="M28">
        <v>199</v>
      </c>
      <c r="N28">
        <v>69.2</v>
      </c>
      <c r="O28">
        <v>69.599999999999994</v>
      </c>
      <c r="P28">
        <v>65.239999999999995</v>
      </c>
      <c r="Q28">
        <v>218.2</v>
      </c>
      <c r="R28">
        <v>92.08</v>
      </c>
      <c r="S28">
        <v>26.38</v>
      </c>
      <c r="T28">
        <v>51.62</v>
      </c>
      <c r="U28">
        <v>40.36</v>
      </c>
      <c r="V28" s="6"/>
      <c r="W28" s="3">
        <v>46007</v>
      </c>
      <c r="X28">
        <v>68.739999999999995</v>
      </c>
      <c r="Y28">
        <v>5964.8428462490001</v>
      </c>
      <c r="Z28">
        <v>162</v>
      </c>
      <c r="AA28">
        <v>37.409999999999997</v>
      </c>
      <c r="AB28">
        <v>5663</v>
      </c>
      <c r="AC28">
        <v>820.5</v>
      </c>
      <c r="AD28">
        <v>95.65</v>
      </c>
      <c r="AE28">
        <v>196.2</v>
      </c>
      <c r="AF28">
        <v>864</v>
      </c>
      <c r="AG28">
        <v>4524</v>
      </c>
      <c r="AH28">
        <v>1111.8</v>
      </c>
      <c r="AI28">
        <v>363.4</v>
      </c>
      <c r="AJ28">
        <v>3.8969999999999998</v>
      </c>
      <c r="AK28">
        <v>352.5</v>
      </c>
      <c r="AL28">
        <v>562</v>
      </c>
      <c r="AM28">
        <v>891</v>
      </c>
      <c r="AN28">
        <v>4793.5</v>
      </c>
      <c r="AO28">
        <v>1121.5</v>
      </c>
      <c r="AP28">
        <v>450.45</v>
      </c>
      <c r="AQ28">
        <v>145.5642819</v>
      </c>
      <c r="AR28" cm="1">
        <f t="array" ref="AR28">SUMPRODUCT($B$162:$U$162,(B28:U28)/($B$11:$U$11))</f>
        <v>2545.9557409666218</v>
      </c>
      <c r="AS28">
        <f t="shared" si="0"/>
        <v>-22.985840842308335</v>
      </c>
      <c r="AT28">
        <f t="shared" si="1"/>
        <v>-8.9475918818374689E-3</v>
      </c>
      <c r="AU28" cm="1">
        <f t="array" ref="AU28">SUMPRODUCT($X$162:$AQ$162,(X28:AQ28)/($X$11:$AQ$11))</f>
        <v>2522.80537358725</v>
      </c>
      <c r="AV28">
        <f t="shared" si="2"/>
        <v>-22.455723016641514</v>
      </c>
      <c r="AW28">
        <f t="shared" si="3"/>
        <v>22.455723016641514</v>
      </c>
      <c r="AX28">
        <f t="shared" si="4"/>
        <v>-0.53011782566682086</v>
      </c>
    </row>
    <row r="29" spans="1:50" x14ac:dyDescent="0.2">
      <c r="A29" s="3">
        <v>46008</v>
      </c>
      <c r="B29">
        <v>21.59</v>
      </c>
      <c r="C29">
        <v>15.12</v>
      </c>
      <c r="D29">
        <v>635</v>
      </c>
      <c r="E29">
        <v>333.3</v>
      </c>
      <c r="F29">
        <v>81.92</v>
      </c>
      <c r="G29">
        <v>1965.5</v>
      </c>
      <c r="H29">
        <v>10.164999999999999</v>
      </c>
      <c r="I29">
        <v>185.1</v>
      </c>
      <c r="J29">
        <v>18.355</v>
      </c>
      <c r="K29">
        <v>206.2</v>
      </c>
      <c r="L29">
        <v>345</v>
      </c>
      <c r="M29">
        <v>200.8</v>
      </c>
      <c r="N29">
        <v>69.38</v>
      </c>
      <c r="O29">
        <v>71.75</v>
      </c>
      <c r="P29">
        <v>65.5</v>
      </c>
      <c r="Q29">
        <v>214</v>
      </c>
      <c r="R29">
        <v>91.86</v>
      </c>
      <c r="S29">
        <v>26.48</v>
      </c>
      <c r="T29">
        <v>52.54</v>
      </c>
      <c r="U29">
        <v>40.5</v>
      </c>
      <c r="V29" s="6"/>
      <c r="W29" s="3">
        <v>46008</v>
      </c>
      <c r="X29">
        <v>67.08</v>
      </c>
      <c r="Y29">
        <v>6008.9081728499996</v>
      </c>
      <c r="Z29">
        <v>162.30000000000001</v>
      </c>
      <c r="AA29">
        <v>37.64</v>
      </c>
      <c r="AB29">
        <v>5753</v>
      </c>
      <c r="AC29">
        <v>825.5</v>
      </c>
      <c r="AD29">
        <v>97.35</v>
      </c>
      <c r="AE29">
        <v>197.8</v>
      </c>
      <c r="AF29">
        <v>868.2</v>
      </c>
      <c r="AG29">
        <v>4566</v>
      </c>
      <c r="AH29">
        <v>1141.8</v>
      </c>
      <c r="AI29">
        <v>369.3</v>
      </c>
      <c r="AJ29">
        <v>3.964</v>
      </c>
      <c r="AK29">
        <v>354</v>
      </c>
      <c r="AL29">
        <v>564</v>
      </c>
      <c r="AM29">
        <v>884</v>
      </c>
      <c r="AN29">
        <v>4881.5</v>
      </c>
      <c r="AO29">
        <v>1144.5</v>
      </c>
      <c r="AP29">
        <v>458.15</v>
      </c>
      <c r="AQ29">
        <v>148.06538639999999</v>
      </c>
      <c r="AR29" cm="1">
        <f t="array" ref="AR29">SUMPRODUCT($B$162:$U$162,(B29:U29)/($B$11:$U$11))</f>
        <v>2563.5849425759384</v>
      </c>
      <c r="AS29">
        <f t="shared" si="0"/>
        <v>17.629201609316624</v>
      </c>
      <c r="AT29">
        <f t="shared" si="1"/>
        <v>6.9243943740449065E-3</v>
      </c>
      <c r="AU29" cm="1">
        <f t="array" ref="AU29">SUMPRODUCT($X$162:$AQ$162,(X29:AQ29)/($X$11:$AQ$11))</f>
        <v>2541.0300100071649</v>
      </c>
      <c r="AV29">
        <f t="shared" si="2"/>
        <v>18.224636419914987</v>
      </c>
      <c r="AW29">
        <f t="shared" si="3"/>
        <v>-18.224636419914987</v>
      </c>
      <c r="AX29">
        <f t="shared" si="4"/>
        <v>-0.59543481059836267</v>
      </c>
    </row>
    <row r="30" spans="1:50" x14ac:dyDescent="0.2">
      <c r="A30" s="3">
        <v>46009</v>
      </c>
      <c r="B30">
        <v>21.84</v>
      </c>
      <c r="C30">
        <v>15</v>
      </c>
      <c r="D30">
        <v>624</v>
      </c>
      <c r="E30">
        <v>345</v>
      </c>
      <c r="F30">
        <v>84.32</v>
      </c>
      <c r="G30">
        <v>1983</v>
      </c>
      <c r="H30">
        <v>10.365</v>
      </c>
      <c r="I30">
        <v>167.2</v>
      </c>
      <c r="J30">
        <v>18.420000000000002</v>
      </c>
      <c r="K30">
        <v>208.8</v>
      </c>
      <c r="L30">
        <v>348.4</v>
      </c>
      <c r="M30">
        <v>200</v>
      </c>
      <c r="N30">
        <v>70.34</v>
      </c>
      <c r="O30">
        <v>72.95</v>
      </c>
      <c r="P30">
        <v>66.02</v>
      </c>
      <c r="Q30">
        <v>216.6</v>
      </c>
      <c r="R30">
        <v>93.06</v>
      </c>
      <c r="S30">
        <v>26.8</v>
      </c>
      <c r="T30">
        <v>53.55</v>
      </c>
      <c r="U30">
        <v>40.79</v>
      </c>
      <c r="V30" s="6"/>
      <c r="W30" s="3">
        <v>46009</v>
      </c>
      <c r="X30">
        <v>68</v>
      </c>
      <c r="Y30">
        <v>6032.9438055410001</v>
      </c>
      <c r="Z30">
        <v>164.8</v>
      </c>
      <c r="AA30">
        <v>37.71</v>
      </c>
      <c r="AB30">
        <v>5791</v>
      </c>
      <c r="AC30">
        <v>837</v>
      </c>
      <c r="AD30">
        <v>97.6</v>
      </c>
      <c r="AE30">
        <v>200.5</v>
      </c>
      <c r="AF30">
        <v>874.6</v>
      </c>
      <c r="AG30">
        <v>4624</v>
      </c>
      <c r="AH30">
        <v>1150.4000000000001</v>
      </c>
      <c r="AI30">
        <v>370.4</v>
      </c>
      <c r="AJ30">
        <v>3.9569999999999999</v>
      </c>
      <c r="AK30">
        <v>360</v>
      </c>
      <c r="AL30">
        <v>565</v>
      </c>
      <c r="AM30">
        <v>894.5</v>
      </c>
      <c r="AN30">
        <v>4890</v>
      </c>
      <c r="AO30">
        <v>1142</v>
      </c>
      <c r="AP30">
        <v>463.3</v>
      </c>
      <c r="AQ30">
        <v>149.67720929999999</v>
      </c>
      <c r="AR30" cm="1">
        <f t="array" ref="AR30">SUMPRODUCT($B$162:$U$162,(B30:U30)/($B$11:$U$11))</f>
        <v>2564.4422938034377</v>
      </c>
      <c r="AS30">
        <f t="shared" si="0"/>
        <v>0.8573512274992936</v>
      </c>
      <c r="AT30">
        <f t="shared" si="1"/>
        <v>3.3443449181658202E-4</v>
      </c>
      <c r="AU30" cm="1">
        <f t="array" ref="AU30">SUMPRODUCT($X$162:$AQ$162,(X30:AQ30)/($X$11:$AQ$11))</f>
        <v>2559.5493492483588</v>
      </c>
      <c r="AV30">
        <f t="shared" si="2"/>
        <v>18.519339241193848</v>
      </c>
      <c r="AW30">
        <f t="shared" si="3"/>
        <v>-18.519339241193848</v>
      </c>
      <c r="AX30">
        <f t="shared" si="4"/>
        <v>-17.661988013694554</v>
      </c>
    </row>
    <row r="31" spans="1:50" x14ac:dyDescent="0.2">
      <c r="A31" s="3">
        <v>46010</v>
      </c>
      <c r="B31">
        <v>22.15</v>
      </c>
      <c r="C31">
        <v>15.05</v>
      </c>
      <c r="D31">
        <v>624.79999999999995</v>
      </c>
      <c r="E31">
        <v>351.8</v>
      </c>
      <c r="F31">
        <v>85.22</v>
      </c>
      <c r="G31">
        <v>2313</v>
      </c>
      <c r="H31">
        <v>10.295</v>
      </c>
      <c r="I31">
        <v>164.6</v>
      </c>
      <c r="J31">
        <v>18.5</v>
      </c>
      <c r="K31">
        <v>210.4</v>
      </c>
      <c r="L31">
        <v>351.8</v>
      </c>
      <c r="M31">
        <v>197.8</v>
      </c>
      <c r="N31">
        <v>69.42</v>
      </c>
      <c r="O31">
        <v>73.599999999999994</v>
      </c>
      <c r="P31">
        <v>66</v>
      </c>
      <c r="Q31">
        <v>217.7</v>
      </c>
      <c r="R31">
        <v>92.16</v>
      </c>
      <c r="S31">
        <v>26.8</v>
      </c>
      <c r="T31">
        <v>53.37</v>
      </c>
      <c r="U31">
        <v>40.549999999999997</v>
      </c>
      <c r="V31" s="6"/>
      <c r="W31" s="3">
        <v>46010</v>
      </c>
      <c r="X31">
        <v>68.099999999999994</v>
      </c>
      <c r="Y31">
        <v>6089.026948488</v>
      </c>
      <c r="Z31">
        <v>162.80000000000001</v>
      </c>
      <c r="AA31">
        <v>37.43</v>
      </c>
      <c r="AB31">
        <v>5838</v>
      </c>
      <c r="AC31">
        <v>840.5</v>
      </c>
      <c r="AD31">
        <v>97.8</v>
      </c>
      <c r="AE31">
        <v>202</v>
      </c>
      <c r="AF31">
        <v>879.4</v>
      </c>
      <c r="AG31">
        <v>4672</v>
      </c>
      <c r="AH31">
        <v>1167</v>
      </c>
      <c r="AI31">
        <v>373.8</v>
      </c>
      <c r="AJ31">
        <v>3.9369999999999998</v>
      </c>
      <c r="AK31">
        <v>361.5</v>
      </c>
      <c r="AL31">
        <v>569.5</v>
      </c>
      <c r="AM31">
        <v>900</v>
      </c>
      <c r="AN31">
        <v>4890</v>
      </c>
      <c r="AO31">
        <v>1141.5</v>
      </c>
      <c r="AP31">
        <v>468.95</v>
      </c>
      <c r="AQ31">
        <v>149.12140830000001</v>
      </c>
      <c r="AR31" cm="1">
        <f t="array" ref="AR31">SUMPRODUCT($B$162:$U$162,(B31:U31)/($B$11:$U$11))</f>
        <v>2568.6767828795655</v>
      </c>
      <c r="AS31">
        <f t="shared" si="0"/>
        <v>4.2344890761278293</v>
      </c>
      <c r="AT31">
        <f t="shared" si="1"/>
        <v>1.6512319603991799E-3</v>
      </c>
      <c r="AU31" cm="1">
        <f t="array" ref="AU31">SUMPRODUCT($X$162:$AQ$162,(X31:AQ31)/($X$11:$AQ$11))</f>
        <v>2565.4746561713773</v>
      </c>
      <c r="AV31">
        <f t="shared" si="2"/>
        <v>5.9253069230185247</v>
      </c>
      <c r="AW31">
        <f t="shared" si="3"/>
        <v>-5.9253069230185247</v>
      </c>
      <c r="AX31">
        <f t="shared" si="4"/>
        <v>-1.6908178468906954</v>
      </c>
    </row>
    <row r="32" spans="1:50" x14ac:dyDescent="0.2">
      <c r="A32" s="3">
        <v>46013</v>
      </c>
      <c r="B32">
        <v>22.12</v>
      </c>
      <c r="C32">
        <v>15.11</v>
      </c>
      <c r="D32">
        <v>621.79999999999995</v>
      </c>
      <c r="E32">
        <v>357.6</v>
      </c>
      <c r="F32">
        <v>85.86</v>
      </c>
      <c r="G32">
        <v>2358</v>
      </c>
      <c r="H32">
        <v>10.305</v>
      </c>
      <c r="I32" s="2">
        <v>168.7</v>
      </c>
      <c r="J32" s="2">
        <v>18.684999999999999</v>
      </c>
      <c r="K32">
        <v>212</v>
      </c>
      <c r="L32">
        <v>351.8</v>
      </c>
      <c r="M32">
        <v>195.2</v>
      </c>
      <c r="N32">
        <v>68.400000000000006</v>
      </c>
      <c r="O32">
        <v>73.5</v>
      </c>
      <c r="P32">
        <v>65.86</v>
      </c>
      <c r="Q32">
        <v>219.5</v>
      </c>
      <c r="R32">
        <v>92.56</v>
      </c>
      <c r="S32">
        <v>27.31</v>
      </c>
      <c r="T32">
        <v>53.28</v>
      </c>
      <c r="U32">
        <v>40.79</v>
      </c>
      <c r="V32" s="6"/>
      <c r="W32" s="3">
        <v>46013</v>
      </c>
      <c r="X32">
        <v>68</v>
      </c>
      <c r="Y32" s="2">
        <v>6016.9200504139999</v>
      </c>
      <c r="Z32">
        <v>164.2</v>
      </c>
      <c r="AA32">
        <v>37.42</v>
      </c>
      <c r="AB32" s="2">
        <v>5931</v>
      </c>
      <c r="AC32" s="2">
        <v>829.5</v>
      </c>
      <c r="AD32">
        <v>97.5</v>
      </c>
      <c r="AE32" s="2">
        <v>203.5</v>
      </c>
      <c r="AF32" s="2">
        <v>885.2</v>
      </c>
      <c r="AG32">
        <v>4654</v>
      </c>
      <c r="AH32">
        <v>1167.2</v>
      </c>
      <c r="AI32" s="2">
        <v>371.1</v>
      </c>
      <c r="AJ32">
        <v>3.9409999999999998</v>
      </c>
      <c r="AK32" s="2">
        <v>365</v>
      </c>
      <c r="AL32">
        <v>568</v>
      </c>
      <c r="AM32">
        <v>892</v>
      </c>
      <c r="AN32">
        <v>4840.5</v>
      </c>
      <c r="AO32">
        <v>1128</v>
      </c>
      <c r="AP32" s="2">
        <v>467.95</v>
      </c>
      <c r="AQ32">
        <v>149.12140830000001</v>
      </c>
      <c r="AR32" cm="1">
        <f t="array" ref="AR32">SUMPRODUCT($B$162:$U$162,(B32:U32)/($B$11:$U$11))</f>
        <v>2583.0698624016532</v>
      </c>
      <c r="AS32">
        <f t="shared" si="0"/>
        <v>14.393079522087646</v>
      </c>
      <c r="AT32">
        <f t="shared" si="1"/>
        <v>5.6033050238233351E-3</v>
      </c>
      <c r="AU32" cm="1">
        <f t="array" ref="AU32">SUMPRODUCT($X$162:$AQ$162,(X32:AQ32)/($X$11:$AQ$11))</f>
        <v>2562.3075891795379</v>
      </c>
      <c r="AV32">
        <f t="shared" si="2"/>
        <v>-3.1670669918394196</v>
      </c>
      <c r="AW32">
        <f t="shared" si="3"/>
        <v>3.1670669918394196</v>
      </c>
      <c r="AX32">
        <f t="shared" si="4"/>
        <v>17.560146513927066</v>
      </c>
    </row>
    <row r="33" spans="1:50" x14ac:dyDescent="0.2">
      <c r="A33" s="3">
        <v>46014</v>
      </c>
      <c r="B33">
        <v>22.07</v>
      </c>
      <c r="C33">
        <v>15.18</v>
      </c>
      <c r="D33">
        <v>621.20000000000005</v>
      </c>
      <c r="E33">
        <v>356</v>
      </c>
      <c r="F33">
        <v>85.94</v>
      </c>
      <c r="G33">
        <v>2343</v>
      </c>
      <c r="H33">
        <v>10.315</v>
      </c>
      <c r="I33">
        <v>170.9</v>
      </c>
      <c r="J33">
        <v>18.885000000000002</v>
      </c>
      <c r="K33">
        <v>211.4</v>
      </c>
      <c r="L33">
        <v>349.4</v>
      </c>
      <c r="M33">
        <v>195.3</v>
      </c>
      <c r="N33">
        <v>68.44</v>
      </c>
      <c r="O33">
        <v>73.2</v>
      </c>
      <c r="P33">
        <v>66.099999999999994</v>
      </c>
      <c r="Q33">
        <v>219.55</v>
      </c>
      <c r="R33">
        <v>92.2</v>
      </c>
      <c r="S33">
        <v>27.54</v>
      </c>
      <c r="T33">
        <v>52.79</v>
      </c>
      <c r="U33">
        <v>40.950000000000003</v>
      </c>
      <c r="V33" s="6"/>
      <c r="W33" s="3">
        <v>46014</v>
      </c>
      <c r="X33">
        <v>67.5</v>
      </c>
      <c r="Y33">
        <v>5994.8873871129999</v>
      </c>
      <c r="Z33">
        <v>164.1</v>
      </c>
      <c r="AA33">
        <v>37.01</v>
      </c>
      <c r="AB33">
        <v>5997</v>
      </c>
      <c r="AC33">
        <v>828.5</v>
      </c>
      <c r="AD33">
        <v>97.2</v>
      </c>
      <c r="AE33">
        <v>203</v>
      </c>
      <c r="AF33">
        <v>879.8</v>
      </c>
      <c r="AG33">
        <v>4650</v>
      </c>
      <c r="AH33">
        <v>1175.2</v>
      </c>
      <c r="AI33">
        <v>372.1</v>
      </c>
      <c r="AJ33">
        <v>3.952</v>
      </c>
      <c r="AK33">
        <v>362</v>
      </c>
      <c r="AL33">
        <v>568.5</v>
      </c>
      <c r="AM33">
        <v>891</v>
      </c>
      <c r="AN33">
        <v>4857.5</v>
      </c>
      <c r="AO33">
        <v>1138</v>
      </c>
      <c r="AP33">
        <v>471.6</v>
      </c>
      <c r="AQ33">
        <v>149.12140830000001</v>
      </c>
      <c r="AR33" cm="1">
        <f t="array" ref="AR33">SUMPRODUCT($B$162:$U$162,(B33:U33)/($B$11:$U$11))</f>
        <v>2586.9558271815072</v>
      </c>
      <c r="AS33">
        <f t="shared" si="0"/>
        <v>3.8859647798540209</v>
      </c>
      <c r="AT33">
        <f t="shared" si="1"/>
        <v>1.5043978625652876E-3</v>
      </c>
      <c r="AU33" cm="1">
        <f t="array" ref="AU33">SUMPRODUCT($X$162:$AQ$162,(X33:AQ33)/($X$11:$AQ$11))</f>
        <v>2559.3763786014097</v>
      </c>
      <c r="AV33">
        <f t="shared" si="2"/>
        <v>-2.9312105781282298</v>
      </c>
      <c r="AW33">
        <f t="shared" si="3"/>
        <v>2.9312105781282298</v>
      </c>
      <c r="AX33">
        <f t="shared" si="4"/>
        <v>6.8171753579822507</v>
      </c>
    </row>
    <row r="34" spans="1:50" x14ac:dyDescent="0.2">
      <c r="A34" s="3">
        <v>46015</v>
      </c>
      <c r="B34">
        <v>22.07</v>
      </c>
      <c r="C34">
        <v>15.17</v>
      </c>
      <c r="D34">
        <v>621.20000000000005</v>
      </c>
      <c r="E34">
        <v>356</v>
      </c>
      <c r="F34">
        <v>85.94</v>
      </c>
      <c r="G34">
        <v>2313</v>
      </c>
      <c r="H34">
        <v>10.315</v>
      </c>
      <c r="I34">
        <v>170.9</v>
      </c>
      <c r="J34">
        <v>18.885000000000002</v>
      </c>
      <c r="K34">
        <v>211.4</v>
      </c>
      <c r="L34">
        <v>349.4</v>
      </c>
      <c r="M34">
        <v>195.3</v>
      </c>
      <c r="N34">
        <v>68.44</v>
      </c>
      <c r="O34">
        <v>73.2</v>
      </c>
      <c r="P34">
        <v>66.099999999999994</v>
      </c>
      <c r="Q34">
        <v>219.55</v>
      </c>
      <c r="R34">
        <v>92.3</v>
      </c>
      <c r="S34">
        <v>27.54</v>
      </c>
      <c r="T34">
        <v>52.79</v>
      </c>
      <c r="U34">
        <v>40.950000000000003</v>
      </c>
      <c r="V34" s="6"/>
      <c r="W34" s="3">
        <v>46015</v>
      </c>
      <c r="X34">
        <v>67.88</v>
      </c>
      <c r="Y34">
        <v>5986.8755095500001</v>
      </c>
      <c r="Z34">
        <v>164.1</v>
      </c>
      <c r="AA34">
        <v>37.01</v>
      </c>
      <c r="AB34">
        <v>5982</v>
      </c>
      <c r="AC34">
        <v>831</v>
      </c>
      <c r="AD34">
        <v>97.2</v>
      </c>
      <c r="AE34">
        <v>203</v>
      </c>
      <c r="AF34">
        <v>880.4</v>
      </c>
      <c r="AG34">
        <v>4658</v>
      </c>
      <c r="AH34">
        <v>1175.4000000000001</v>
      </c>
      <c r="AI34">
        <v>372.3</v>
      </c>
      <c r="AJ34">
        <v>3.9489999999999998</v>
      </c>
      <c r="AK34">
        <v>362</v>
      </c>
      <c r="AL34">
        <v>568.5</v>
      </c>
      <c r="AM34">
        <v>893.5</v>
      </c>
      <c r="AN34">
        <v>4838</v>
      </c>
      <c r="AO34">
        <v>1137.5</v>
      </c>
      <c r="AP34">
        <v>469.75</v>
      </c>
      <c r="AQ34">
        <v>146.3424033</v>
      </c>
      <c r="AR34" cm="1">
        <f t="array" ref="AR34">SUMPRODUCT($B$162:$U$162,(B34:U34)/($B$11:$U$11))</f>
        <v>2586.779634407852</v>
      </c>
      <c r="AS34">
        <f t="shared" si="0"/>
        <v>-0.17619277365520247</v>
      </c>
      <c r="AT34">
        <f t="shared" si="1"/>
        <v>-6.8108149278711672E-5</v>
      </c>
      <c r="AU34" cm="1">
        <f t="array" ref="AU34">SUMPRODUCT($X$162:$AQ$162,(X34:AQ34)/($X$11:$AQ$11))</f>
        <v>2559.6254183043757</v>
      </c>
      <c r="AV34">
        <f t="shared" si="2"/>
        <v>0.24903970296600164</v>
      </c>
      <c r="AW34">
        <f t="shared" si="3"/>
        <v>-0.24903970296600164</v>
      </c>
      <c r="AX34">
        <f t="shared" si="4"/>
        <v>-0.42523247662120411</v>
      </c>
    </row>
    <row r="35" spans="1:50" x14ac:dyDescent="0.2">
      <c r="A35" s="3">
        <v>46020</v>
      </c>
      <c r="B35">
        <v>22</v>
      </c>
      <c r="C35">
        <v>15.13</v>
      </c>
      <c r="D35">
        <v>626.79999999999995</v>
      </c>
      <c r="E35">
        <v>362.5</v>
      </c>
      <c r="F35">
        <v>85.78</v>
      </c>
      <c r="G35">
        <v>2235</v>
      </c>
      <c r="H35">
        <v>10.595000000000001</v>
      </c>
      <c r="I35">
        <v>171.8</v>
      </c>
      <c r="J35">
        <v>19.239999999999998</v>
      </c>
      <c r="K35">
        <v>212.6</v>
      </c>
      <c r="L35">
        <v>351.8</v>
      </c>
      <c r="M35">
        <v>196.6</v>
      </c>
      <c r="N35">
        <v>69.3</v>
      </c>
      <c r="O35">
        <v>72.5</v>
      </c>
      <c r="P35">
        <v>67.28</v>
      </c>
      <c r="Q35">
        <v>222.45</v>
      </c>
      <c r="R35">
        <v>92.66</v>
      </c>
      <c r="S35">
        <v>27.91</v>
      </c>
      <c r="T35">
        <v>52.4</v>
      </c>
      <c r="U35">
        <v>41.35</v>
      </c>
      <c r="V35" s="6"/>
      <c r="W35" s="3">
        <v>46020</v>
      </c>
      <c r="X35">
        <v>68.319999999999993</v>
      </c>
      <c r="Y35">
        <v>6006.9052034590004</v>
      </c>
      <c r="Z35">
        <v>161.80000000000001</v>
      </c>
      <c r="AA35">
        <v>37.08</v>
      </c>
      <c r="AB35">
        <v>5950</v>
      </c>
      <c r="AC35">
        <v>833</v>
      </c>
      <c r="AD35">
        <v>97.9</v>
      </c>
      <c r="AE35">
        <v>203</v>
      </c>
      <c r="AF35">
        <v>882.2</v>
      </c>
      <c r="AG35">
        <v>4656</v>
      </c>
      <c r="AH35">
        <v>1166</v>
      </c>
      <c r="AI35">
        <v>373</v>
      </c>
      <c r="AJ35">
        <v>3.9710000000000001</v>
      </c>
      <c r="AK35">
        <v>363</v>
      </c>
      <c r="AL35">
        <v>573.5</v>
      </c>
      <c r="AM35">
        <v>894</v>
      </c>
      <c r="AN35">
        <v>4860</v>
      </c>
      <c r="AO35">
        <v>1141</v>
      </c>
      <c r="AP35">
        <v>469.25</v>
      </c>
      <c r="AQ35">
        <v>144.61942020000001</v>
      </c>
      <c r="AR35" cm="1">
        <f t="array" ref="AR35">SUMPRODUCT($B$162:$U$162,(B35:U35)/($B$11:$U$11))</f>
        <v>2599.4120393059229</v>
      </c>
      <c r="AS35">
        <f t="shared" si="0"/>
        <v>12.632404898070945</v>
      </c>
      <c r="AT35">
        <f t="shared" si="1"/>
        <v>4.8834484120880983E-3</v>
      </c>
      <c r="AU35" cm="1">
        <f t="array" ref="AU35">SUMPRODUCT($X$162:$AQ$162,(X35:AQ35)/($X$11:$AQ$11))</f>
        <v>2563.0687710156285</v>
      </c>
      <c r="AV35">
        <f t="shared" si="2"/>
        <v>3.4433527112528282</v>
      </c>
      <c r="AW35">
        <f t="shared" si="3"/>
        <v>-3.4433527112528282</v>
      </c>
      <c r="AX35">
        <f t="shared" si="4"/>
        <v>9.1890521868181168</v>
      </c>
    </row>
    <row r="36" spans="1:50" x14ac:dyDescent="0.2">
      <c r="A36" s="3">
        <v>46021</v>
      </c>
      <c r="B36">
        <v>22.2</v>
      </c>
      <c r="C36">
        <v>15.19</v>
      </c>
      <c r="D36">
        <v>629.79999999999995</v>
      </c>
      <c r="E36">
        <v>363.8</v>
      </c>
      <c r="F36">
        <v>86.38</v>
      </c>
      <c r="G36">
        <v>2291</v>
      </c>
      <c r="H36">
        <v>10.705</v>
      </c>
      <c r="I36">
        <v>173.2</v>
      </c>
      <c r="J36">
        <v>19.41</v>
      </c>
      <c r="K36">
        <v>212.8</v>
      </c>
      <c r="L36">
        <v>352</v>
      </c>
      <c r="M36">
        <v>197.6</v>
      </c>
      <c r="N36">
        <v>69.66</v>
      </c>
      <c r="O36">
        <v>73.400000000000006</v>
      </c>
      <c r="P36">
        <v>68.2</v>
      </c>
      <c r="Q36">
        <v>223.25</v>
      </c>
      <c r="R36">
        <v>93.38</v>
      </c>
      <c r="S36">
        <v>28.33</v>
      </c>
      <c r="T36">
        <v>53.62</v>
      </c>
      <c r="U36">
        <v>41.35</v>
      </c>
      <c r="V36" s="6"/>
      <c r="W36" s="3">
        <v>46021</v>
      </c>
      <c r="X36">
        <v>69.16</v>
      </c>
      <c r="Y36">
        <v>6020.925989196</v>
      </c>
      <c r="Z36">
        <v>162.1</v>
      </c>
      <c r="AA36">
        <v>37.32</v>
      </c>
      <c r="AB36">
        <v>6026</v>
      </c>
      <c r="AC36">
        <v>839.5</v>
      </c>
      <c r="AD36">
        <v>98.1</v>
      </c>
      <c r="AE36">
        <v>204</v>
      </c>
      <c r="AF36">
        <v>888.2</v>
      </c>
      <c r="AG36">
        <v>4630</v>
      </c>
      <c r="AH36">
        <v>1175.5999999999999</v>
      </c>
      <c r="AI36">
        <v>373.6</v>
      </c>
      <c r="AJ36">
        <v>3.9740000000000002</v>
      </c>
      <c r="AK36">
        <v>366</v>
      </c>
      <c r="AL36">
        <v>575.5</v>
      </c>
      <c r="AM36">
        <v>894.5</v>
      </c>
      <c r="AN36">
        <v>4856</v>
      </c>
      <c r="AO36">
        <v>1147.5</v>
      </c>
      <c r="AP36">
        <v>476.8</v>
      </c>
      <c r="AQ36">
        <v>148.2877068</v>
      </c>
      <c r="AR36" cm="1">
        <f t="array" ref="AR36">SUMPRODUCT($B$162:$U$162,(B36:U36)/($B$11:$U$11))</f>
        <v>2621.4879371498259</v>
      </c>
      <c r="AS36">
        <f t="shared" si="0"/>
        <v>22.075897843903022</v>
      </c>
      <c r="AT36">
        <f t="shared" si="1"/>
        <v>8.4926504571385397E-3</v>
      </c>
      <c r="AU36" cm="1">
        <f t="array" ref="AU36">SUMPRODUCT($X$162:$AQ$162,(X36:AQ36)/($X$11:$AQ$11))</f>
        <v>2574.3961187456161</v>
      </c>
      <c r="AV36">
        <f t="shared" si="2"/>
        <v>11.32734772998765</v>
      </c>
      <c r="AW36">
        <f t="shared" si="3"/>
        <v>-11.32734772998765</v>
      </c>
      <c r="AX36">
        <f t="shared" si="4"/>
        <v>10.748550113915371</v>
      </c>
    </row>
    <row r="37" spans="1:50" x14ac:dyDescent="0.2">
      <c r="A37" s="3">
        <v>46022</v>
      </c>
      <c r="B37">
        <v>22.2</v>
      </c>
      <c r="C37">
        <v>15.17</v>
      </c>
      <c r="D37">
        <v>629.79999999999995</v>
      </c>
      <c r="E37">
        <v>363.8</v>
      </c>
      <c r="F37">
        <v>86.38</v>
      </c>
      <c r="G37">
        <v>2291</v>
      </c>
      <c r="H37">
        <v>10.705</v>
      </c>
      <c r="I37">
        <v>173.2</v>
      </c>
      <c r="J37">
        <v>19.41</v>
      </c>
      <c r="K37">
        <v>212.8</v>
      </c>
      <c r="L37">
        <v>352</v>
      </c>
      <c r="M37">
        <v>197.6</v>
      </c>
      <c r="N37">
        <v>69.66</v>
      </c>
      <c r="O37">
        <v>73.400000000000006</v>
      </c>
      <c r="P37">
        <v>68.2</v>
      </c>
      <c r="Q37">
        <v>223.25</v>
      </c>
      <c r="R37">
        <v>92.76</v>
      </c>
      <c r="S37">
        <v>28.33</v>
      </c>
      <c r="T37">
        <v>53.62</v>
      </c>
      <c r="U37">
        <v>41.35</v>
      </c>
      <c r="V37" s="6"/>
      <c r="W37" s="3">
        <v>46022</v>
      </c>
      <c r="X37">
        <v>68.56</v>
      </c>
      <c r="Y37">
        <v>6010.9111422409997</v>
      </c>
      <c r="Z37">
        <v>162.1</v>
      </c>
      <c r="AA37">
        <v>37.32</v>
      </c>
      <c r="AB37">
        <v>5994</v>
      </c>
      <c r="AC37">
        <v>832.5</v>
      </c>
      <c r="AD37">
        <v>97.9</v>
      </c>
      <c r="AE37">
        <v>204</v>
      </c>
      <c r="AF37">
        <v>884</v>
      </c>
      <c r="AG37">
        <v>4626</v>
      </c>
      <c r="AH37">
        <v>1173.8</v>
      </c>
      <c r="AI37">
        <v>374.8</v>
      </c>
      <c r="AJ37">
        <v>3.976</v>
      </c>
      <c r="AK37">
        <v>366</v>
      </c>
      <c r="AL37">
        <v>575.5</v>
      </c>
      <c r="AM37">
        <v>891</v>
      </c>
      <c r="AN37">
        <v>4859.5</v>
      </c>
      <c r="AO37">
        <v>1141.5</v>
      </c>
      <c r="AP37">
        <v>475.95</v>
      </c>
      <c r="AQ37">
        <v>148.2877068</v>
      </c>
      <c r="AR37" cm="1">
        <f t="array" ref="AR37">SUMPRODUCT($B$162:$U$162,(B37:U37)/($B$11:$U$11))</f>
        <v>2620.8235562118084</v>
      </c>
      <c r="AS37">
        <f t="shared" si="0"/>
        <v>-0.66438093801752984</v>
      </c>
      <c r="AT37">
        <f t="shared" si="1"/>
        <v>-2.5343658027277005E-4</v>
      </c>
      <c r="AU37" cm="1">
        <f t="array" ref="AU37">SUMPRODUCT($X$162:$AQ$162,(X37:AQ37)/($X$11:$AQ$11))</f>
        <v>2570.9079311196824</v>
      </c>
      <c r="AV37">
        <f t="shared" si="2"/>
        <v>-3.4881876259337332</v>
      </c>
      <c r="AW37">
        <f t="shared" si="3"/>
        <v>3.4881876259337332</v>
      </c>
      <c r="AX37">
        <f t="shared" si="4"/>
        <v>2.8238066879162034</v>
      </c>
    </row>
    <row r="38" spans="1:50" x14ac:dyDescent="0.2">
      <c r="A38" s="3">
        <v>46024</v>
      </c>
      <c r="B38">
        <v>22.49</v>
      </c>
      <c r="C38">
        <v>15.27</v>
      </c>
      <c r="D38">
        <v>624.20000000000005</v>
      </c>
      <c r="E38">
        <v>358.2</v>
      </c>
      <c r="F38">
        <v>89.88</v>
      </c>
      <c r="G38">
        <v>2274</v>
      </c>
      <c r="H38">
        <v>10.82</v>
      </c>
      <c r="I38">
        <v>159.9</v>
      </c>
      <c r="J38">
        <v>19.920000000000002</v>
      </c>
      <c r="K38">
        <v>202.2</v>
      </c>
      <c r="L38">
        <v>340.8</v>
      </c>
      <c r="M38">
        <v>193</v>
      </c>
      <c r="N38">
        <v>72.8</v>
      </c>
      <c r="O38">
        <v>76.400000000000006</v>
      </c>
      <c r="P38">
        <v>67.48</v>
      </c>
      <c r="Q38">
        <v>216.6</v>
      </c>
      <c r="R38">
        <v>92.52</v>
      </c>
      <c r="S38">
        <v>28.28</v>
      </c>
      <c r="T38">
        <v>55.56</v>
      </c>
      <c r="U38">
        <v>41</v>
      </c>
      <c r="V38" s="6"/>
      <c r="W38" s="3">
        <v>46024</v>
      </c>
      <c r="X38">
        <v>69.92</v>
      </c>
      <c r="Y38">
        <v>5990.8814483309998</v>
      </c>
      <c r="Z38">
        <v>162.1</v>
      </c>
      <c r="AA38">
        <v>37.5</v>
      </c>
      <c r="AB38">
        <v>5986</v>
      </c>
      <c r="AC38">
        <v>839</v>
      </c>
      <c r="AD38">
        <v>98.05</v>
      </c>
      <c r="AE38">
        <v>204</v>
      </c>
      <c r="AF38">
        <v>874</v>
      </c>
      <c r="AG38">
        <v>4554</v>
      </c>
      <c r="AH38">
        <v>1191.8</v>
      </c>
      <c r="AI38">
        <v>370.1</v>
      </c>
      <c r="AJ38">
        <v>3.9710000000000001</v>
      </c>
      <c r="AK38">
        <v>366</v>
      </c>
      <c r="AL38">
        <v>575.5</v>
      </c>
      <c r="AM38">
        <v>871.5</v>
      </c>
      <c r="AN38">
        <v>4822.5</v>
      </c>
      <c r="AO38">
        <v>1157.5</v>
      </c>
      <c r="AP38" s="2">
        <v>479.5</v>
      </c>
      <c r="AQ38">
        <v>148.56560730000001</v>
      </c>
      <c r="AR38" cm="1">
        <f t="array" ref="AR38">SUMPRODUCT($B$162:$U$162,(B38:U38)/($B$11:$U$11))</f>
        <v>2625.007873195475</v>
      </c>
      <c r="AS38">
        <f t="shared" si="0"/>
        <v>4.1843169836665766</v>
      </c>
      <c r="AT38">
        <f t="shared" si="1"/>
        <v>1.596565695446861E-3</v>
      </c>
      <c r="AU38" cm="1">
        <f t="array" ref="AU38">SUMPRODUCT($X$162:$AQ$162,(X38:AQ38)/($X$11:$AQ$11))</f>
        <v>2571.9983702543368</v>
      </c>
      <c r="AV38">
        <f t="shared" si="2"/>
        <v>1.0904391346543889</v>
      </c>
      <c r="AW38">
        <f t="shared" si="3"/>
        <v>-1.0904391346543889</v>
      </c>
      <c r="AX38">
        <f t="shared" si="4"/>
        <v>3.0938778490121877</v>
      </c>
    </row>
    <row r="39" spans="1:50" x14ac:dyDescent="0.2">
      <c r="A39" s="3">
        <v>46027</v>
      </c>
      <c r="B39">
        <v>22.71</v>
      </c>
      <c r="C39">
        <v>15.31</v>
      </c>
      <c r="D39">
        <v>617.79999999999995</v>
      </c>
      <c r="E39">
        <v>356.9</v>
      </c>
      <c r="F39">
        <v>91.54</v>
      </c>
      <c r="G39">
        <v>2285</v>
      </c>
      <c r="H39">
        <v>10.744999999999999</v>
      </c>
      <c r="I39">
        <v>160.19999999999999</v>
      </c>
      <c r="J39">
        <v>20.309999999999999</v>
      </c>
      <c r="K39">
        <v>204</v>
      </c>
      <c r="L39">
        <v>336.4</v>
      </c>
      <c r="M39">
        <v>191.5</v>
      </c>
      <c r="N39">
        <v>73.58</v>
      </c>
      <c r="O39">
        <v>82.65</v>
      </c>
      <c r="P39">
        <v>67.38</v>
      </c>
      <c r="Q39">
        <v>222.3</v>
      </c>
      <c r="R39">
        <v>93.2</v>
      </c>
      <c r="S39">
        <v>28.36</v>
      </c>
      <c r="T39">
        <v>60.02</v>
      </c>
      <c r="U39">
        <v>41.09</v>
      </c>
      <c r="V39" s="6"/>
      <c r="W39" s="3">
        <v>46027</v>
      </c>
      <c r="X39">
        <v>69.7</v>
      </c>
      <c r="Y39" s="2">
        <v>5996.890356504</v>
      </c>
      <c r="Z39">
        <v>160.1</v>
      </c>
      <c r="AA39">
        <v>38</v>
      </c>
      <c r="AB39" s="2">
        <v>6091</v>
      </c>
      <c r="AC39" s="2">
        <v>836</v>
      </c>
      <c r="AD39">
        <v>98</v>
      </c>
      <c r="AE39" s="2">
        <v>204</v>
      </c>
      <c r="AF39" s="2">
        <v>884.6</v>
      </c>
      <c r="AG39">
        <v>4606</v>
      </c>
      <c r="AH39">
        <v>1207.2</v>
      </c>
      <c r="AI39" s="2">
        <v>372.3</v>
      </c>
      <c r="AJ39">
        <v>3.9569999999999999</v>
      </c>
      <c r="AK39">
        <v>366</v>
      </c>
      <c r="AL39">
        <v>579</v>
      </c>
      <c r="AM39">
        <v>864.5</v>
      </c>
      <c r="AN39">
        <v>4699</v>
      </c>
      <c r="AO39">
        <v>1150</v>
      </c>
      <c r="AP39">
        <v>486.65</v>
      </c>
      <c r="AQ39">
        <v>148.56560730000001</v>
      </c>
      <c r="AR39" cm="1">
        <f t="array" ref="AR39">SUMPRODUCT($B$162:$U$162,(B39:U39)/($B$11:$U$11))</f>
        <v>2677.5813285811273</v>
      </c>
      <c r="AS39">
        <f t="shared" si="0"/>
        <v>52.573455385652323</v>
      </c>
      <c r="AT39">
        <f t="shared" si="1"/>
        <v>2.0027922934057196E-2</v>
      </c>
      <c r="AU39" cm="1">
        <f t="array" ref="AU39">SUMPRODUCT($X$162:$AQ$162,(X39:AQ39)/($X$11:$AQ$11))</f>
        <v>2569.6846724492402</v>
      </c>
      <c r="AV39">
        <f t="shared" si="2"/>
        <v>-2.3136978050965809</v>
      </c>
      <c r="AW39">
        <f t="shared" si="3"/>
        <v>2.3136978050965809</v>
      </c>
      <c r="AX39">
        <f t="shared" si="4"/>
        <v>54.887153190748904</v>
      </c>
    </row>
    <row r="40" spans="1:50" x14ac:dyDescent="0.2">
      <c r="A40" s="3">
        <v>46028</v>
      </c>
      <c r="B40">
        <v>22.83</v>
      </c>
      <c r="C40">
        <v>15.38</v>
      </c>
      <c r="D40">
        <v>617.79999999999995</v>
      </c>
      <c r="E40">
        <v>356.9</v>
      </c>
      <c r="F40">
        <v>90.8</v>
      </c>
      <c r="G40">
        <v>2406</v>
      </c>
      <c r="H40">
        <v>10.744999999999999</v>
      </c>
      <c r="I40">
        <v>160.19999999999999</v>
      </c>
      <c r="J40">
        <v>20.309999999999999</v>
      </c>
      <c r="K40">
        <v>204</v>
      </c>
      <c r="L40">
        <v>336.4</v>
      </c>
      <c r="M40">
        <v>191.5</v>
      </c>
      <c r="N40">
        <v>73.58</v>
      </c>
      <c r="O40">
        <v>82</v>
      </c>
      <c r="P40">
        <v>67.38</v>
      </c>
      <c r="Q40">
        <v>222.3</v>
      </c>
      <c r="R40">
        <v>92.76</v>
      </c>
      <c r="S40">
        <v>28.36</v>
      </c>
      <c r="T40">
        <v>59.6</v>
      </c>
      <c r="U40">
        <v>41.09</v>
      </c>
      <c r="V40" s="6"/>
      <c r="W40" s="3">
        <v>46028</v>
      </c>
      <c r="X40">
        <v>72.88</v>
      </c>
      <c r="Y40">
        <v>6068.9972545780001</v>
      </c>
      <c r="Z40">
        <v>165.6</v>
      </c>
      <c r="AA40">
        <v>40.18</v>
      </c>
      <c r="AB40">
        <v>6291</v>
      </c>
      <c r="AC40">
        <v>832</v>
      </c>
      <c r="AD40">
        <v>97.7</v>
      </c>
      <c r="AE40">
        <v>203</v>
      </c>
      <c r="AF40">
        <v>897</v>
      </c>
      <c r="AG40">
        <v>4612</v>
      </c>
      <c r="AH40">
        <v>1217.4000000000001</v>
      </c>
      <c r="AI40">
        <v>376.5</v>
      </c>
      <c r="AJ40">
        <v>3.9260000000000002</v>
      </c>
      <c r="AK40">
        <v>363.5</v>
      </c>
      <c r="AL40">
        <v>584</v>
      </c>
      <c r="AM40">
        <v>867.5</v>
      </c>
      <c r="AN40">
        <v>4744</v>
      </c>
      <c r="AO40">
        <v>1172</v>
      </c>
      <c r="AP40">
        <v>488.4</v>
      </c>
      <c r="AQ40">
        <v>154.51267799999999</v>
      </c>
      <c r="AR40" cm="1">
        <f t="array" ref="AR40">SUMPRODUCT($B$162:$U$162,(B40:U40)/($B$11:$U$11))</f>
        <v>2675.2216156834074</v>
      </c>
      <c r="AS40">
        <f t="shared" si="0"/>
        <v>-2.3597128977198736</v>
      </c>
      <c r="AT40">
        <f t="shared" si="1"/>
        <v>-8.8128523773745027E-4</v>
      </c>
      <c r="AU40" cm="1">
        <f t="array" ref="AU40">SUMPRODUCT($X$162:$AQ$162,(X40:AQ40)/($X$11:$AQ$11))</f>
        <v>2609.0950934512948</v>
      </c>
      <c r="AV40">
        <f t="shared" si="2"/>
        <v>39.410421002054591</v>
      </c>
      <c r="AW40">
        <f t="shared" si="3"/>
        <v>-39.410421002054591</v>
      </c>
      <c r="AX40">
        <f t="shared" si="4"/>
        <v>-41.770133899774464</v>
      </c>
    </row>
    <row r="41" spans="1:50" x14ac:dyDescent="0.2">
      <c r="A41" s="3">
        <v>46029</v>
      </c>
      <c r="B41">
        <v>22.54</v>
      </c>
      <c r="C41">
        <v>15.4</v>
      </c>
      <c r="D41">
        <v>620</v>
      </c>
      <c r="E41">
        <v>365.9</v>
      </c>
      <c r="F41">
        <v>91.42</v>
      </c>
      <c r="G41">
        <v>2339</v>
      </c>
      <c r="H41">
        <v>10.744999999999999</v>
      </c>
      <c r="I41" s="2">
        <v>159.6</v>
      </c>
      <c r="J41" s="2">
        <v>20.02</v>
      </c>
      <c r="K41">
        <v>209.2</v>
      </c>
      <c r="L41">
        <v>352.4</v>
      </c>
      <c r="M41">
        <v>203</v>
      </c>
      <c r="N41">
        <v>74.099999999999994</v>
      </c>
      <c r="O41">
        <v>86.85</v>
      </c>
      <c r="P41">
        <v>71.14</v>
      </c>
      <c r="Q41">
        <v>228.6</v>
      </c>
      <c r="R41">
        <v>94.72</v>
      </c>
      <c r="S41">
        <v>29.3</v>
      </c>
      <c r="T41">
        <v>61.86</v>
      </c>
      <c r="U41">
        <v>42.37</v>
      </c>
      <c r="V41" s="6"/>
      <c r="W41" s="3">
        <v>46029</v>
      </c>
      <c r="X41">
        <v>72.3</v>
      </c>
      <c r="Y41">
        <v>6062.9883464060003</v>
      </c>
      <c r="Z41">
        <v>165.2</v>
      </c>
      <c r="AA41">
        <v>39.9</v>
      </c>
      <c r="AB41">
        <v>6258</v>
      </c>
      <c r="AC41">
        <v>839.5</v>
      </c>
      <c r="AD41">
        <v>102.2</v>
      </c>
      <c r="AE41">
        <v>206.5</v>
      </c>
      <c r="AF41">
        <v>893.2</v>
      </c>
      <c r="AG41">
        <v>4596</v>
      </c>
      <c r="AH41">
        <v>1190.8</v>
      </c>
      <c r="AI41">
        <v>373.5</v>
      </c>
      <c r="AJ41">
        <v>3.855</v>
      </c>
      <c r="AK41">
        <v>370.5</v>
      </c>
      <c r="AL41">
        <v>589.5</v>
      </c>
      <c r="AM41">
        <v>844.5</v>
      </c>
      <c r="AN41">
        <v>4631</v>
      </c>
      <c r="AO41">
        <v>1184.5</v>
      </c>
      <c r="AP41">
        <v>479.55</v>
      </c>
      <c r="AQ41">
        <v>155.7354402</v>
      </c>
      <c r="AR41" cm="1">
        <f t="array" ref="AR41">SUMPRODUCT($B$162:$U$162,(B41:U41)/($B$11:$U$11))</f>
        <v>2720.2702952136319</v>
      </c>
      <c r="AS41">
        <f t="shared" si="0"/>
        <v>45.04867953022449</v>
      </c>
      <c r="AT41">
        <f t="shared" si="1"/>
        <v>1.6839232782109637E-2</v>
      </c>
      <c r="AU41" cm="1">
        <f t="array" ref="AU41">SUMPRODUCT($X$162:$AQ$162,(X41:AQ41)/($X$11:$AQ$11))</f>
        <v>2611.900076675558</v>
      </c>
      <c r="AV41">
        <f t="shared" si="2"/>
        <v>2.8049832242631965</v>
      </c>
      <c r="AW41">
        <f t="shared" si="3"/>
        <v>-2.8049832242631965</v>
      </c>
      <c r="AX41">
        <f t="shared" si="4"/>
        <v>42.243696305961294</v>
      </c>
    </row>
    <row r="42" spans="1:50" x14ac:dyDescent="0.2">
      <c r="A42" s="3">
        <v>46030</v>
      </c>
      <c r="B42">
        <v>22.5</v>
      </c>
      <c r="C42">
        <v>15.43</v>
      </c>
      <c r="D42">
        <v>614.6</v>
      </c>
      <c r="E42">
        <v>351.6</v>
      </c>
      <c r="F42">
        <v>87.48</v>
      </c>
      <c r="G42">
        <v>2373</v>
      </c>
      <c r="H42">
        <v>10.56</v>
      </c>
      <c r="I42">
        <v>160.6</v>
      </c>
      <c r="J42">
        <v>19.59</v>
      </c>
      <c r="K42">
        <v>204.8</v>
      </c>
      <c r="L42">
        <v>342.8</v>
      </c>
      <c r="M42">
        <v>198.2</v>
      </c>
      <c r="N42">
        <v>73.8</v>
      </c>
      <c r="O42">
        <v>86.35</v>
      </c>
      <c r="P42">
        <v>69.900000000000006</v>
      </c>
      <c r="Q42">
        <v>211</v>
      </c>
      <c r="R42">
        <v>95.14</v>
      </c>
      <c r="S42">
        <v>28.92</v>
      </c>
      <c r="T42">
        <v>63.67</v>
      </c>
      <c r="U42">
        <v>41.44</v>
      </c>
      <c r="V42" s="6"/>
      <c r="W42" s="3">
        <v>46030</v>
      </c>
      <c r="X42">
        <v>71.14</v>
      </c>
      <c r="Y42">
        <v>6179.1605710809999</v>
      </c>
      <c r="Z42">
        <v>163.19999999999999</v>
      </c>
      <c r="AA42">
        <v>39.659999999999997</v>
      </c>
      <c r="AB42">
        <v>6194</v>
      </c>
      <c r="AC42">
        <v>841</v>
      </c>
      <c r="AD42">
        <v>102.6</v>
      </c>
      <c r="AE42">
        <v>207.5</v>
      </c>
      <c r="AF42">
        <v>890.4</v>
      </c>
      <c r="AG42">
        <v>4618</v>
      </c>
      <c r="AH42">
        <v>1195.4000000000001</v>
      </c>
      <c r="AI42">
        <v>371.9</v>
      </c>
      <c r="AJ42">
        <v>3.8919999999999999</v>
      </c>
      <c r="AK42">
        <v>371</v>
      </c>
      <c r="AL42">
        <v>590.5</v>
      </c>
      <c r="AM42">
        <v>862.5</v>
      </c>
      <c r="AN42">
        <v>4665</v>
      </c>
      <c r="AO42">
        <v>1183</v>
      </c>
      <c r="AP42">
        <v>484.7</v>
      </c>
      <c r="AQ42">
        <v>153.95687699999999</v>
      </c>
      <c r="AR42" cm="1">
        <f t="array" ref="AR42">SUMPRODUCT($B$162:$U$162,(B42:U42)/($B$11:$U$11))</f>
        <v>2689.8393791786912</v>
      </c>
      <c r="AS42">
        <f t="shared" si="0"/>
        <v>-30.430916034940765</v>
      </c>
      <c r="AT42">
        <f t="shared" si="1"/>
        <v>-1.1186725116428486E-2</v>
      </c>
      <c r="AU42" cm="1">
        <f t="array" ref="AU42">SUMPRODUCT($X$162:$AQ$162,(X42:AQ42)/($X$11:$AQ$11))</f>
        <v>2611.0374649271985</v>
      </c>
      <c r="AV42">
        <f t="shared" si="2"/>
        <v>-0.8626117483595408</v>
      </c>
      <c r="AW42">
        <f t="shared" si="3"/>
        <v>0.8626117483595408</v>
      </c>
      <c r="AX42">
        <f t="shared" si="4"/>
        <v>-29.568304286581224</v>
      </c>
    </row>
    <row r="43" spans="1:50" x14ac:dyDescent="0.2">
      <c r="A43" s="3">
        <v>46031</v>
      </c>
      <c r="B43">
        <v>22.55</v>
      </c>
      <c r="C43">
        <v>15.25</v>
      </c>
      <c r="D43">
        <v>620</v>
      </c>
      <c r="E43">
        <v>360.5</v>
      </c>
      <c r="F43">
        <v>87.28</v>
      </c>
      <c r="G43">
        <v>2361</v>
      </c>
      <c r="H43">
        <v>10.73</v>
      </c>
      <c r="I43">
        <v>164.5</v>
      </c>
      <c r="J43">
        <v>19.87</v>
      </c>
      <c r="K43">
        <v>208.6</v>
      </c>
      <c r="L43">
        <v>348.4</v>
      </c>
      <c r="M43">
        <v>201.6</v>
      </c>
      <c r="N43">
        <v>74.98</v>
      </c>
      <c r="O43">
        <v>91.3</v>
      </c>
      <c r="P43">
        <v>71.040000000000006</v>
      </c>
      <c r="Q43">
        <v>212</v>
      </c>
      <c r="R43">
        <v>94.24</v>
      </c>
      <c r="S43">
        <v>29.36</v>
      </c>
      <c r="T43">
        <v>64.180000000000007</v>
      </c>
      <c r="U43">
        <v>42.2</v>
      </c>
      <c r="V43" s="6"/>
      <c r="W43" s="3">
        <v>46031</v>
      </c>
      <c r="X43">
        <v>71</v>
      </c>
      <c r="Y43">
        <v>6185.1694792540002</v>
      </c>
      <c r="Z43">
        <v>165.2</v>
      </c>
      <c r="AA43">
        <v>39.909999999999997</v>
      </c>
      <c r="AB43">
        <v>6006</v>
      </c>
      <c r="AC43">
        <v>852.5</v>
      </c>
      <c r="AD43">
        <v>103.2</v>
      </c>
      <c r="AE43">
        <v>209</v>
      </c>
      <c r="AF43">
        <v>901</v>
      </c>
      <c r="AG43">
        <v>4618</v>
      </c>
      <c r="AH43">
        <v>1194.2</v>
      </c>
      <c r="AI43">
        <v>367.5</v>
      </c>
      <c r="AJ43">
        <v>3.859</v>
      </c>
      <c r="AK43">
        <v>372.5</v>
      </c>
      <c r="AL43">
        <v>586.5</v>
      </c>
      <c r="AM43">
        <v>858.5</v>
      </c>
      <c r="AN43">
        <v>4744</v>
      </c>
      <c r="AO43">
        <v>1192.5</v>
      </c>
      <c r="AP43">
        <v>484.9</v>
      </c>
      <c r="AQ43">
        <v>152.0115735</v>
      </c>
      <c r="AR43" cm="1">
        <f t="array" ref="AR43">SUMPRODUCT($B$162:$U$162,(B43:U43)/($B$11:$U$11))</f>
        <v>2726.0778153990482</v>
      </c>
      <c r="AS43">
        <f t="shared" si="0"/>
        <v>36.238436220357016</v>
      </c>
      <c r="AT43">
        <f t="shared" si="1"/>
        <v>1.3472342066544574E-2</v>
      </c>
      <c r="AU43" cm="1">
        <f t="array" ref="AU43">SUMPRODUCT($X$162:$AQ$162,(X43:AQ43)/($X$11:$AQ$11))</f>
        <v>2615.7510440690812</v>
      </c>
      <c r="AV43">
        <f t="shared" si="2"/>
        <v>4.7135791418827466</v>
      </c>
      <c r="AW43">
        <f t="shared" si="3"/>
        <v>-4.7135791418827466</v>
      </c>
      <c r="AX43">
        <f t="shared" si="4"/>
        <v>31.52485707847427</v>
      </c>
    </row>
    <row r="44" spans="1:50" x14ac:dyDescent="0.2">
      <c r="A44" s="3">
        <v>46034</v>
      </c>
      <c r="B44">
        <v>22.58</v>
      </c>
      <c r="C44">
        <v>15.22</v>
      </c>
      <c r="D44">
        <v>620.4</v>
      </c>
      <c r="E44">
        <v>361.9</v>
      </c>
      <c r="F44">
        <v>85.78</v>
      </c>
      <c r="G44">
        <v>2327</v>
      </c>
      <c r="H44">
        <v>10.645</v>
      </c>
      <c r="I44">
        <v>160.80000000000001</v>
      </c>
      <c r="J44">
        <v>19.91</v>
      </c>
      <c r="K44">
        <v>204.2</v>
      </c>
      <c r="L44">
        <v>341.2</v>
      </c>
      <c r="M44">
        <v>200.6</v>
      </c>
      <c r="N44">
        <v>74.8</v>
      </c>
      <c r="O44">
        <v>92</v>
      </c>
      <c r="P44">
        <v>69.739999999999995</v>
      </c>
      <c r="Q44">
        <v>207.15</v>
      </c>
      <c r="R44">
        <v>93.86</v>
      </c>
      <c r="S44">
        <v>29.33</v>
      </c>
      <c r="T44">
        <v>66.22</v>
      </c>
      <c r="U44">
        <v>41.99</v>
      </c>
      <c r="V44" s="6"/>
      <c r="W44" s="3">
        <v>46034</v>
      </c>
      <c r="X44">
        <v>70.34</v>
      </c>
      <c r="Y44">
        <v>6237.2466834180004</v>
      </c>
      <c r="Z44">
        <v>163.9</v>
      </c>
      <c r="AA44">
        <v>40.08</v>
      </c>
      <c r="AB44">
        <v>6135</v>
      </c>
      <c r="AC44">
        <v>841.5</v>
      </c>
      <c r="AD44">
        <v>103.6</v>
      </c>
      <c r="AE44">
        <v>209.5</v>
      </c>
      <c r="AF44">
        <v>886.8</v>
      </c>
      <c r="AG44">
        <v>4666</v>
      </c>
      <c r="AH44">
        <v>1202.4000000000001</v>
      </c>
      <c r="AI44">
        <v>362.2</v>
      </c>
      <c r="AJ44">
        <v>3.8359999999999999</v>
      </c>
      <c r="AK44">
        <v>374</v>
      </c>
      <c r="AL44">
        <v>587.5</v>
      </c>
      <c r="AM44">
        <v>837.5</v>
      </c>
      <c r="AN44">
        <v>4770.5</v>
      </c>
      <c r="AO44">
        <v>1178.5</v>
      </c>
      <c r="AP44">
        <v>473.05</v>
      </c>
      <c r="AQ44">
        <v>156.45798149999999</v>
      </c>
      <c r="AR44" cm="1">
        <f t="array" ref="AR44">SUMPRODUCT($B$162:$U$162,(B44:U44)/($B$11:$U$11))</f>
        <v>2721.0075261511092</v>
      </c>
      <c r="AS44">
        <f t="shared" si="0"/>
        <v>-5.0702892479389448</v>
      </c>
      <c r="AT44">
        <f t="shared" si="1"/>
        <v>-1.8599209528421534E-3</v>
      </c>
      <c r="AU44" cm="1">
        <f t="array" ref="AU44">SUMPRODUCT($X$162:$AQ$162,(X44:AQ44)/($X$11:$AQ$11))</f>
        <v>2610.6102832045058</v>
      </c>
      <c r="AV44">
        <f t="shared" si="2"/>
        <v>-5.1407608645754408</v>
      </c>
      <c r="AW44">
        <f t="shared" si="3"/>
        <v>5.1407608645754408</v>
      </c>
      <c r="AX44">
        <f t="shared" si="4"/>
        <v>7.0471616636496037E-2</v>
      </c>
    </row>
    <row r="45" spans="1:50" x14ac:dyDescent="0.2">
      <c r="A45" s="3">
        <v>46035</v>
      </c>
      <c r="B45">
        <v>22.53</v>
      </c>
      <c r="C45">
        <v>14.95</v>
      </c>
      <c r="D45">
        <v>611.4</v>
      </c>
      <c r="E45">
        <v>360</v>
      </c>
      <c r="F45">
        <v>86.28</v>
      </c>
      <c r="G45">
        <v>2265</v>
      </c>
      <c r="H45">
        <v>10.75</v>
      </c>
      <c r="I45">
        <v>162.1</v>
      </c>
      <c r="J45">
        <v>20.38</v>
      </c>
      <c r="K45">
        <v>202.2</v>
      </c>
      <c r="L45">
        <v>330.8</v>
      </c>
      <c r="M45">
        <v>198.8</v>
      </c>
      <c r="N45">
        <v>78.400000000000006</v>
      </c>
      <c r="O45">
        <v>92</v>
      </c>
      <c r="P45">
        <v>69.540000000000006</v>
      </c>
      <c r="Q45">
        <v>208.4</v>
      </c>
      <c r="R45">
        <v>92.4</v>
      </c>
      <c r="S45">
        <v>29.12</v>
      </c>
      <c r="T45">
        <v>64.959999999999994</v>
      </c>
      <c r="U45">
        <v>42.18</v>
      </c>
      <c r="V45" s="6"/>
      <c r="W45" s="3">
        <v>46035</v>
      </c>
      <c r="X45">
        <v>71</v>
      </c>
      <c r="Y45">
        <v>6199.1902649900003</v>
      </c>
      <c r="Z45">
        <v>158.9</v>
      </c>
      <c r="AA45">
        <v>40.33</v>
      </c>
      <c r="AB45">
        <v>6214</v>
      </c>
      <c r="AC45">
        <v>834</v>
      </c>
      <c r="AD45">
        <v>102</v>
      </c>
      <c r="AE45">
        <v>207.5</v>
      </c>
      <c r="AF45">
        <v>894</v>
      </c>
      <c r="AG45">
        <v>4598</v>
      </c>
      <c r="AH45">
        <v>1212.8</v>
      </c>
      <c r="AI45">
        <v>362.4</v>
      </c>
      <c r="AJ45">
        <v>3.7919999999999998</v>
      </c>
      <c r="AK45">
        <v>369.5</v>
      </c>
      <c r="AL45">
        <v>585</v>
      </c>
      <c r="AM45">
        <v>821.5</v>
      </c>
      <c r="AN45">
        <v>4774.5</v>
      </c>
      <c r="AO45">
        <v>1153.5</v>
      </c>
      <c r="AP45">
        <v>477.35</v>
      </c>
      <c r="AQ45">
        <v>153.51223619999999</v>
      </c>
      <c r="AR45" cm="1">
        <f t="array" ref="AR45">SUMPRODUCT($B$162:$U$162,(B45:U45)/($B$11:$U$11))</f>
        <v>2718.1628464392802</v>
      </c>
      <c r="AS45">
        <f t="shared" si="0"/>
        <v>-2.8446797118290306</v>
      </c>
      <c r="AT45">
        <f t="shared" si="1"/>
        <v>-1.0454508796794437E-3</v>
      </c>
      <c r="AU45" cm="1">
        <f t="array" ref="AU45">SUMPRODUCT($X$162:$AQ$162,(X45:AQ45)/($X$11:$AQ$11))</f>
        <v>2592.7672742132304</v>
      </c>
      <c r="AV45">
        <f t="shared" si="2"/>
        <v>-17.843008991275383</v>
      </c>
      <c r="AW45">
        <f t="shared" si="3"/>
        <v>17.843008991275383</v>
      </c>
      <c r="AX45">
        <f t="shared" si="4"/>
        <v>14.998329279446352</v>
      </c>
    </row>
    <row r="46" spans="1:50" x14ac:dyDescent="0.2">
      <c r="A46" s="3">
        <v>46036</v>
      </c>
      <c r="B46">
        <v>22.43</v>
      </c>
      <c r="C46">
        <v>14.93</v>
      </c>
      <c r="D46">
        <v>590.79999999999995</v>
      </c>
      <c r="E46">
        <v>353.4</v>
      </c>
      <c r="F46">
        <v>89.26</v>
      </c>
      <c r="G46">
        <v>2219</v>
      </c>
      <c r="H46">
        <v>10.87</v>
      </c>
      <c r="I46">
        <v>156</v>
      </c>
      <c r="J46">
        <v>20.27</v>
      </c>
      <c r="K46">
        <v>195.5</v>
      </c>
      <c r="L46">
        <v>328.2</v>
      </c>
      <c r="M46">
        <v>195.9</v>
      </c>
      <c r="N46">
        <v>75.64</v>
      </c>
      <c r="O46">
        <v>90.7</v>
      </c>
      <c r="P46">
        <v>67.62</v>
      </c>
      <c r="Q46">
        <v>206.95</v>
      </c>
      <c r="R46">
        <v>92</v>
      </c>
      <c r="S46">
        <v>29.5</v>
      </c>
      <c r="T46">
        <v>61.26</v>
      </c>
      <c r="U46">
        <v>40.1</v>
      </c>
      <c r="V46" s="6"/>
      <c r="W46" s="3">
        <v>46036</v>
      </c>
      <c r="X46">
        <v>72.06</v>
      </c>
      <c r="Y46">
        <v>6193.1813568170001</v>
      </c>
      <c r="Z46">
        <v>161.6</v>
      </c>
      <c r="AA46">
        <v>40.83</v>
      </c>
      <c r="AB46">
        <v>6355</v>
      </c>
      <c r="AC46">
        <v>845.5</v>
      </c>
      <c r="AD46">
        <v>102.9</v>
      </c>
      <c r="AE46">
        <v>209</v>
      </c>
      <c r="AF46">
        <v>889.6</v>
      </c>
      <c r="AG46">
        <v>4612</v>
      </c>
      <c r="AH46">
        <v>1213</v>
      </c>
      <c r="AI46">
        <v>366.1</v>
      </c>
      <c r="AJ46">
        <v>3.8119999999999998</v>
      </c>
      <c r="AK46">
        <v>371.5</v>
      </c>
      <c r="AL46">
        <v>595.5</v>
      </c>
      <c r="AM46">
        <v>812</v>
      </c>
      <c r="AN46">
        <v>4831.5</v>
      </c>
      <c r="AO46">
        <v>1167</v>
      </c>
      <c r="AP46">
        <v>479.8</v>
      </c>
      <c r="AQ46">
        <v>150.95555160000001</v>
      </c>
      <c r="AR46" cm="1">
        <f t="array" ref="AR46">SUMPRODUCT($B$162:$U$162,(B46:U46)/($B$11:$U$11))</f>
        <v>2671.8397184856121</v>
      </c>
      <c r="AS46">
        <f t="shared" si="0"/>
        <v>-46.323127953668063</v>
      </c>
      <c r="AT46">
        <f t="shared" si="1"/>
        <v>-1.7042072374122141E-2</v>
      </c>
      <c r="AU46" cm="1">
        <f t="array" ref="AU46">SUMPRODUCT($X$162:$AQ$162,(X46:AQ46)/($X$11:$AQ$11))</f>
        <v>2617.9939232016609</v>
      </c>
      <c r="AV46">
        <f t="shared" si="2"/>
        <v>25.226648988430497</v>
      </c>
      <c r="AW46">
        <f t="shared" si="3"/>
        <v>-25.226648988430497</v>
      </c>
      <c r="AX46">
        <f t="shared" si="4"/>
        <v>-71.549776942098561</v>
      </c>
    </row>
    <row r="47" spans="1:50" x14ac:dyDescent="0.2">
      <c r="A47" s="3">
        <v>46037</v>
      </c>
      <c r="B47">
        <v>22.52</v>
      </c>
      <c r="C47">
        <v>14.83</v>
      </c>
      <c r="D47">
        <v>605.4</v>
      </c>
      <c r="E47">
        <v>363.9</v>
      </c>
      <c r="F47">
        <v>93.6</v>
      </c>
      <c r="G47">
        <v>2218</v>
      </c>
      <c r="H47">
        <v>10.734999999999999</v>
      </c>
      <c r="I47">
        <v>159</v>
      </c>
      <c r="J47">
        <v>20.55</v>
      </c>
      <c r="K47">
        <v>202.2</v>
      </c>
      <c r="L47">
        <v>335.6</v>
      </c>
      <c r="M47">
        <v>200</v>
      </c>
      <c r="N47">
        <v>77.319999999999993</v>
      </c>
      <c r="O47">
        <v>90</v>
      </c>
      <c r="P47">
        <v>68.84</v>
      </c>
      <c r="Q47">
        <v>214.1</v>
      </c>
      <c r="R47">
        <v>92.26</v>
      </c>
      <c r="S47">
        <v>29.86</v>
      </c>
      <c r="T47">
        <v>60.95</v>
      </c>
      <c r="U47">
        <v>40.590000000000003</v>
      </c>
      <c r="V47" s="6"/>
      <c r="W47" s="3">
        <v>46037</v>
      </c>
      <c r="X47">
        <v>74.239999999999995</v>
      </c>
      <c r="Y47">
        <v>6155.1249383889999</v>
      </c>
      <c r="Z47">
        <v>157.80000000000001</v>
      </c>
      <c r="AA47">
        <v>41.64</v>
      </c>
      <c r="AB47">
        <v>6468</v>
      </c>
      <c r="AC47">
        <v>862.5</v>
      </c>
      <c r="AD47">
        <v>104.5</v>
      </c>
      <c r="AE47">
        <v>212.5</v>
      </c>
      <c r="AF47">
        <v>894.2</v>
      </c>
      <c r="AG47">
        <v>4620</v>
      </c>
      <c r="AH47">
        <v>1236.8</v>
      </c>
      <c r="AI47">
        <v>362.2</v>
      </c>
      <c r="AJ47">
        <v>3.7970000000000002</v>
      </c>
      <c r="AK47">
        <v>377.5</v>
      </c>
      <c r="AL47">
        <v>595</v>
      </c>
      <c r="AM47">
        <v>810</v>
      </c>
      <c r="AN47">
        <v>4780.5</v>
      </c>
      <c r="AO47">
        <v>1181</v>
      </c>
      <c r="AP47">
        <v>484.3</v>
      </c>
      <c r="AQ47">
        <v>152.6785347</v>
      </c>
      <c r="AR47" cm="1">
        <f t="array" ref="AR47">SUMPRODUCT($B$162:$U$162,(B47:U47)/($B$11:$U$11))</f>
        <v>2698.7459772181601</v>
      </c>
      <c r="AS47">
        <f t="shared" si="0"/>
        <v>26.90625873254794</v>
      </c>
      <c r="AT47">
        <f t="shared" si="1"/>
        <v>1.0070311683141764E-2</v>
      </c>
      <c r="AU47" cm="1">
        <f t="array" ref="AU47">SUMPRODUCT($X$162:$AQ$162,(X47:AQ47)/($X$11:$AQ$11))</f>
        <v>2630.9233612805851</v>
      </c>
      <c r="AV47">
        <f t="shared" si="2"/>
        <v>12.92943807892425</v>
      </c>
      <c r="AW47">
        <f t="shared" si="3"/>
        <v>-12.92943807892425</v>
      </c>
      <c r="AX47">
        <f t="shared" si="4"/>
        <v>13.97682065362369</v>
      </c>
    </row>
    <row r="48" spans="1:50" x14ac:dyDescent="0.2">
      <c r="A48" s="3">
        <v>46038</v>
      </c>
      <c r="B48">
        <v>22.84</v>
      </c>
      <c r="C48">
        <v>14.95</v>
      </c>
      <c r="D48">
        <v>600.6</v>
      </c>
      <c r="E48">
        <v>367.1</v>
      </c>
      <c r="F48">
        <v>95.8</v>
      </c>
      <c r="G48">
        <v>2164</v>
      </c>
      <c r="H48">
        <v>10.585000000000001</v>
      </c>
      <c r="I48">
        <v>159.6</v>
      </c>
      <c r="J48">
        <v>20.2</v>
      </c>
      <c r="K48">
        <v>199.4</v>
      </c>
      <c r="L48">
        <v>334.8</v>
      </c>
      <c r="M48">
        <v>200.8</v>
      </c>
      <c r="N48">
        <v>75.739999999999995</v>
      </c>
      <c r="O48">
        <v>92.85</v>
      </c>
      <c r="P48">
        <v>68.2</v>
      </c>
      <c r="Q48">
        <v>216.1</v>
      </c>
      <c r="R48">
        <v>91.56</v>
      </c>
      <c r="S48">
        <v>29.91</v>
      </c>
      <c r="T48">
        <v>62.28</v>
      </c>
      <c r="U48">
        <v>40.53</v>
      </c>
      <c r="V48" s="6"/>
      <c r="W48" s="3">
        <v>46038</v>
      </c>
      <c r="X48">
        <v>72.099999999999994</v>
      </c>
      <c r="Y48">
        <v>6125.0803975250001</v>
      </c>
      <c r="Z48">
        <v>159.1</v>
      </c>
      <c r="AA48">
        <v>41.16</v>
      </c>
      <c r="AB48">
        <v>6347</v>
      </c>
      <c r="AC48">
        <v>860</v>
      </c>
      <c r="AD48">
        <v>104.5</v>
      </c>
      <c r="AE48">
        <v>213</v>
      </c>
      <c r="AF48">
        <v>889.4</v>
      </c>
      <c r="AG48">
        <v>4582</v>
      </c>
      <c r="AH48">
        <v>1232</v>
      </c>
      <c r="AI48">
        <v>363.9</v>
      </c>
      <c r="AJ48">
        <v>3.8029999999999999</v>
      </c>
      <c r="AK48" s="2">
        <v>379.5</v>
      </c>
      <c r="AL48">
        <v>595</v>
      </c>
      <c r="AM48">
        <v>832.5</v>
      </c>
      <c r="AN48">
        <v>4761.5</v>
      </c>
      <c r="AO48">
        <v>1201.5</v>
      </c>
      <c r="AP48" s="2">
        <v>488.95</v>
      </c>
      <c r="AQ48">
        <v>151.62251280000001</v>
      </c>
      <c r="AR48" cm="1">
        <f t="array" ref="AR48">SUMPRODUCT($B$162:$U$162,(B48:U48)/($B$11:$U$11))</f>
        <v>2715.9577791607735</v>
      </c>
      <c r="AS48">
        <f t="shared" si="0"/>
        <v>17.21180194261342</v>
      </c>
      <c r="AT48">
        <f t="shared" si="1"/>
        <v>6.3777036030472356E-3</v>
      </c>
      <c r="AU48" cm="1">
        <f t="array" ref="AU48">SUMPRODUCT($X$162:$AQ$162,(X48:AQ48)/($X$11:$AQ$11))</f>
        <v>2625.9049042488</v>
      </c>
      <c r="AV48">
        <f t="shared" si="2"/>
        <v>-5.0184570317851467</v>
      </c>
      <c r="AW48">
        <f t="shared" si="3"/>
        <v>5.0184570317851467</v>
      </c>
      <c r="AX48">
        <f t="shared" si="4"/>
        <v>22.230258974398566</v>
      </c>
    </row>
    <row r="49" spans="1:50" x14ac:dyDescent="0.2">
      <c r="A49" s="3">
        <v>46041</v>
      </c>
      <c r="B49">
        <v>22.58</v>
      </c>
      <c r="C49">
        <v>14.8</v>
      </c>
      <c r="D49">
        <v>590.20000000000005</v>
      </c>
      <c r="E49">
        <v>362.7</v>
      </c>
      <c r="F49" s="2">
        <v>93.82</v>
      </c>
      <c r="G49">
        <v>2105</v>
      </c>
      <c r="H49">
        <v>10.185</v>
      </c>
      <c r="I49">
        <v>154.1</v>
      </c>
      <c r="J49">
        <v>19.7</v>
      </c>
      <c r="K49">
        <v>193</v>
      </c>
      <c r="L49">
        <v>319.39999999999998</v>
      </c>
      <c r="M49">
        <v>197</v>
      </c>
      <c r="N49">
        <v>74.84</v>
      </c>
      <c r="O49">
        <v>92.25</v>
      </c>
      <c r="P49">
        <v>67.36</v>
      </c>
      <c r="Q49" s="2">
        <v>205.8</v>
      </c>
      <c r="R49">
        <v>90.86</v>
      </c>
      <c r="S49" s="2">
        <v>29.01</v>
      </c>
      <c r="T49">
        <v>61.99</v>
      </c>
      <c r="U49">
        <v>40.46</v>
      </c>
      <c r="V49" s="6"/>
      <c r="W49" s="3">
        <v>46041</v>
      </c>
      <c r="X49">
        <v>70.959999999999994</v>
      </c>
      <c r="Y49">
        <v>6125.0803975250001</v>
      </c>
      <c r="Z49">
        <v>154.80000000000001</v>
      </c>
      <c r="AA49">
        <v>40.06</v>
      </c>
      <c r="AB49">
        <v>6339</v>
      </c>
      <c r="AC49">
        <v>845</v>
      </c>
      <c r="AD49">
        <v>104.5</v>
      </c>
      <c r="AE49">
        <v>215</v>
      </c>
      <c r="AF49">
        <v>872.4</v>
      </c>
      <c r="AG49">
        <v>4554</v>
      </c>
      <c r="AH49">
        <v>1238.8</v>
      </c>
      <c r="AI49">
        <v>361.1</v>
      </c>
      <c r="AJ49">
        <v>3.8879999999999999</v>
      </c>
      <c r="AK49">
        <v>380.5</v>
      </c>
      <c r="AL49">
        <v>602</v>
      </c>
      <c r="AM49">
        <v>834</v>
      </c>
      <c r="AN49">
        <v>4756</v>
      </c>
      <c r="AO49">
        <v>1196</v>
      </c>
      <c r="AP49">
        <v>483</v>
      </c>
      <c r="AQ49">
        <v>152.6785347</v>
      </c>
      <c r="AR49" cm="1">
        <f t="array" ref="AR49">SUMPRODUCT($B$162:$U$162,(B49:U49)/($B$11:$U$11))</f>
        <v>2666.3510378867559</v>
      </c>
      <c r="AS49">
        <f t="shared" si="0"/>
        <v>-49.606741274017622</v>
      </c>
      <c r="AT49">
        <f t="shared" si="1"/>
        <v>-1.8264916212852866E-2</v>
      </c>
      <c r="AU49" cm="1">
        <f t="array" ref="AU49">SUMPRODUCT($X$162:$AQ$162,(X49:AQ49)/($X$11:$AQ$11))</f>
        <v>2612.8654437086752</v>
      </c>
      <c r="AV49">
        <f t="shared" si="2"/>
        <v>-13.039460540124765</v>
      </c>
      <c r="AW49">
        <f t="shared" si="3"/>
        <v>13.039460540124765</v>
      </c>
      <c r="AX49">
        <f t="shared" si="4"/>
        <v>-36.567280733892858</v>
      </c>
    </row>
    <row r="50" spans="1:50" x14ac:dyDescent="0.2">
      <c r="A50" s="3">
        <v>46042</v>
      </c>
      <c r="B50">
        <v>22.25</v>
      </c>
      <c r="C50">
        <v>14.49</v>
      </c>
      <c r="D50">
        <v>592.79999999999995</v>
      </c>
      <c r="E50">
        <v>357.3</v>
      </c>
      <c r="F50">
        <v>94.12</v>
      </c>
      <c r="G50">
        <v>2114</v>
      </c>
      <c r="H50">
        <v>9.8919999999999995</v>
      </c>
      <c r="I50">
        <v>149.30000000000001</v>
      </c>
      <c r="J50">
        <v>19.84</v>
      </c>
      <c r="K50">
        <v>196.2</v>
      </c>
      <c r="L50">
        <v>319</v>
      </c>
      <c r="M50">
        <v>191.2</v>
      </c>
      <c r="N50">
        <v>72.48</v>
      </c>
      <c r="O50">
        <v>89.75</v>
      </c>
      <c r="P50">
        <v>65.459999999999994</v>
      </c>
      <c r="Q50">
        <v>212.45</v>
      </c>
      <c r="R50">
        <v>90.12</v>
      </c>
      <c r="S50">
        <v>28.44</v>
      </c>
      <c r="T50">
        <v>60.74</v>
      </c>
      <c r="U50">
        <v>40.11</v>
      </c>
      <c r="V50" s="6"/>
      <c r="W50" s="3">
        <v>46042</v>
      </c>
      <c r="X50">
        <v>69.400000000000006</v>
      </c>
      <c r="Y50">
        <v>6115.0655505699997</v>
      </c>
      <c r="Z50">
        <v>153.80000000000001</v>
      </c>
      <c r="AA50">
        <v>40</v>
      </c>
      <c r="AB50">
        <v>6314</v>
      </c>
      <c r="AC50">
        <v>844.5</v>
      </c>
      <c r="AD50">
        <v>103.5</v>
      </c>
      <c r="AE50">
        <v>214</v>
      </c>
      <c r="AF50">
        <v>912.2</v>
      </c>
      <c r="AG50">
        <v>4522</v>
      </c>
      <c r="AH50">
        <v>1229</v>
      </c>
      <c r="AI50">
        <v>372.9</v>
      </c>
      <c r="AJ50">
        <v>3.899</v>
      </c>
      <c r="AK50">
        <v>379.5</v>
      </c>
      <c r="AL50">
        <v>599</v>
      </c>
      <c r="AM50">
        <v>967.5</v>
      </c>
      <c r="AN50">
        <v>4775</v>
      </c>
      <c r="AO50">
        <v>1190.5</v>
      </c>
      <c r="AP50">
        <v>479.6</v>
      </c>
      <c r="AQ50">
        <v>157.29168300000001</v>
      </c>
      <c r="AR50" cm="1">
        <f t="array" ref="AR50">SUMPRODUCT($B$162:$U$162,(B50:U50)/($B$11:$U$11))</f>
        <v>2631.6105040212478</v>
      </c>
      <c r="AS50">
        <f t="shared" si="0"/>
        <v>-34.740533865508041</v>
      </c>
      <c r="AT50">
        <f t="shared" si="1"/>
        <v>-1.3029242351015435E-2</v>
      </c>
      <c r="AU50" cm="1">
        <f t="array" ref="AU50">SUMPRODUCT($X$162:$AQ$162,(X50:AQ50)/($X$11:$AQ$11))</f>
        <v>2618.0028398759555</v>
      </c>
      <c r="AV50">
        <f t="shared" si="2"/>
        <v>5.1373961672802579</v>
      </c>
      <c r="AW50">
        <f t="shared" si="3"/>
        <v>-5.1373961672802579</v>
      </c>
      <c r="AX50">
        <f t="shared" si="4"/>
        <v>-39.877930032788299</v>
      </c>
    </row>
    <row r="51" spans="1:50" x14ac:dyDescent="0.2">
      <c r="A51" s="3">
        <v>46043</v>
      </c>
      <c r="B51">
        <v>22.03</v>
      </c>
      <c r="C51">
        <v>14.52</v>
      </c>
      <c r="D51">
        <v>585.79999999999995</v>
      </c>
      <c r="E51">
        <v>361</v>
      </c>
      <c r="F51">
        <v>94.08</v>
      </c>
      <c r="G51">
        <v>2109</v>
      </c>
      <c r="H51">
        <v>10.17</v>
      </c>
      <c r="I51">
        <v>146.80000000000001</v>
      </c>
      <c r="J51">
        <v>20.36</v>
      </c>
      <c r="K51">
        <v>195.4</v>
      </c>
      <c r="L51">
        <v>319</v>
      </c>
      <c r="M51">
        <v>190</v>
      </c>
      <c r="N51">
        <v>74.680000000000007</v>
      </c>
      <c r="O51">
        <v>87.05</v>
      </c>
      <c r="P51">
        <v>65.459999999999994</v>
      </c>
      <c r="Q51">
        <v>208.75</v>
      </c>
      <c r="R51">
        <v>89.28</v>
      </c>
      <c r="S51">
        <v>28.97</v>
      </c>
      <c r="T51">
        <v>58.72</v>
      </c>
      <c r="U51">
        <v>39.69</v>
      </c>
      <c r="V51" s="6"/>
      <c r="W51" s="3">
        <v>46043</v>
      </c>
      <c r="X51">
        <v>72.98</v>
      </c>
      <c r="Y51">
        <v>6048.9675606689998</v>
      </c>
      <c r="Z51">
        <v>153.30000000000001</v>
      </c>
      <c r="AA51">
        <v>41.38</v>
      </c>
      <c r="AB51">
        <v>6641</v>
      </c>
      <c r="AC51">
        <v>851.5</v>
      </c>
      <c r="AD51">
        <v>103.5</v>
      </c>
      <c r="AE51">
        <v>215</v>
      </c>
      <c r="AF51">
        <v>928</v>
      </c>
      <c r="AG51">
        <v>4538</v>
      </c>
      <c r="AH51">
        <v>1231</v>
      </c>
      <c r="AI51">
        <v>377.2</v>
      </c>
      <c r="AJ51">
        <v>3.8069999999999999</v>
      </c>
      <c r="AK51">
        <v>380.5</v>
      </c>
      <c r="AL51">
        <v>597</v>
      </c>
      <c r="AM51">
        <v>980.5</v>
      </c>
      <c r="AN51">
        <v>4785</v>
      </c>
      <c r="AO51">
        <v>1190.5</v>
      </c>
      <c r="AP51">
        <v>475.6</v>
      </c>
      <c r="AQ51">
        <v>157.12494269999999</v>
      </c>
      <c r="AR51" cm="1">
        <f t="array" ref="AR51">SUMPRODUCT($B$162:$U$162,(B51:U51)/($B$11:$U$11))</f>
        <v>2617.1572354033278</v>
      </c>
      <c r="AS51">
        <f t="shared" si="0"/>
        <v>-14.453268617920003</v>
      </c>
      <c r="AT51">
        <f t="shared" si="1"/>
        <v>-5.4921762152243536E-3</v>
      </c>
      <c r="AU51" cm="1">
        <f t="array" ref="AU51">SUMPRODUCT($X$162:$AQ$162,(X51:AQ51)/($X$11:$AQ$11))</f>
        <v>2639.7759147840852</v>
      </c>
      <c r="AV51">
        <f t="shared" si="2"/>
        <v>21.773074908129729</v>
      </c>
      <c r="AW51">
        <f t="shared" si="3"/>
        <v>-21.773074908129729</v>
      </c>
      <c r="AX51">
        <f t="shared" si="4"/>
        <v>-36.226343526049732</v>
      </c>
    </row>
    <row r="52" spans="1:50" x14ac:dyDescent="0.2">
      <c r="A52" s="3">
        <v>46044</v>
      </c>
      <c r="B52">
        <v>22.29</v>
      </c>
      <c r="C52">
        <v>14.46</v>
      </c>
      <c r="D52">
        <v>590</v>
      </c>
      <c r="E52">
        <v>374.7</v>
      </c>
      <c r="F52">
        <v>96.62</v>
      </c>
      <c r="G52">
        <v>2140</v>
      </c>
      <c r="H52">
        <v>10.515000000000001</v>
      </c>
      <c r="I52">
        <v>148.69999999999999</v>
      </c>
      <c r="J52">
        <v>20.83</v>
      </c>
      <c r="K52">
        <v>196.5</v>
      </c>
      <c r="L52">
        <v>321</v>
      </c>
      <c r="M52">
        <v>193.1</v>
      </c>
      <c r="N52">
        <v>78.08</v>
      </c>
      <c r="O52">
        <v>83.6</v>
      </c>
      <c r="P52">
        <v>66.459999999999994</v>
      </c>
      <c r="Q52">
        <v>208.65</v>
      </c>
      <c r="R52">
        <v>91.12</v>
      </c>
      <c r="S52">
        <v>29.68</v>
      </c>
      <c r="T52">
        <v>57.5</v>
      </c>
      <c r="U52">
        <v>40.25</v>
      </c>
      <c r="V52" s="6"/>
      <c r="W52" s="3">
        <v>46044</v>
      </c>
      <c r="X52">
        <v>73.319999999999993</v>
      </c>
      <c r="Y52">
        <v>6123.077428134</v>
      </c>
      <c r="Z52">
        <v>152</v>
      </c>
      <c r="AA52">
        <v>42</v>
      </c>
      <c r="AB52">
        <v>6486</v>
      </c>
      <c r="AC52">
        <v>862.5</v>
      </c>
      <c r="AD52">
        <v>103.9</v>
      </c>
      <c r="AE52">
        <v>217.5</v>
      </c>
      <c r="AF52">
        <v>937.6</v>
      </c>
      <c r="AG52">
        <v>4564</v>
      </c>
      <c r="AH52">
        <v>1244.2</v>
      </c>
      <c r="AI52">
        <v>378.1</v>
      </c>
      <c r="AJ52">
        <v>3.8620000000000001</v>
      </c>
      <c r="AK52">
        <v>385.5</v>
      </c>
      <c r="AL52">
        <v>602</v>
      </c>
      <c r="AM52">
        <v>974.5</v>
      </c>
      <c r="AN52">
        <v>4816</v>
      </c>
      <c r="AO52">
        <v>1186.5</v>
      </c>
      <c r="AP52">
        <v>485.45</v>
      </c>
      <c r="AQ52">
        <v>158.95908600000001</v>
      </c>
      <c r="AR52" cm="1">
        <f t="array" ref="AR52">SUMPRODUCT($B$162:$U$162,(B52:U52)/($B$11:$U$11))</f>
        <v>2635.4798471236491</v>
      </c>
      <c r="AS52">
        <f t="shared" si="0"/>
        <v>18.32261172032122</v>
      </c>
      <c r="AT52">
        <f t="shared" si="1"/>
        <v>7.0009594656614826E-3</v>
      </c>
      <c r="AU52" cm="1">
        <f t="array" ref="AU52">SUMPRODUCT($X$162:$AQ$162,(X52:AQ52)/($X$11:$AQ$11))</f>
        <v>2654.2158035618172</v>
      </c>
      <c r="AV52">
        <f t="shared" si="2"/>
        <v>14.439888777731994</v>
      </c>
      <c r="AW52">
        <f t="shared" si="3"/>
        <v>-14.439888777731994</v>
      </c>
      <c r="AX52">
        <f t="shared" si="4"/>
        <v>3.8827229425892256</v>
      </c>
    </row>
    <row r="53" spans="1:50" x14ac:dyDescent="0.2">
      <c r="A53" s="3">
        <v>46045</v>
      </c>
      <c r="B53">
        <v>21.83</v>
      </c>
      <c r="C53">
        <v>14.46</v>
      </c>
      <c r="D53">
        <v>590.4</v>
      </c>
      <c r="E53">
        <v>366.1</v>
      </c>
      <c r="F53">
        <v>97.36</v>
      </c>
      <c r="G53">
        <v>2097</v>
      </c>
      <c r="H53">
        <v>10.4</v>
      </c>
      <c r="I53">
        <v>155.6</v>
      </c>
      <c r="J53">
        <v>20.72</v>
      </c>
      <c r="K53">
        <v>195</v>
      </c>
      <c r="L53">
        <v>317.2</v>
      </c>
      <c r="M53">
        <v>194.5</v>
      </c>
      <c r="N53">
        <v>77.78</v>
      </c>
      <c r="O53">
        <v>87.55</v>
      </c>
      <c r="P53">
        <v>66.22</v>
      </c>
      <c r="Q53">
        <v>211.55</v>
      </c>
      <c r="R53">
        <v>90.96</v>
      </c>
      <c r="S53">
        <v>29.39</v>
      </c>
      <c r="T53">
        <v>59.45</v>
      </c>
      <c r="U53">
        <v>38.590000000000003</v>
      </c>
      <c r="V53" s="6"/>
      <c r="W53" s="3">
        <v>46045</v>
      </c>
      <c r="X53">
        <v>72.58</v>
      </c>
      <c r="Y53">
        <v>6026.9348973690003</v>
      </c>
      <c r="Z53">
        <v>149.80000000000001</v>
      </c>
      <c r="AA53">
        <v>41.34</v>
      </c>
      <c r="AB53">
        <v>6576</v>
      </c>
      <c r="AC53">
        <v>856</v>
      </c>
      <c r="AD53">
        <v>104.3</v>
      </c>
      <c r="AE53">
        <v>218.5</v>
      </c>
      <c r="AF53">
        <v>913.8</v>
      </c>
      <c r="AG53">
        <v>4534</v>
      </c>
      <c r="AH53">
        <v>1231</v>
      </c>
      <c r="AI53">
        <v>379.8</v>
      </c>
      <c r="AJ53">
        <v>3.8879999999999999</v>
      </c>
      <c r="AK53">
        <v>386</v>
      </c>
      <c r="AL53">
        <v>608.5</v>
      </c>
      <c r="AM53">
        <v>975</v>
      </c>
      <c r="AN53">
        <v>4864</v>
      </c>
      <c r="AO53">
        <v>1191.5</v>
      </c>
      <c r="AP53">
        <v>480.3</v>
      </c>
      <c r="AQ53">
        <v>157.01378249999999</v>
      </c>
      <c r="AR53" cm="1">
        <f t="array" ref="AR53">SUMPRODUCT($B$162:$U$162,(B53:U53)/($B$11:$U$11))</f>
        <v>2645.5764140332153</v>
      </c>
      <c r="AS53">
        <f t="shared" si="0"/>
        <v>10.096566909566263</v>
      </c>
      <c r="AT53">
        <f t="shared" si="1"/>
        <v>3.8310165492578818E-3</v>
      </c>
      <c r="AU53" cm="1">
        <f t="array" ref="AU53">SUMPRODUCT($X$162:$AQ$162,(X53:AQ53)/($X$11:$AQ$11))</f>
        <v>2649.0226237340303</v>
      </c>
      <c r="AV53">
        <f t="shared" si="2"/>
        <v>-5.1931798277869348</v>
      </c>
      <c r="AW53">
        <f t="shared" si="3"/>
        <v>5.1931798277869348</v>
      </c>
      <c r="AX53">
        <f t="shared" si="4"/>
        <v>15.289746737353198</v>
      </c>
    </row>
    <row r="54" spans="1:50" x14ac:dyDescent="0.2">
      <c r="A54" s="3">
        <v>46048</v>
      </c>
      <c r="B54">
        <v>21.93</v>
      </c>
      <c r="C54">
        <v>14.35</v>
      </c>
      <c r="D54">
        <v>590.79999999999995</v>
      </c>
      <c r="E54">
        <v>352.8</v>
      </c>
      <c r="F54">
        <v>97.2</v>
      </c>
      <c r="G54">
        <v>2070</v>
      </c>
      <c r="H54">
        <v>10.47</v>
      </c>
      <c r="I54">
        <v>141</v>
      </c>
      <c r="J54">
        <v>21.99</v>
      </c>
      <c r="K54">
        <v>193.2</v>
      </c>
      <c r="L54">
        <v>312.39999999999998</v>
      </c>
      <c r="M54">
        <v>195</v>
      </c>
      <c r="N54">
        <v>77.44</v>
      </c>
      <c r="O54">
        <v>84.55</v>
      </c>
      <c r="P54">
        <v>65.760000000000005</v>
      </c>
      <c r="Q54">
        <v>204.8</v>
      </c>
      <c r="R54">
        <v>91.82</v>
      </c>
      <c r="S54">
        <v>29.16</v>
      </c>
      <c r="T54">
        <v>57.48</v>
      </c>
      <c r="U54">
        <v>38.9</v>
      </c>
      <c r="V54" s="6"/>
      <c r="W54" s="3">
        <v>46048</v>
      </c>
      <c r="X54">
        <v>72.680000000000007</v>
      </c>
      <c r="Y54">
        <v>5962.839876858</v>
      </c>
      <c r="Z54">
        <v>149.4</v>
      </c>
      <c r="AA54">
        <v>40.79</v>
      </c>
      <c r="AB54">
        <v>6676</v>
      </c>
      <c r="AC54">
        <v>845.5</v>
      </c>
      <c r="AD54">
        <v>104.6</v>
      </c>
      <c r="AE54">
        <v>218</v>
      </c>
      <c r="AF54">
        <v>908</v>
      </c>
      <c r="AG54">
        <v>4536</v>
      </c>
      <c r="AH54">
        <v>1242.2</v>
      </c>
      <c r="AI54">
        <v>377.2</v>
      </c>
      <c r="AJ54">
        <v>3.9369999999999998</v>
      </c>
      <c r="AK54">
        <v>386</v>
      </c>
      <c r="AL54">
        <v>605.5</v>
      </c>
      <c r="AM54">
        <v>951</v>
      </c>
      <c r="AN54">
        <v>4861.5</v>
      </c>
      <c r="AO54">
        <v>1204</v>
      </c>
      <c r="AP54">
        <v>480.75</v>
      </c>
      <c r="AQ54">
        <v>151.17787200000001</v>
      </c>
      <c r="AR54" cm="1">
        <f t="array" ref="AR54">SUMPRODUCT($B$162:$U$162,(B54:U54)/($B$11:$U$11))</f>
        <v>2614.2293783938576</v>
      </c>
      <c r="AS54">
        <f t="shared" si="0"/>
        <v>-31.347035639357728</v>
      </c>
      <c r="AT54">
        <f t="shared" si="1"/>
        <v>-1.1848849072391254E-2</v>
      </c>
      <c r="AU54" cm="1">
        <f t="array" ref="AU54">SUMPRODUCT($X$162:$AQ$162,(X54:AQ54)/($X$11:$AQ$11))</f>
        <v>2643.6310454685895</v>
      </c>
      <c r="AV54">
        <f t="shared" si="2"/>
        <v>-5.3915782654407849</v>
      </c>
      <c r="AW54">
        <f t="shared" si="3"/>
        <v>5.3915782654407849</v>
      </c>
      <c r="AX54">
        <f t="shared" si="4"/>
        <v>-25.955457373916943</v>
      </c>
    </row>
    <row r="55" spans="1:50" x14ac:dyDescent="0.2">
      <c r="A55" s="3">
        <v>46049</v>
      </c>
      <c r="B55">
        <v>22.25</v>
      </c>
      <c r="C55">
        <v>14.38</v>
      </c>
      <c r="D55">
        <v>588</v>
      </c>
      <c r="E55">
        <v>350.2</v>
      </c>
      <c r="F55">
        <v>99.48</v>
      </c>
      <c r="G55">
        <v>2062</v>
      </c>
      <c r="H55">
        <v>10.425000000000001</v>
      </c>
      <c r="I55">
        <v>138.4</v>
      </c>
      <c r="J55">
        <v>21.68</v>
      </c>
      <c r="K55">
        <v>194.3</v>
      </c>
      <c r="L55">
        <v>314.39999999999998</v>
      </c>
      <c r="M55">
        <v>191.2</v>
      </c>
      <c r="N55">
        <v>77.180000000000007</v>
      </c>
      <c r="O55">
        <v>87</v>
      </c>
      <c r="P55">
        <v>64.760000000000005</v>
      </c>
      <c r="Q55">
        <v>207.25</v>
      </c>
      <c r="R55">
        <v>92.58</v>
      </c>
      <c r="S55">
        <v>29.18</v>
      </c>
      <c r="T55">
        <v>58.31</v>
      </c>
      <c r="U55">
        <v>38.19</v>
      </c>
      <c r="V55" s="6"/>
      <c r="W55" s="3">
        <v>46049</v>
      </c>
      <c r="X55">
        <v>71.28</v>
      </c>
      <c r="Y55">
        <v>5970.8517544220003</v>
      </c>
      <c r="Z55">
        <v>148</v>
      </c>
      <c r="AA55">
        <v>40.51</v>
      </c>
      <c r="AB55">
        <v>6728</v>
      </c>
      <c r="AC55">
        <v>839.5</v>
      </c>
      <c r="AD55">
        <v>105.3</v>
      </c>
      <c r="AE55">
        <v>218.5</v>
      </c>
      <c r="AF55">
        <v>893.2</v>
      </c>
      <c r="AG55">
        <v>4482</v>
      </c>
      <c r="AH55">
        <v>1277.2</v>
      </c>
      <c r="AI55">
        <v>376.6</v>
      </c>
      <c r="AJ55">
        <v>4.0049999999999999</v>
      </c>
      <c r="AK55">
        <v>388</v>
      </c>
      <c r="AL55">
        <v>629.5</v>
      </c>
      <c r="AM55">
        <v>951</v>
      </c>
      <c r="AN55">
        <v>4864.5</v>
      </c>
      <c r="AO55">
        <v>1222.5</v>
      </c>
      <c r="AP55">
        <v>489.8</v>
      </c>
      <c r="AQ55">
        <v>156.34682129999999</v>
      </c>
      <c r="AR55" cm="1">
        <f t="array" ref="AR55">SUMPRODUCT($B$162:$U$162,(B55:U55)/($B$11:$U$11))</f>
        <v>2621.7641407907313</v>
      </c>
      <c r="AS55">
        <f t="shared" si="0"/>
        <v>7.5347623968737025</v>
      </c>
      <c r="AT55">
        <f t="shared" si="1"/>
        <v>2.8822116602111869E-3</v>
      </c>
      <c r="AU55" cm="1">
        <f t="array" ref="AU55">SUMPRODUCT($X$162:$AQ$162,(X55:AQ55)/($X$11:$AQ$11))</f>
        <v>2651.7940039624295</v>
      </c>
      <c r="AV55">
        <f t="shared" si="2"/>
        <v>8.1629584938400512</v>
      </c>
      <c r="AW55">
        <f t="shared" si="3"/>
        <v>-8.1629584938400512</v>
      </c>
      <c r="AX55">
        <f t="shared" si="4"/>
        <v>-0.6281960969663487</v>
      </c>
    </row>
    <row r="56" spans="1:50" x14ac:dyDescent="0.2">
      <c r="A56" s="3">
        <v>46050</v>
      </c>
      <c r="B56">
        <v>22.3</v>
      </c>
      <c r="C56">
        <v>14.52</v>
      </c>
      <c r="D56">
        <v>589.4</v>
      </c>
      <c r="E56">
        <v>349.2</v>
      </c>
      <c r="F56">
        <v>97.8</v>
      </c>
      <c r="G56">
        <v>2069</v>
      </c>
      <c r="H56">
        <v>10.39</v>
      </c>
      <c r="I56">
        <v>147.69999999999999</v>
      </c>
      <c r="J56">
        <v>21.36</v>
      </c>
      <c r="K56">
        <v>196.6</v>
      </c>
      <c r="L56">
        <v>311.8</v>
      </c>
      <c r="M56">
        <v>195</v>
      </c>
      <c r="N56">
        <v>75.22</v>
      </c>
      <c r="O56">
        <v>86.6</v>
      </c>
      <c r="P56">
        <v>65.959999999999994</v>
      </c>
      <c r="Q56">
        <v>208.75</v>
      </c>
      <c r="R56">
        <v>93.08</v>
      </c>
      <c r="S56">
        <v>29.35</v>
      </c>
      <c r="T56">
        <v>57.83</v>
      </c>
      <c r="U56">
        <v>38.729999999999997</v>
      </c>
      <c r="V56" s="6"/>
      <c r="W56" s="3">
        <v>46050</v>
      </c>
      <c r="X56">
        <v>72.260000000000005</v>
      </c>
      <c r="Y56">
        <v>5948.8190911210004</v>
      </c>
      <c r="Z56">
        <v>144.30000000000001</v>
      </c>
      <c r="AA56">
        <v>41.86</v>
      </c>
      <c r="AB56">
        <v>6751</v>
      </c>
      <c r="AC56">
        <v>844.5</v>
      </c>
      <c r="AD56">
        <v>106</v>
      </c>
      <c r="AE56">
        <v>221.5</v>
      </c>
      <c r="AF56">
        <v>886.4</v>
      </c>
      <c r="AG56">
        <v>4492</v>
      </c>
      <c r="AH56">
        <v>1258.5999999999999</v>
      </c>
      <c r="AI56">
        <v>372.5</v>
      </c>
      <c r="AJ56">
        <v>3.98</v>
      </c>
      <c r="AK56">
        <v>385</v>
      </c>
      <c r="AL56">
        <v>633</v>
      </c>
      <c r="AM56">
        <v>952</v>
      </c>
      <c r="AN56">
        <v>4815.5</v>
      </c>
      <c r="AO56">
        <v>1230.5</v>
      </c>
      <c r="AP56">
        <v>479.8</v>
      </c>
      <c r="AQ56">
        <v>159.1258263</v>
      </c>
      <c r="AR56" cm="1">
        <f t="array" ref="AR56">SUMPRODUCT($B$162:$U$162,(B56:U56)/($B$11:$U$11))</f>
        <v>2632.531485938151</v>
      </c>
      <c r="AS56">
        <f t="shared" si="0"/>
        <v>10.767345147419746</v>
      </c>
      <c r="AT56">
        <f t="shared" si="1"/>
        <v>4.1069083903833015E-3</v>
      </c>
      <c r="AU56" cm="1">
        <f t="array" ref="AU56">SUMPRODUCT($X$162:$AQ$162,(X56:AQ56)/($X$11:$AQ$11))</f>
        <v>2651.9321525750684</v>
      </c>
      <c r="AV56">
        <f t="shared" si="2"/>
        <v>0.13814861263881539</v>
      </c>
      <c r="AW56">
        <f t="shared" si="3"/>
        <v>-0.13814861263881539</v>
      </c>
      <c r="AX56">
        <f t="shared" si="4"/>
        <v>10.629196534780931</v>
      </c>
    </row>
    <row r="57" spans="1:50" x14ac:dyDescent="0.2">
      <c r="A57" s="3">
        <v>46051</v>
      </c>
      <c r="B57">
        <v>22.19</v>
      </c>
      <c r="C57">
        <v>14.4</v>
      </c>
      <c r="D57">
        <v>585</v>
      </c>
      <c r="E57">
        <v>343.3</v>
      </c>
      <c r="F57">
        <v>99.22</v>
      </c>
      <c r="G57">
        <v>2190</v>
      </c>
      <c r="H57">
        <v>10.220000000000001</v>
      </c>
      <c r="I57">
        <v>149.5</v>
      </c>
      <c r="J57">
        <v>21.38</v>
      </c>
      <c r="K57">
        <v>195.8</v>
      </c>
      <c r="L57">
        <v>308.8</v>
      </c>
      <c r="M57">
        <v>197.5</v>
      </c>
      <c r="N57">
        <v>72</v>
      </c>
      <c r="O57">
        <v>84.55</v>
      </c>
      <c r="P57">
        <v>67.8</v>
      </c>
      <c r="Q57">
        <v>207.15</v>
      </c>
      <c r="R57">
        <v>92.3</v>
      </c>
      <c r="S57">
        <v>29.08</v>
      </c>
      <c r="T57">
        <v>54.9</v>
      </c>
      <c r="U57">
        <v>37.82</v>
      </c>
      <c r="V57" s="6"/>
      <c r="W57" s="3">
        <v>46051</v>
      </c>
      <c r="X57">
        <v>70.66</v>
      </c>
      <c r="Y57">
        <v>6000.8962952860002</v>
      </c>
      <c r="Z57">
        <v>142.9</v>
      </c>
      <c r="AA57">
        <v>40.75</v>
      </c>
      <c r="AB57">
        <v>6849</v>
      </c>
      <c r="AC57">
        <v>837.5</v>
      </c>
      <c r="AD57">
        <v>104.3</v>
      </c>
      <c r="AE57">
        <v>226</v>
      </c>
      <c r="AF57">
        <v>876.6</v>
      </c>
      <c r="AG57">
        <v>4454</v>
      </c>
      <c r="AH57">
        <v>1270</v>
      </c>
      <c r="AI57">
        <v>371.6</v>
      </c>
      <c r="AJ57">
        <v>4.0910000000000002</v>
      </c>
      <c r="AK57">
        <v>391</v>
      </c>
      <c r="AL57">
        <v>632</v>
      </c>
      <c r="AM57">
        <v>945.5</v>
      </c>
      <c r="AN57">
        <v>4867.5</v>
      </c>
      <c r="AO57">
        <v>1230</v>
      </c>
      <c r="AP57">
        <v>479.6</v>
      </c>
      <c r="AQ57">
        <v>159.84836759999999</v>
      </c>
      <c r="AR57" cm="1">
        <f t="array" ref="AR57">SUMPRODUCT($B$162:$U$162,(B57:U57)/($B$11:$U$11))</f>
        <v>2601.7494673856454</v>
      </c>
      <c r="AS57">
        <f t="shared" si="0"/>
        <v>-30.782018552505633</v>
      </c>
      <c r="AT57">
        <f t="shared" si="1"/>
        <v>-1.1692934620888606E-2</v>
      </c>
      <c r="AU57" cm="1">
        <f t="array" ref="AU57">SUMPRODUCT($X$162:$AQ$162,(X57:AQ57)/($X$11:$AQ$11))</f>
        <v>2646.7399285419765</v>
      </c>
      <c r="AV57">
        <f t="shared" si="2"/>
        <v>-5.1922240330918612</v>
      </c>
      <c r="AW57">
        <f t="shared" si="3"/>
        <v>5.1922240330918612</v>
      </c>
      <c r="AX57">
        <f t="shared" si="4"/>
        <v>-25.589794519413772</v>
      </c>
    </row>
    <row r="58" spans="1:50" x14ac:dyDescent="0.2">
      <c r="A58" s="3">
        <v>46052</v>
      </c>
      <c r="B58">
        <v>22.35</v>
      </c>
      <c r="C58">
        <v>14.59</v>
      </c>
      <c r="D58">
        <v>578.6</v>
      </c>
      <c r="E58">
        <v>338</v>
      </c>
      <c r="F58">
        <v>100.45</v>
      </c>
      <c r="G58">
        <v>2158</v>
      </c>
      <c r="H58">
        <v>9.7379999999999995</v>
      </c>
      <c r="I58">
        <v>141.9</v>
      </c>
      <c r="J58">
        <v>21.56</v>
      </c>
      <c r="K58">
        <v>195.6</v>
      </c>
      <c r="L58">
        <v>306.2</v>
      </c>
      <c r="M58">
        <v>196.5</v>
      </c>
      <c r="N58">
        <v>73.62</v>
      </c>
      <c r="O58">
        <v>83.65</v>
      </c>
      <c r="P58">
        <v>67.040000000000006</v>
      </c>
      <c r="Q58">
        <v>205.8</v>
      </c>
      <c r="R58">
        <v>93</v>
      </c>
      <c r="S58">
        <v>28.93</v>
      </c>
      <c r="T58">
        <v>54.05</v>
      </c>
      <c r="U58">
        <v>37.57</v>
      </c>
      <c r="V58" s="6"/>
      <c r="W58" s="3">
        <v>46052</v>
      </c>
      <c r="X58">
        <v>71.02</v>
      </c>
      <c r="Y58">
        <v>6101.0447648339996</v>
      </c>
      <c r="Z58">
        <v>143.9</v>
      </c>
      <c r="AA58">
        <v>40.96</v>
      </c>
      <c r="AB58">
        <v>6738</v>
      </c>
      <c r="AC58">
        <v>837</v>
      </c>
      <c r="AD58">
        <v>103.6</v>
      </c>
      <c r="AE58">
        <v>226</v>
      </c>
      <c r="AF58">
        <v>880</v>
      </c>
      <c r="AG58">
        <v>4464</v>
      </c>
      <c r="AH58">
        <v>1285.4000000000001</v>
      </c>
      <c r="AI58">
        <v>378.9</v>
      </c>
      <c r="AJ58">
        <v>4.1079999999999997</v>
      </c>
      <c r="AK58">
        <v>389</v>
      </c>
      <c r="AL58">
        <v>633.5</v>
      </c>
      <c r="AM58">
        <v>943</v>
      </c>
      <c r="AN58">
        <v>4940.5</v>
      </c>
      <c r="AO58">
        <v>1234.5</v>
      </c>
      <c r="AP58">
        <v>486.2</v>
      </c>
      <c r="AQ58">
        <v>160.62648899999999</v>
      </c>
      <c r="AR58" cm="1">
        <f t="array" ref="AR58">SUMPRODUCT($B$162:$U$162,(B58:U58)/($B$11:$U$11))</f>
        <v>2584.2229598799877</v>
      </c>
      <c r="AS58">
        <f t="shared" si="0"/>
        <v>-17.526507505657719</v>
      </c>
      <c r="AT58">
        <f>AR58/AR57-1</f>
        <v>-6.7364316685223358E-3</v>
      </c>
      <c r="AU58" cm="1">
        <f t="array" ref="AU58">SUMPRODUCT($X$162:$AQ$162,(X58:AQ58)/($X$11:$AQ$11))</f>
        <v>2660.2128122527943</v>
      </c>
      <c r="AV58">
        <f>AU58-AU57</f>
        <v>13.472883710817769</v>
      </c>
      <c r="AW58">
        <f t="shared" si="3"/>
        <v>-13.472883710817769</v>
      </c>
      <c r="AX58">
        <f>AS58+AW58</f>
        <v>-30.999391216475487</v>
      </c>
    </row>
    <row r="59" spans="1:50" x14ac:dyDescent="0.2">
      <c r="A59" s="3"/>
      <c r="V59" s="6"/>
      <c r="W59" s="3"/>
      <c r="AR59" cm="1">
        <f t="array" ref="AR59">SUMPRODUCT($B$162:$U$162,(B59:U59)/($B$11:$U$11))</f>
        <v>0</v>
      </c>
      <c r="AS59">
        <f t="shared" si="0"/>
        <v>-2584.2229598799877</v>
      </c>
      <c r="AT59">
        <f t="shared" si="1"/>
        <v>-1</v>
      </c>
      <c r="AU59" cm="1">
        <f t="array" ref="AU59">SUMPRODUCT($X$162:$AQ$162,(X59:AQ59)/($X$11:$AQ$11))</f>
        <v>0</v>
      </c>
      <c r="AV59">
        <f t="shared" si="2"/>
        <v>-2660.2128122527943</v>
      </c>
      <c r="AW59">
        <f t="shared" si="3"/>
        <v>2660.2128122527943</v>
      </c>
      <c r="AX59">
        <f>AS59+AW59</f>
        <v>75.989852372806581</v>
      </c>
    </row>
    <row r="60" spans="1:50" x14ac:dyDescent="0.2">
      <c r="A60" s="3"/>
      <c r="V60" s="6"/>
      <c r="W60" s="3"/>
      <c r="AR60" cm="1">
        <f t="array" ref="AR60">SUMPRODUCT($B$162:$U$162,(B60:U60)/($B$11:$U$11))</f>
        <v>0</v>
      </c>
      <c r="AS60">
        <f t="shared" si="0"/>
        <v>0</v>
      </c>
      <c r="AT60" t="e">
        <f t="shared" si="1"/>
        <v>#DIV/0!</v>
      </c>
      <c r="AU60" cm="1">
        <f t="array" ref="AU60">SUMPRODUCT($X$162:$AQ$162,(X60:AQ60)/($X$11:$AQ$11))</f>
        <v>0</v>
      </c>
      <c r="AV60">
        <f t="shared" si="2"/>
        <v>0</v>
      </c>
      <c r="AW60">
        <f t="shared" si="3"/>
        <v>0</v>
      </c>
      <c r="AX60">
        <f t="shared" si="4"/>
        <v>0</v>
      </c>
    </row>
    <row r="61" spans="1:50" x14ac:dyDescent="0.2">
      <c r="A61" s="3"/>
      <c r="V61" s="6"/>
      <c r="W61" s="3"/>
      <c r="AR61" cm="1">
        <f t="array" ref="AR61">SUMPRODUCT($B$162:$U$162,(B61:U61)/($B$11:$U$11))</f>
        <v>0</v>
      </c>
      <c r="AS61">
        <f t="shared" si="0"/>
        <v>0</v>
      </c>
      <c r="AT61" t="e">
        <f t="shared" si="1"/>
        <v>#DIV/0!</v>
      </c>
      <c r="AU61" cm="1">
        <f t="array" ref="AU61">SUMPRODUCT($X$162:$AQ$162,(X61:AQ61)/($X$11:$AQ$11))</f>
        <v>0</v>
      </c>
      <c r="AV61">
        <f t="shared" si="2"/>
        <v>0</v>
      </c>
      <c r="AW61">
        <f t="shared" si="3"/>
        <v>0</v>
      </c>
      <c r="AX61">
        <f t="shared" si="4"/>
        <v>0</v>
      </c>
    </row>
    <row r="62" spans="1:50" x14ac:dyDescent="0.2">
      <c r="A62" s="3"/>
      <c r="V62" s="6"/>
      <c r="W62" s="3"/>
      <c r="AR62" cm="1">
        <f t="array" ref="AR62">SUMPRODUCT($B$162:$U$162,(B62:U62)/($B$11:$U$11))</f>
        <v>0</v>
      </c>
      <c r="AS62">
        <f t="shared" si="0"/>
        <v>0</v>
      </c>
      <c r="AT62" t="e">
        <f t="shared" si="1"/>
        <v>#DIV/0!</v>
      </c>
      <c r="AU62" cm="1">
        <f t="array" ref="AU62">SUMPRODUCT($X$162:$AQ$162,(X62:AQ62)/($X$11:$AQ$11))</f>
        <v>0</v>
      </c>
      <c r="AV62">
        <f t="shared" si="2"/>
        <v>0</v>
      </c>
      <c r="AW62">
        <f t="shared" si="3"/>
        <v>0</v>
      </c>
      <c r="AX62">
        <f t="shared" si="4"/>
        <v>0</v>
      </c>
    </row>
    <row r="63" spans="1:50" x14ac:dyDescent="0.2">
      <c r="A63" s="3"/>
      <c r="V63" s="6"/>
      <c r="W63" s="3"/>
      <c r="AR63" cm="1">
        <f t="array" ref="AR63">SUMPRODUCT($B$162:$U$162,(B63:U63)/($B$11:$U$11))</f>
        <v>0</v>
      </c>
      <c r="AS63">
        <f t="shared" si="0"/>
        <v>0</v>
      </c>
      <c r="AT63" t="e">
        <f t="shared" si="1"/>
        <v>#DIV/0!</v>
      </c>
      <c r="AU63" cm="1">
        <f t="array" ref="AU63">SUMPRODUCT($X$162:$AQ$162,(X63:AQ63)/($X$11:$AQ$11))</f>
        <v>0</v>
      </c>
      <c r="AV63">
        <f t="shared" si="2"/>
        <v>0</v>
      </c>
      <c r="AW63">
        <f t="shared" si="3"/>
        <v>0</v>
      </c>
      <c r="AX63">
        <f t="shared" si="4"/>
        <v>0</v>
      </c>
    </row>
    <row r="64" spans="1:50" x14ac:dyDescent="0.2">
      <c r="A64" s="3"/>
      <c r="V64" s="6"/>
      <c r="W64" s="3"/>
      <c r="AR64" cm="1">
        <f t="array" ref="AR64">SUMPRODUCT($B$162:$U$162,(B64:U64)/($B$11:$U$11))</f>
        <v>0</v>
      </c>
      <c r="AS64">
        <f t="shared" si="0"/>
        <v>0</v>
      </c>
      <c r="AT64" t="e">
        <f t="shared" si="1"/>
        <v>#DIV/0!</v>
      </c>
      <c r="AU64" cm="1">
        <f t="array" ref="AU64">SUMPRODUCT($X$162:$AQ$162,(X64:AQ64)/($X$11:$AQ$11))</f>
        <v>0</v>
      </c>
      <c r="AV64">
        <f t="shared" si="2"/>
        <v>0</v>
      </c>
      <c r="AW64">
        <f t="shared" si="3"/>
        <v>0</v>
      </c>
      <c r="AX64">
        <f t="shared" si="4"/>
        <v>0</v>
      </c>
    </row>
    <row r="65" spans="1:50" x14ac:dyDescent="0.2">
      <c r="A65" s="3"/>
      <c r="V65" s="6"/>
      <c r="W65" s="3"/>
      <c r="AR65" cm="1">
        <f t="array" ref="AR65">SUMPRODUCT($B$162:$U$162,(B65:U65)/($B$11:$U$11))</f>
        <v>0</v>
      </c>
      <c r="AS65">
        <f t="shared" si="0"/>
        <v>0</v>
      </c>
      <c r="AT65" t="e">
        <f t="shared" si="1"/>
        <v>#DIV/0!</v>
      </c>
      <c r="AU65" cm="1">
        <f t="array" ref="AU65">SUMPRODUCT($X$162:$AQ$162,(X65:AQ65)/($X$11:$AQ$11))</f>
        <v>0</v>
      </c>
      <c r="AV65">
        <f t="shared" si="2"/>
        <v>0</v>
      </c>
      <c r="AW65">
        <f t="shared" si="3"/>
        <v>0</v>
      </c>
      <c r="AX65">
        <f t="shared" si="4"/>
        <v>0</v>
      </c>
    </row>
    <row r="66" spans="1:50" x14ac:dyDescent="0.2">
      <c r="A66" s="3"/>
      <c r="V66" s="6"/>
      <c r="W66" s="3"/>
      <c r="AR66" cm="1">
        <f t="array" ref="AR66">SUMPRODUCT($B$162:$U$162,(B66:U66)/($B$11:$U$11))</f>
        <v>0</v>
      </c>
      <c r="AS66">
        <f t="shared" si="0"/>
        <v>0</v>
      </c>
      <c r="AT66" t="e">
        <f t="shared" si="1"/>
        <v>#DIV/0!</v>
      </c>
      <c r="AU66" cm="1">
        <f t="array" ref="AU66">SUMPRODUCT($X$162:$AQ$162,(X66:AQ66)/($X$11:$AQ$11))</f>
        <v>0</v>
      </c>
      <c r="AV66">
        <f t="shared" si="2"/>
        <v>0</v>
      </c>
      <c r="AW66">
        <f t="shared" si="3"/>
        <v>0</v>
      </c>
      <c r="AX66">
        <f t="shared" si="4"/>
        <v>0</v>
      </c>
    </row>
    <row r="67" spans="1:50" x14ac:dyDescent="0.2">
      <c r="A67" s="3"/>
      <c r="V67" s="6"/>
      <c r="W67" s="3"/>
      <c r="AR67" cm="1">
        <f t="array" ref="AR67">SUMPRODUCT($B$162:$U$162,(B67:U67)/($B$11:$U$11))</f>
        <v>0</v>
      </c>
      <c r="AS67">
        <f t="shared" si="0"/>
        <v>0</v>
      </c>
      <c r="AT67" t="e">
        <f t="shared" si="1"/>
        <v>#DIV/0!</v>
      </c>
      <c r="AU67" cm="1">
        <f t="array" ref="AU67">SUMPRODUCT($X$162:$AQ$162,(X67:AQ67)/($X$11:$AQ$11))</f>
        <v>0</v>
      </c>
      <c r="AV67">
        <f t="shared" si="2"/>
        <v>0</v>
      </c>
      <c r="AW67">
        <f t="shared" si="3"/>
        <v>0</v>
      </c>
      <c r="AX67">
        <f t="shared" si="4"/>
        <v>0</v>
      </c>
    </row>
    <row r="68" spans="1:50" x14ac:dyDescent="0.2">
      <c r="A68" s="3"/>
      <c r="V68" s="6"/>
      <c r="W68" s="3"/>
      <c r="AR68" cm="1">
        <f t="array" ref="AR68">SUMPRODUCT($B$162:$U$162,(B68:U68)/($B$11:$U$11))</f>
        <v>0</v>
      </c>
      <c r="AS68">
        <f t="shared" si="0"/>
        <v>0</v>
      </c>
      <c r="AT68" t="e">
        <f t="shared" si="1"/>
        <v>#DIV/0!</v>
      </c>
      <c r="AU68" cm="1">
        <f t="array" ref="AU68">SUMPRODUCT($X$162:$AQ$162,(X68:AQ68)/($X$11:$AQ$11))</f>
        <v>0</v>
      </c>
      <c r="AV68">
        <f t="shared" si="2"/>
        <v>0</v>
      </c>
      <c r="AW68">
        <f t="shared" si="3"/>
        <v>0</v>
      </c>
      <c r="AX68">
        <f t="shared" si="4"/>
        <v>0</v>
      </c>
    </row>
    <row r="69" spans="1:50" x14ac:dyDescent="0.2">
      <c r="A69" s="3"/>
      <c r="V69" s="6"/>
      <c r="W69" s="3"/>
      <c r="AR69" cm="1">
        <f t="array" ref="AR69">SUMPRODUCT($B$162:$U$162,(B69:U69)/($B$11:$U$11))</f>
        <v>0</v>
      </c>
      <c r="AS69">
        <f t="shared" si="0"/>
        <v>0</v>
      </c>
      <c r="AT69" t="e">
        <f t="shared" si="1"/>
        <v>#DIV/0!</v>
      </c>
      <c r="AU69" cm="1">
        <f t="array" ref="AU69">SUMPRODUCT($X$162:$AQ$162,(X69:AQ69)/($X$11:$AQ$11))</f>
        <v>0</v>
      </c>
      <c r="AV69">
        <f t="shared" si="2"/>
        <v>0</v>
      </c>
      <c r="AW69">
        <f t="shared" si="3"/>
        <v>0</v>
      </c>
      <c r="AX69">
        <f t="shared" si="4"/>
        <v>0</v>
      </c>
    </row>
    <row r="70" spans="1:50" x14ac:dyDescent="0.2">
      <c r="A70" s="3"/>
      <c r="V70" s="6"/>
      <c r="W70" s="3"/>
      <c r="AR70" cm="1">
        <f t="array" ref="AR70">SUMPRODUCT($B$162:$U$162,(B70:U70)/($B$11:$U$11))</f>
        <v>0</v>
      </c>
      <c r="AS70">
        <f t="shared" si="0"/>
        <v>0</v>
      </c>
      <c r="AT70" t="e">
        <f t="shared" si="1"/>
        <v>#DIV/0!</v>
      </c>
      <c r="AU70" cm="1">
        <f t="array" ref="AU70">SUMPRODUCT($X$162:$AQ$162,(X70:AQ70)/($X$11:$AQ$11))</f>
        <v>0</v>
      </c>
      <c r="AV70">
        <f t="shared" si="2"/>
        <v>0</v>
      </c>
      <c r="AW70">
        <f t="shared" si="3"/>
        <v>0</v>
      </c>
      <c r="AX70">
        <f t="shared" si="4"/>
        <v>0</v>
      </c>
    </row>
    <row r="71" spans="1:50" x14ac:dyDescent="0.2">
      <c r="A71" s="3"/>
      <c r="V71" s="6"/>
      <c r="W71" s="3"/>
      <c r="AR71" cm="1">
        <f t="array" ref="AR71">SUMPRODUCT($B$162:$U$162,(B71:U71)/($B$11:$U$11))</f>
        <v>0</v>
      </c>
      <c r="AS71">
        <f t="shared" si="0"/>
        <v>0</v>
      </c>
      <c r="AT71" t="e">
        <f t="shared" si="1"/>
        <v>#DIV/0!</v>
      </c>
      <c r="AU71" cm="1">
        <f t="array" ref="AU71">SUMPRODUCT($X$162:$AQ$162,(X71:AQ71)/($X$11:$AQ$11))</f>
        <v>0</v>
      </c>
      <c r="AV71">
        <f t="shared" si="2"/>
        <v>0</v>
      </c>
      <c r="AW71">
        <f t="shared" si="3"/>
        <v>0</v>
      </c>
      <c r="AX71">
        <f t="shared" si="4"/>
        <v>0</v>
      </c>
    </row>
    <row r="72" spans="1:50" x14ac:dyDescent="0.2">
      <c r="A72" s="3"/>
      <c r="V72" s="6"/>
      <c r="W72" s="3"/>
      <c r="AR72" cm="1">
        <f t="array" ref="AR72">SUMPRODUCT($B$162:$U$162,(B72:U72)/($B$11:$U$11))</f>
        <v>0</v>
      </c>
      <c r="AS72">
        <f t="shared" si="0"/>
        <v>0</v>
      </c>
      <c r="AT72" t="e">
        <f t="shared" si="1"/>
        <v>#DIV/0!</v>
      </c>
      <c r="AU72" cm="1">
        <f t="array" ref="AU72">SUMPRODUCT($X$162:$AQ$162,(X72:AQ72)/($X$11:$AQ$11))</f>
        <v>0</v>
      </c>
      <c r="AV72">
        <f t="shared" si="2"/>
        <v>0</v>
      </c>
      <c r="AW72">
        <f t="shared" si="3"/>
        <v>0</v>
      </c>
      <c r="AX72">
        <f t="shared" si="4"/>
        <v>0</v>
      </c>
    </row>
    <row r="73" spans="1:50" x14ac:dyDescent="0.2">
      <c r="A73" s="3"/>
      <c r="V73" s="6"/>
      <c r="W73" s="3"/>
      <c r="AR73" cm="1">
        <f t="array" ref="AR73">SUMPRODUCT($B$162:$U$162,(B73:U73)/($B$11:$U$11))</f>
        <v>0</v>
      </c>
      <c r="AS73">
        <f t="shared" si="0"/>
        <v>0</v>
      </c>
      <c r="AT73" t="e">
        <f t="shared" si="1"/>
        <v>#DIV/0!</v>
      </c>
      <c r="AU73" cm="1">
        <f t="array" ref="AU73">SUMPRODUCT($X$162:$AQ$162,(X73:AQ73)/($X$11:$AQ$11))</f>
        <v>0</v>
      </c>
      <c r="AV73">
        <f t="shared" si="2"/>
        <v>0</v>
      </c>
      <c r="AW73">
        <f t="shared" si="3"/>
        <v>0</v>
      </c>
      <c r="AX73">
        <f t="shared" si="4"/>
        <v>0</v>
      </c>
    </row>
    <row r="74" spans="1:50" x14ac:dyDescent="0.2">
      <c r="A74" s="3"/>
      <c r="V74" s="6"/>
      <c r="W74" s="3"/>
      <c r="AR74" cm="1">
        <f t="array" ref="AR74">SUMPRODUCT($B$162:$U$162,(B74:U74)/($B$11:$U$11))</f>
        <v>0</v>
      </c>
      <c r="AS74">
        <f t="shared" si="0"/>
        <v>0</v>
      </c>
      <c r="AT74" t="e">
        <f t="shared" si="1"/>
        <v>#DIV/0!</v>
      </c>
      <c r="AU74" cm="1">
        <f t="array" ref="AU74">SUMPRODUCT($X$162:$AQ$162,(X74:AQ74)/($X$11:$AQ$11))</f>
        <v>0</v>
      </c>
      <c r="AV74">
        <f t="shared" si="2"/>
        <v>0</v>
      </c>
      <c r="AW74">
        <f t="shared" si="3"/>
        <v>0</v>
      </c>
      <c r="AX74">
        <f t="shared" si="4"/>
        <v>0</v>
      </c>
    </row>
    <row r="75" spans="1:50" x14ac:dyDescent="0.2">
      <c r="A75" s="3"/>
      <c r="V75" s="6"/>
      <c r="W75" s="3"/>
      <c r="AR75" cm="1">
        <f t="array" ref="AR75">SUMPRODUCT($B$162:$U$162,(B75:U75)/($B$11:$U$11))</f>
        <v>0</v>
      </c>
      <c r="AS75">
        <f t="shared" si="0"/>
        <v>0</v>
      </c>
      <c r="AT75" t="e">
        <f t="shared" si="1"/>
        <v>#DIV/0!</v>
      </c>
      <c r="AU75" cm="1">
        <f t="array" ref="AU75">SUMPRODUCT($X$162:$AQ$162,(X75:AQ75)/($X$11:$AQ$11))</f>
        <v>0</v>
      </c>
      <c r="AV75">
        <f t="shared" si="2"/>
        <v>0</v>
      </c>
      <c r="AW75">
        <f t="shared" si="3"/>
        <v>0</v>
      </c>
      <c r="AX75">
        <f t="shared" si="4"/>
        <v>0</v>
      </c>
    </row>
    <row r="76" spans="1:50" x14ac:dyDescent="0.2">
      <c r="A76" s="3"/>
      <c r="V76" s="6"/>
      <c r="W76" s="3"/>
      <c r="AR76" cm="1">
        <f t="array" ref="AR76">SUMPRODUCT($B$162:$U$162,(B76:U76)/($B$11:$U$11))</f>
        <v>0</v>
      </c>
      <c r="AS76">
        <f t="shared" ref="AS76:AS77" si="5">AR76-AR75</f>
        <v>0</v>
      </c>
      <c r="AT76" t="e">
        <f t="shared" si="1"/>
        <v>#DIV/0!</v>
      </c>
      <c r="AU76" cm="1">
        <f t="array" ref="AU76">SUMPRODUCT($X$162:$AQ$162,(X76:AQ76)/($X$11:$AQ$11))</f>
        <v>0</v>
      </c>
      <c r="AV76">
        <f t="shared" si="2"/>
        <v>0</v>
      </c>
      <c r="AW76">
        <f t="shared" si="3"/>
        <v>0</v>
      </c>
      <c r="AX76">
        <f t="shared" si="4"/>
        <v>0</v>
      </c>
    </row>
    <row r="77" spans="1:50" x14ac:dyDescent="0.2">
      <c r="A77" s="3"/>
      <c r="V77" s="6"/>
      <c r="W77" s="3"/>
      <c r="AR77" cm="1">
        <f t="array" ref="AR77">SUMPRODUCT($B$162:$U$162,(B77:U77)/($B$11:$U$11))</f>
        <v>0</v>
      </c>
      <c r="AS77">
        <f t="shared" si="5"/>
        <v>0</v>
      </c>
      <c r="AT77" t="e">
        <f t="shared" ref="AT77" si="6">AR77/AR76-1</f>
        <v>#DIV/0!</v>
      </c>
      <c r="AU77" cm="1">
        <f t="array" ref="AU77">SUMPRODUCT($X$162:$AQ$162,(X77:AQ77)/($X$11:$AQ$11))</f>
        <v>0</v>
      </c>
      <c r="AV77">
        <f t="shared" ref="AV77" si="7">AU77-AU76</f>
        <v>0</v>
      </c>
      <c r="AW77">
        <f t="shared" ref="AW77" si="8">IF(AV77&gt;0, -AV77, ABS(AV77))</f>
        <v>0</v>
      </c>
      <c r="AX77">
        <f t="shared" ref="AX77" si="9">AS77+AW77</f>
        <v>0</v>
      </c>
    </row>
    <row r="78" spans="1:50" x14ac:dyDescent="0.2">
      <c r="A78" s="3"/>
      <c r="V78" s="6"/>
      <c r="W78" s="3"/>
      <c r="AR78" cm="1">
        <f t="array" ref="AR78">SUMPRODUCT($B$162:$U$162,(B78:U78)/($B$11:$U$11))</f>
        <v>0</v>
      </c>
      <c r="AS78">
        <f t="shared" ref="AS78:AS141" si="10">AR78-AR77</f>
        <v>0</v>
      </c>
      <c r="AT78" t="e">
        <f t="shared" ref="AT78:AT141" si="11">AR78/AR77-1</f>
        <v>#DIV/0!</v>
      </c>
      <c r="AU78" cm="1">
        <f t="array" ref="AU78">SUMPRODUCT($X$162:$AQ$162,(X78:AQ78)/($X$11:$AQ$11))</f>
        <v>0</v>
      </c>
      <c r="AV78">
        <f t="shared" ref="AV78:AV141" si="12">AU78-AU77</f>
        <v>0</v>
      </c>
      <c r="AW78">
        <f t="shared" ref="AW78:AW141" si="13">IF(AV78&gt;0, -AV78, ABS(AV78))</f>
        <v>0</v>
      </c>
      <c r="AX78">
        <f t="shared" ref="AX78:AX141" si="14">AS78+AW78</f>
        <v>0</v>
      </c>
    </row>
    <row r="79" spans="1:50" x14ac:dyDescent="0.2">
      <c r="A79" s="3"/>
      <c r="V79" s="6"/>
      <c r="W79" s="3"/>
      <c r="AR79" cm="1">
        <f t="array" ref="AR79">SUMPRODUCT($B$162:$U$162,(B79:U79)/($B$11:$U$11))</f>
        <v>0</v>
      </c>
      <c r="AS79">
        <f t="shared" si="10"/>
        <v>0</v>
      </c>
      <c r="AT79" t="e">
        <f t="shared" si="11"/>
        <v>#DIV/0!</v>
      </c>
      <c r="AU79" cm="1">
        <f t="array" ref="AU79">SUMPRODUCT($X$162:$AQ$162,(X79:AQ79)/($X$11:$AQ$11))</f>
        <v>0</v>
      </c>
      <c r="AV79">
        <f t="shared" si="12"/>
        <v>0</v>
      </c>
      <c r="AW79">
        <f t="shared" si="13"/>
        <v>0</v>
      </c>
      <c r="AX79">
        <f t="shared" si="14"/>
        <v>0</v>
      </c>
    </row>
    <row r="80" spans="1:50" x14ac:dyDescent="0.2">
      <c r="A80" s="3"/>
      <c r="V80" s="6"/>
      <c r="W80" s="3"/>
      <c r="AR80" cm="1">
        <f t="array" ref="AR80">SUMPRODUCT($B$162:$U$162,(B80:U80)/($B$11:$U$11))</f>
        <v>0</v>
      </c>
      <c r="AS80">
        <f t="shared" si="10"/>
        <v>0</v>
      </c>
      <c r="AT80" t="e">
        <f t="shared" si="11"/>
        <v>#DIV/0!</v>
      </c>
      <c r="AU80" cm="1">
        <f t="array" ref="AU80">SUMPRODUCT($X$162:$AQ$162,(X80:AQ80)/($X$11:$AQ$11))</f>
        <v>0</v>
      </c>
      <c r="AV80">
        <f t="shared" si="12"/>
        <v>0</v>
      </c>
      <c r="AW80">
        <f t="shared" si="13"/>
        <v>0</v>
      </c>
      <c r="AX80">
        <f t="shared" si="14"/>
        <v>0</v>
      </c>
    </row>
    <row r="81" spans="1:50" x14ac:dyDescent="0.2">
      <c r="A81" s="3"/>
      <c r="V81" s="6"/>
      <c r="W81" s="3"/>
      <c r="AR81" cm="1">
        <f t="array" ref="AR81">SUMPRODUCT($B$162:$U$162,(B81:U81)/($B$11:$U$11))</f>
        <v>0</v>
      </c>
      <c r="AS81">
        <f t="shared" si="10"/>
        <v>0</v>
      </c>
      <c r="AT81" t="e">
        <f t="shared" si="11"/>
        <v>#DIV/0!</v>
      </c>
      <c r="AU81" cm="1">
        <f t="array" ref="AU81">SUMPRODUCT($X$162:$AQ$162,(X81:AQ81)/($X$11:$AQ$11))</f>
        <v>0</v>
      </c>
      <c r="AV81">
        <f t="shared" si="12"/>
        <v>0</v>
      </c>
      <c r="AW81">
        <f t="shared" si="13"/>
        <v>0</v>
      </c>
      <c r="AX81">
        <f t="shared" si="14"/>
        <v>0</v>
      </c>
    </row>
    <row r="82" spans="1:50" x14ac:dyDescent="0.2">
      <c r="A82" s="3"/>
      <c r="V82" s="6"/>
      <c r="W82" s="3"/>
      <c r="AR82" cm="1">
        <f t="array" ref="AR82">SUMPRODUCT($B$162:$U$162,(B82:U82)/($B$11:$U$11))</f>
        <v>0</v>
      </c>
      <c r="AS82">
        <f t="shared" si="10"/>
        <v>0</v>
      </c>
      <c r="AT82" t="e">
        <f t="shared" si="11"/>
        <v>#DIV/0!</v>
      </c>
      <c r="AU82" cm="1">
        <f t="array" ref="AU82">SUMPRODUCT($X$162:$AQ$162,(X82:AQ82)/($X$11:$AQ$11))</f>
        <v>0</v>
      </c>
      <c r="AV82">
        <f t="shared" si="12"/>
        <v>0</v>
      </c>
      <c r="AW82">
        <f t="shared" si="13"/>
        <v>0</v>
      </c>
      <c r="AX82">
        <f t="shared" si="14"/>
        <v>0</v>
      </c>
    </row>
    <row r="83" spans="1:50" x14ac:dyDescent="0.2">
      <c r="A83" s="3"/>
      <c r="V83" s="6"/>
      <c r="W83" s="3"/>
      <c r="AR83" cm="1">
        <f t="array" ref="AR83">SUMPRODUCT($B$162:$U$162,(B83:U83)/($B$11:$U$11))</f>
        <v>0</v>
      </c>
      <c r="AS83">
        <f t="shared" si="10"/>
        <v>0</v>
      </c>
      <c r="AT83" t="e">
        <f t="shared" si="11"/>
        <v>#DIV/0!</v>
      </c>
      <c r="AU83" cm="1">
        <f t="array" ref="AU83">SUMPRODUCT($X$162:$AQ$162,(X83:AQ83)/($X$11:$AQ$11))</f>
        <v>0</v>
      </c>
      <c r="AV83">
        <f t="shared" si="12"/>
        <v>0</v>
      </c>
      <c r="AW83">
        <f t="shared" si="13"/>
        <v>0</v>
      </c>
      <c r="AX83">
        <f t="shared" si="14"/>
        <v>0</v>
      </c>
    </row>
    <row r="84" spans="1:50" x14ac:dyDescent="0.2">
      <c r="A84" s="3"/>
      <c r="V84" s="6"/>
      <c r="W84" s="3"/>
      <c r="AR84" cm="1">
        <f t="array" ref="AR84">SUMPRODUCT($B$162:$U$162,(B84:U84)/($B$11:$U$11))</f>
        <v>0</v>
      </c>
      <c r="AS84">
        <f t="shared" si="10"/>
        <v>0</v>
      </c>
      <c r="AT84" t="e">
        <f t="shared" si="11"/>
        <v>#DIV/0!</v>
      </c>
      <c r="AU84" cm="1">
        <f t="array" ref="AU84">SUMPRODUCT($X$162:$AQ$162,(X84:AQ84)/($X$11:$AQ$11))</f>
        <v>0</v>
      </c>
      <c r="AV84">
        <f t="shared" si="12"/>
        <v>0</v>
      </c>
      <c r="AW84">
        <f t="shared" si="13"/>
        <v>0</v>
      </c>
      <c r="AX84">
        <f t="shared" si="14"/>
        <v>0</v>
      </c>
    </row>
    <row r="85" spans="1:50" x14ac:dyDescent="0.2">
      <c r="A85" s="3"/>
      <c r="V85" s="6"/>
      <c r="W85" s="3"/>
      <c r="AR85" cm="1">
        <f t="array" ref="AR85">SUMPRODUCT($B$162:$U$162,(B85:U85)/($B$11:$U$11))</f>
        <v>0</v>
      </c>
      <c r="AS85">
        <f t="shared" si="10"/>
        <v>0</v>
      </c>
      <c r="AT85" t="e">
        <f t="shared" si="11"/>
        <v>#DIV/0!</v>
      </c>
      <c r="AU85" cm="1">
        <f t="array" ref="AU85">SUMPRODUCT($X$162:$AQ$162,(X85:AQ85)/($X$11:$AQ$11))</f>
        <v>0</v>
      </c>
      <c r="AV85">
        <f t="shared" si="12"/>
        <v>0</v>
      </c>
      <c r="AW85">
        <f t="shared" si="13"/>
        <v>0</v>
      </c>
      <c r="AX85">
        <f t="shared" si="14"/>
        <v>0</v>
      </c>
    </row>
    <row r="86" spans="1:50" x14ac:dyDescent="0.2">
      <c r="A86" s="3"/>
      <c r="V86" s="6"/>
      <c r="W86" s="3"/>
      <c r="AR86" cm="1">
        <f t="array" ref="AR86">SUMPRODUCT($B$162:$U$162,(B86:U86)/($B$11:$U$11))</f>
        <v>0</v>
      </c>
      <c r="AS86">
        <f t="shared" si="10"/>
        <v>0</v>
      </c>
      <c r="AT86" t="e">
        <f t="shared" si="11"/>
        <v>#DIV/0!</v>
      </c>
      <c r="AU86" cm="1">
        <f t="array" ref="AU86">SUMPRODUCT($X$162:$AQ$162,(X86:AQ86)/($X$11:$AQ$11))</f>
        <v>0</v>
      </c>
      <c r="AV86">
        <f t="shared" si="12"/>
        <v>0</v>
      </c>
      <c r="AW86">
        <f t="shared" si="13"/>
        <v>0</v>
      </c>
      <c r="AX86">
        <f t="shared" si="14"/>
        <v>0</v>
      </c>
    </row>
    <row r="87" spans="1:50" x14ac:dyDescent="0.2">
      <c r="A87" s="3"/>
      <c r="V87" s="6"/>
      <c r="W87" s="3"/>
      <c r="AR87" cm="1">
        <f t="array" ref="AR87">SUMPRODUCT($B$162:$U$162,(B87:U87)/($B$11:$U$11))</f>
        <v>0</v>
      </c>
      <c r="AS87">
        <f t="shared" si="10"/>
        <v>0</v>
      </c>
      <c r="AT87" t="e">
        <f t="shared" si="11"/>
        <v>#DIV/0!</v>
      </c>
      <c r="AU87" cm="1">
        <f t="array" ref="AU87">SUMPRODUCT($X$162:$AQ$162,(X87:AQ87)/($X$11:$AQ$11))</f>
        <v>0</v>
      </c>
      <c r="AV87">
        <f t="shared" si="12"/>
        <v>0</v>
      </c>
      <c r="AW87">
        <f t="shared" si="13"/>
        <v>0</v>
      </c>
      <c r="AX87">
        <f t="shared" si="14"/>
        <v>0</v>
      </c>
    </row>
    <row r="88" spans="1:50" x14ac:dyDescent="0.2">
      <c r="A88" s="3"/>
      <c r="V88" s="6"/>
      <c r="W88" s="3"/>
      <c r="AR88" cm="1">
        <f t="array" ref="AR88">SUMPRODUCT($B$162:$U$162,(B88:U88)/($B$11:$U$11))</f>
        <v>0</v>
      </c>
      <c r="AS88">
        <f t="shared" si="10"/>
        <v>0</v>
      </c>
      <c r="AT88" t="e">
        <f t="shared" si="11"/>
        <v>#DIV/0!</v>
      </c>
      <c r="AU88" cm="1">
        <f t="array" ref="AU88">SUMPRODUCT($X$162:$AQ$162,(X88:AQ88)/($X$11:$AQ$11))</f>
        <v>0</v>
      </c>
      <c r="AV88">
        <f t="shared" si="12"/>
        <v>0</v>
      </c>
      <c r="AW88">
        <f t="shared" si="13"/>
        <v>0</v>
      </c>
      <c r="AX88">
        <f t="shared" si="14"/>
        <v>0</v>
      </c>
    </row>
    <row r="89" spans="1:50" x14ac:dyDescent="0.2">
      <c r="A89" s="3"/>
      <c r="V89" s="6"/>
      <c r="W89" s="3"/>
      <c r="AR89" cm="1">
        <f t="array" ref="AR89">SUMPRODUCT($B$162:$U$162,(B89:U89)/($B$11:$U$11))</f>
        <v>0</v>
      </c>
      <c r="AS89">
        <f t="shared" si="10"/>
        <v>0</v>
      </c>
      <c r="AT89" t="e">
        <f t="shared" si="11"/>
        <v>#DIV/0!</v>
      </c>
      <c r="AU89" cm="1">
        <f t="array" ref="AU89">SUMPRODUCT($X$162:$AQ$162,(X89:AQ89)/($X$11:$AQ$11))</f>
        <v>0</v>
      </c>
      <c r="AV89">
        <f t="shared" si="12"/>
        <v>0</v>
      </c>
      <c r="AW89">
        <f t="shared" si="13"/>
        <v>0</v>
      </c>
      <c r="AX89">
        <f t="shared" si="14"/>
        <v>0</v>
      </c>
    </row>
    <row r="90" spans="1:50" x14ac:dyDescent="0.2">
      <c r="A90" s="3"/>
      <c r="V90" s="6"/>
      <c r="W90" s="3"/>
      <c r="AR90" cm="1">
        <f t="array" ref="AR90">SUMPRODUCT($B$162:$U$162,(B90:U90)/($B$11:$U$11))</f>
        <v>0</v>
      </c>
      <c r="AS90">
        <f t="shared" si="10"/>
        <v>0</v>
      </c>
      <c r="AT90" t="e">
        <f t="shared" si="11"/>
        <v>#DIV/0!</v>
      </c>
      <c r="AU90" cm="1">
        <f t="array" ref="AU90">SUMPRODUCT($X$162:$AQ$162,(X90:AQ90)/($X$11:$AQ$11))</f>
        <v>0</v>
      </c>
      <c r="AV90">
        <f t="shared" si="12"/>
        <v>0</v>
      </c>
      <c r="AW90">
        <f t="shared" si="13"/>
        <v>0</v>
      </c>
      <c r="AX90">
        <f t="shared" si="14"/>
        <v>0</v>
      </c>
    </row>
    <row r="91" spans="1:50" x14ac:dyDescent="0.2">
      <c r="A91" s="3"/>
      <c r="V91" s="6"/>
      <c r="W91" s="3"/>
      <c r="AR91" cm="1">
        <f t="array" ref="AR91">SUMPRODUCT($B$162:$U$162,(B91:U91)/($B$11:$U$11))</f>
        <v>0</v>
      </c>
      <c r="AS91">
        <f t="shared" si="10"/>
        <v>0</v>
      </c>
      <c r="AT91" t="e">
        <f t="shared" si="11"/>
        <v>#DIV/0!</v>
      </c>
      <c r="AU91" cm="1">
        <f t="array" ref="AU91">SUMPRODUCT($X$162:$AQ$162,(X91:AQ91)/($X$11:$AQ$11))</f>
        <v>0</v>
      </c>
      <c r="AV91">
        <f t="shared" si="12"/>
        <v>0</v>
      </c>
      <c r="AW91">
        <f t="shared" si="13"/>
        <v>0</v>
      </c>
      <c r="AX91">
        <f t="shared" si="14"/>
        <v>0</v>
      </c>
    </row>
    <row r="92" spans="1:50" x14ac:dyDescent="0.2">
      <c r="A92" s="3"/>
      <c r="V92" s="6"/>
      <c r="W92" s="3"/>
      <c r="AR92" cm="1">
        <f t="array" ref="AR92">SUMPRODUCT($B$162:$U$162,(B92:U92)/($B$11:$U$11))</f>
        <v>0</v>
      </c>
      <c r="AS92">
        <f t="shared" si="10"/>
        <v>0</v>
      </c>
      <c r="AT92" t="e">
        <f t="shared" si="11"/>
        <v>#DIV/0!</v>
      </c>
      <c r="AU92" cm="1">
        <f t="array" ref="AU92">SUMPRODUCT($X$162:$AQ$162,(X92:AQ92)/($X$11:$AQ$11))</f>
        <v>0</v>
      </c>
      <c r="AV92">
        <f t="shared" si="12"/>
        <v>0</v>
      </c>
      <c r="AW92">
        <f t="shared" si="13"/>
        <v>0</v>
      </c>
      <c r="AX92">
        <f t="shared" si="14"/>
        <v>0</v>
      </c>
    </row>
    <row r="93" spans="1:50" x14ac:dyDescent="0.2">
      <c r="A93" s="3"/>
      <c r="V93" s="6"/>
      <c r="W93" s="3"/>
      <c r="AR93" cm="1">
        <f t="array" ref="AR93">SUMPRODUCT($B$162:$U$162,(B93:U93)/($B$11:$U$11))</f>
        <v>0</v>
      </c>
      <c r="AS93">
        <f t="shared" si="10"/>
        <v>0</v>
      </c>
      <c r="AT93" t="e">
        <f t="shared" si="11"/>
        <v>#DIV/0!</v>
      </c>
      <c r="AU93" cm="1">
        <f t="array" ref="AU93">SUMPRODUCT($X$162:$AQ$162,(X93:AQ93)/($X$11:$AQ$11))</f>
        <v>0</v>
      </c>
      <c r="AV93">
        <f t="shared" si="12"/>
        <v>0</v>
      </c>
      <c r="AW93">
        <f t="shared" si="13"/>
        <v>0</v>
      </c>
      <c r="AX93">
        <f t="shared" si="14"/>
        <v>0</v>
      </c>
    </row>
    <row r="94" spans="1:50" x14ac:dyDescent="0.2">
      <c r="A94" s="3"/>
      <c r="V94" s="6"/>
      <c r="W94" s="3"/>
      <c r="AR94" cm="1">
        <f t="array" ref="AR94">SUMPRODUCT($B$162:$U$162,(B94:U94)/($B$11:$U$11))</f>
        <v>0</v>
      </c>
      <c r="AS94">
        <f t="shared" si="10"/>
        <v>0</v>
      </c>
      <c r="AT94" t="e">
        <f t="shared" si="11"/>
        <v>#DIV/0!</v>
      </c>
      <c r="AU94" cm="1">
        <f t="array" ref="AU94">SUMPRODUCT($X$162:$AQ$162,(X94:AQ94)/($X$11:$AQ$11))</f>
        <v>0</v>
      </c>
      <c r="AV94">
        <f t="shared" si="12"/>
        <v>0</v>
      </c>
      <c r="AW94">
        <f t="shared" si="13"/>
        <v>0</v>
      </c>
      <c r="AX94">
        <f t="shared" si="14"/>
        <v>0</v>
      </c>
    </row>
    <row r="95" spans="1:50" x14ac:dyDescent="0.2">
      <c r="A95" s="3"/>
      <c r="V95" s="6"/>
      <c r="W95" s="3"/>
      <c r="AR95" cm="1">
        <f t="array" ref="AR95">SUMPRODUCT($B$162:$U$162,(B95:U95)/($B$11:$U$11))</f>
        <v>0</v>
      </c>
      <c r="AS95">
        <f t="shared" si="10"/>
        <v>0</v>
      </c>
      <c r="AT95" t="e">
        <f t="shared" si="11"/>
        <v>#DIV/0!</v>
      </c>
      <c r="AU95" cm="1">
        <f t="array" ref="AU95">SUMPRODUCT($X$162:$AQ$162,(X95:AQ95)/($X$11:$AQ$11))</f>
        <v>0</v>
      </c>
      <c r="AV95">
        <f t="shared" si="12"/>
        <v>0</v>
      </c>
      <c r="AW95">
        <f t="shared" si="13"/>
        <v>0</v>
      </c>
      <c r="AX95">
        <f t="shared" si="14"/>
        <v>0</v>
      </c>
    </row>
    <row r="96" spans="1:50" x14ac:dyDescent="0.2">
      <c r="A96" s="3"/>
      <c r="V96" s="6"/>
      <c r="W96" s="3"/>
      <c r="AR96" cm="1">
        <f t="array" ref="AR96">SUMPRODUCT($B$162:$U$162,(B96:U96)/($B$11:$U$11))</f>
        <v>0</v>
      </c>
      <c r="AS96">
        <f t="shared" si="10"/>
        <v>0</v>
      </c>
      <c r="AT96" t="e">
        <f t="shared" si="11"/>
        <v>#DIV/0!</v>
      </c>
      <c r="AU96" cm="1">
        <f t="array" ref="AU96">SUMPRODUCT($X$162:$AQ$162,(X96:AQ96)/($X$11:$AQ$11))</f>
        <v>0</v>
      </c>
      <c r="AV96">
        <f t="shared" si="12"/>
        <v>0</v>
      </c>
      <c r="AW96">
        <f t="shared" si="13"/>
        <v>0</v>
      </c>
      <c r="AX96">
        <f t="shared" si="14"/>
        <v>0</v>
      </c>
    </row>
    <row r="97" spans="1:50" x14ac:dyDescent="0.2">
      <c r="A97" s="3"/>
      <c r="V97" s="6"/>
      <c r="W97" s="3"/>
      <c r="AR97" cm="1">
        <f t="array" ref="AR97">SUMPRODUCT($B$162:$U$162,(B97:U97)/($B$11:$U$11))</f>
        <v>0</v>
      </c>
      <c r="AS97">
        <f t="shared" si="10"/>
        <v>0</v>
      </c>
      <c r="AT97" t="e">
        <f t="shared" si="11"/>
        <v>#DIV/0!</v>
      </c>
      <c r="AU97" cm="1">
        <f t="array" ref="AU97">SUMPRODUCT($X$162:$AQ$162,(X97:AQ97)/($X$11:$AQ$11))</f>
        <v>0</v>
      </c>
      <c r="AV97">
        <f t="shared" si="12"/>
        <v>0</v>
      </c>
      <c r="AW97">
        <f t="shared" si="13"/>
        <v>0</v>
      </c>
      <c r="AX97">
        <f t="shared" si="14"/>
        <v>0</v>
      </c>
    </row>
    <row r="98" spans="1:50" x14ac:dyDescent="0.2">
      <c r="A98" s="3"/>
      <c r="V98" s="6"/>
      <c r="W98" s="3"/>
      <c r="AR98" cm="1">
        <f t="array" ref="AR98">SUMPRODUCT($B$162:$U$162,(B98:U98)/($B$11:$U$11))</f>
        <v>0</v>
      </c>
      <c r="AS98">
        <f t="shared" si="10"/>
        <v>0</v>
      </c>
      <c r="AT98" t="e">
        <f t="shared" si="11"/>
        <v>#DIV/0!</v>
      </c>
      <c r="AU98" cm="1">
        <f t="array" ref="AU98">SUMPRODUCT($X$162:$AQ$162,(X98:AQ98)/($X$11:$AQ$11))</f>
        <v>0</v>
      </c>
      <c r="AV98">
        <f t="shared" si="12"/>
        <v>0</v>
      </c>
      <c r="AW98">
        <f t="shared" si="13"/>
        <v>0</v>
      </c>
      <c r="AX98">
        <f t="shared" si="14"/>
        <v>0</v>
      </c>
    </row>
    <row r="99" spans="1:50" x14ac:dyDescent="0.2">
      <c r="A99" s="3"/>
      <c r="V99" s="6"/>
      <c r="W99" s="3"/>
      <c r="AR99" cm="1">
        <f t="array" ref="AR99">SUMPRODUCT($B$162:$U$162,(B99:U99)/($B$11:$U$11))</f>
        <v>0</v>
      </c>
      <c r="AS99">
        <f t="shared" si="10"/>
        <v>0</v>
      </c>
      <c r="AT99" t="e">
        <f t="shared" si="11"/>
        <v>#DIV/0!</v>
      </c>
      <c r="AU99" cm="1">
        <f t="array" ref="AU99">SUMPRODUCT($X$162:$AQ$162,(X99:AQ99)/($X$11:$AQ$11))</f>
        <v>0</v>
      </c>
      <c r="AV99">
        <f t="shared" si="12"/>
        <v>0</v>
      </c>
      <c r="AW99">
        <f t="shared" si="13"/>
        <v>0</v>
      </c>
      <c r="AX99">
        <f t="shared" si="14"/>
        <v>0</v>
      </c>
    </row>
    <row r="100" spans="1:50" x14ac:dyDescent="0.2">
      <c r="A100" s="3"/>
      <c r="V100" s="6"/>
      <c r="W100" s="3"/>
      <c r="AR100" cm="1">
        <f t="array" ref="AR100">SUMPRODUCT($B$162:$U$162,(B100:U100)/($B$11:$U$11))</f>
        <v>0</v>
      </c>
      <c r="AS100">
        <f t="shared" si="10"/>
        <v>0</v>
      </c>
      <c r="AT100" t="e">
        <f t="shared" si="11"/>
        <v>#DIV/0!</v>
      </c>
      <c r="AU100" cm="1">
        <f t="array" ref="AU100">SUMPRODUCT($X$162:$AQ$162,(X100:AQ100)/($X$11:$AQ$11))</f>
        <v>0</v>
      </c>
      <c r="AV100">
        <f t="shared" si="12"/>
        <v>0</v>
      </c>
      <c r="AW100">
        <f t="shared" si="13"/>
        <v>0</v>
      </c>
      <c r="AX100">
        <f t="shared" si="14"/>
        <v>0</v>
      </c>
    </row>
    <row r="101" spans="1:50" x14ac:dyDescent="0.2">
      <c r="A101" s="3"/>
      <c r="V101" s="6"/>
      <c r="W101" s="3"/>
      <c r="AR101" cm="1">
        <f t="array" ref="AR101">SUMPRODUCT($B$162:$U$162,(B101:U101)/($B$11:$U$11))</f>
        <v>0</v>
      </c>
      <c r="AS101">
        <f t="shared" si="10"/>
        <v>0</v>
      </c>
      <c r="AT101" t="e">
        <f t="shared" si="11"/>
        <v>#DIV/0!</v>
      </c>
      <c r="AU101" cm="1">
        <f t="array" ref="AU101">SUMPRODUCT($X$162:$AQ$162,(X101:AQ101)/($X$11:$AQ$11))</f>
        <v>0</v>
      </c>
      <c r="AV101">
        <f t="shared" si="12"/>
        <v>0</v>
      </c>
      <c r="AW101">
        <f t="shared" si="13"/>
        <v>0</v>
      </c>
      <c r="AX101">
        <f t="shared" si="14"/>
        <v>0</v>
      </c>
    </row>
    <row r="102" spans="1:50" x14ac:dyDescent="0.2">
      <c r="A102" s="3"/>
      <c r="V102" s="6"/>
      <c r="W102" s="3"/>
      <c r="AR102" cm="1">
        <f t="array" ref="AR102">SUMPRODUCT($B$162:$U$162,(B102:U102)/($B$11:$U$11))</f>
        <v>0</v>
      </c>
      <c r="AS102">
        <f t="shared" si="10"/>
        <v>0</v>
      </c>
      <c r="AT102" t="e">
        <f t="shared" si="11"/>
        <v>#DIV/0!</v>
      </c>
      <c r="AU102" cm="1">
        <f t="array" ref="AU102">SUMPRODUCT($X$162:$AQ$162,(X102:AQ102)/($X$11:$AQ$11))</f>
        <v>0</v>
      </c>
      <c r="AV102">
        <f t="shared" si="12"/>
        <v>0</v>
      </c>
      <c r="AW102">
        <f t="shared" si="13"/>
        <v>0</v>
      </c>
      <c r="AX102">
        <f t="shared" si="14"/>
        <v>0</v>
      </c>
    </row>
    <row r="103" spans="1:50" x14ac:dyDescent="0.2">
      <c r="A103" s="3"/>
      <c r="V103" s="6"/>
      <c r="W103" s="3"/>
      <c r="AR103" cm="1">
        <f t="array" ref="AR103">SUMPRODUCT($B$162:$U$162,(B103:U103)/($B$11:$U$11))</f>
        <v>0</v>
      </c>
      <c r="AS103">
        <f t="shared" si="10"/>
        <v>0</v>
      </c>
      <c r="AT103" t="e">
        <f t="shared" si="11"/>
        <v>#DIV/0!</v>
      </c>
      <c r="AU103" cm="1">
        <f t="array" ref="AU103">SUMPRODUCT($X$162:$AQ$162,(X103:AQ103)/($X$11:$AQ$11))</f>
        <v>0</v>
      </c>
      <c r="AV103">
        <f t="shared" si="12"/>
        <v>0</v>
      </c>
      <c r="AW103">
        <f t="shared" si="13"/>
        <v>0</v>
      </c>
      <c r="AX103">
        <f t="shared" si="14"/>
        <v>0</v>
      </c>
    </row>
    <row r="104" spans="1:50" x14ac:dyDescent="0.2">
      <c r="A104" s="3"/>
      <c r="V104" s="6"/>
      <c r="W104" s="3"/>
      <c r="AR104" cm="1">
        <f t="array" ref="AR104">SUMPRODUCT($B$162:$U$162,(B104:U104)/($B$11:$U$11))</f>
        <v>0</v>
      </c>
      <c r="AS104">
        <f t="shared" si="10"/>
        <v>0</v>
      </c>
      <c r="AT104" t="e">
        <f t="shared" si="11"/>
        <v>#DIV/0!</v>
      </c>
      <c r="AU104" cm="1">
        <f t="array" ref="AU104">SUMPRODUCT($X$162:$AQ$162,(X104:AQ104)/($X$11:$AQ$11))</f>
        <v>0</v>
      </c>
      <c r="AV104">
        <f t="shared" si="12"/>
        <v>0</v>
      </c>
      <c r="AW104">
        <f t="shared" si="13"/>
        <v>0</v>
      </c>
      <c r="AX104">
        <f t="shared" si="14"/>
        <v>0</v>
      </c>
    </row>
    <row r="105" spans="1:50" x14ac:dyDescent="0.2">
      <c r="A105" s="3"/>
      <c r="V105" s="6"/>
      <c r="W105" s="3"/>
      <c r="AR105" cm="1">
        <f t="array" ref="AR105">SUMPRODUCT($B$162:$U$162,(B105:U105)/($B$11:$U$11))</f>
        <v>0</v>
      </c>
      <c r="AS105">
        <f t="shared" si="10"/>
        <v>0</v>
      </c>
      <c r="AT105" t="e">
        <f t="shared" si="11"/>
        <v>#DIV/0!</v>
      </c>
      <c r="AU105" cm="1">
        <f t="array" ref="AU105">SUMPRODUCT($X$162:$AQ$162,(X105:AQ105)/($X$11:$AQ$11))</f>
        <v>0</v>
      </c>
      <c r="AV105">
        <f t="shared" si="12"/>
        <v>0</v>
      </c>
      <c r="AW105">
        <f t="shared" si="13"/>
        <v>0</v>
      </c>
      <c r="AX105">
        <f t="shared" si="14"/>
        <v>0</v>
      </c>
    </row>
    <row r="106" spans="1:50" x14ac:dyDescent="0.2">
      <c r="A106" s="3"/>
      <c r="V106" s="6"/>
      <c r="W106" s="3"/>
      <c r="AR106" cm="1">
        <f t="array" ref="AR106">SUMPRODUCT($B$162:$U$162,(B106:U106)/($B$11:$U$11))</f>
        <v>0</v>
      </c>
      <c r="AS106">
        <f t="shared" si="10"/>
        <v>0</v>
      </c>
      <c r="AT106" t="e">
        <f t="shared" si="11"/>
        <v>#DIV/0!</v>
      </c>
      <c r="AU106" cm="1">
        <f t="array" ref="AU106">SUMPRODUCT($X$162:$AQ$162,(X106:AQ106)/($X$11:$AQ$11))</f>
        <v>0</v>
      </c>
      <c r="AV106">
        <f t="shared" si="12"/>
        <v>0</v>
      </c>
      <c r="AW106">
        <f t="shared" si="13"/>
        <v>0</v>
      </c>
      <c r="AX106">
        <f t="shared" si="14"/>
        <v>0</v>
      </c>
    </row>
    <row r="107" spans="1:50" x14ac:dyDescent="0.2">
      <c r="A107" s="3"/>
      <c r="V107" s="6"/>
      <c r="W107" s="3"/>
      <c r="AR107" cm="1">
        <f t="array" ref="AR107">SUMPRODUCT($B$162:$U$162,(B107:U107)/($B$11:$U$11))</f>
        <v>0</v>
      </c>
      <c r="AS107">
        <f t="shared" si="10"/>
        <v>0</v>
      </c>
      <c r="AT107" t="e">
        <f t="shared" si="11"/>
        <v>#DIV/0!</v>
      </c>
      <c r="AU107" cm="1">
        <f t="array" ref="AU107">SUMPRODUCT($X$162:$AQ$162,(X107:AQ107)/($X$11:$AQ$11))</f>
        <v>0</v>
      </c>
      <c r="AV107">
        <f t="shared" si="12"/>
        <v>0</v>
      </c>
      <c r="AW107">
        <f t="shared" si="13"/>
        <v>0</v>
      </c>
      <c r="AX107">
        <f t="shared" si="14"/>
        <v>0</v>
      </c>
    </row>
    <row r="108" spans="1:50" x14ac:dyDescent="0.2">
      <c r="A108" s="3"/>
      <c r="V108" s="6"/>
      <c r="W108" s="3"/>
      <c r="AR108" cm="1">
        <f t="array" ref="AR108">SUMPRODUCT($B$162:$U$162,(B108:U108)/($B$11:$U$11))</f>
        <v>0</v>
      </c>
      <c r="AS108">
        <f t="shared" si="10"/>
        <v>0</v>
      </c>
      <c r="AT108" t="e">
        <f t="shared" si="11"/>
        <v>#DIV/0!</v>
      </c>
      <c r="AU108" cm="1">
        <f t="array" ref="AU108">SUMPRODUCT($X$162:$AQ$162,(X108:AQ108)/($X$11:$AQ$11))</f>
        <v>0</v>
      </c>
      <c r="AV108">
        <f t="shared" si="12"/>
        <v>0</v>
      </c>
      <c r="AW108">
        <f t="shared" si="13"/>
        <v>0</v>
      </c>
      <c r="AX108">
        <f t="shared" si="14"/>
        <v>0</v>
      </c>
    </row>
    <row r="109" spans="1:50" x14ac:dyDescent="0.2">
      <c r="A109" s="3"/>
      <c r="V109" s="6"/>
      <c r="W109" s="3"/>
      <c r="AR109" cm="1">
        <f t="array" ref="AR109">SUMPRODUCT($B$162:$U$162,(B109:U109)/($B$11:$U$11))</f>
        <v>0</v>
      </c>
      <c r="AS109">
        <f t="shared" si="10"/>
        <v>0</v>
      </c>
      <c r="AT109" t="e">
        <f t="shared" si="11"/>
        <v>#DIV/0!</v>
      </c>
      <c r="AU109" cm="1">
        <f t="array" ref="AU109">SUMPRODUCT($X$162:$AQ$162,(X109:AQ109)/($X$11:$AQ$11))</f>
        <v>0</v>
      </c>
      <c r="AV109">
        <f t="shared" si="12"/>
        <v>0</v>
      </c>
      <c r="AW109">
        <f t="shared" si="13"/>
        <v>0</v>
      </c>
      <c r="AX109">
        <f t="shared" si="14"/>
        <v>0</v>
      </c>
    </row>
    <row r="110" spans="1:50" x14ac:dyDescent="0.2">
      <c r="A110" s="3"/>
      <c r="V110" s="6"/>
      <c r="W110" s="3"/>
      <c r="AR110" cm="1">
        <f t="array" ref="AR110">SUMPRODUCT($B$162:$U$162,(B110:U110)/($B$11:$U$11))</f>
        <v>0</v>
      </c>
      <c r="AS110">
        <f t="shared" si="10"/>
        <v>0</v>
      </c>
      <c r="AT110" t="e">
        <f t="shared" si="11"/>
        <v>#DIV/0!</v>
      </c>
      <c r="AU110" cm="1">
        <f t="array" ref="AU110">SUMPRODUCT($X$162:$AQ$162,(X110:AQ110)/($X$11:$AQ$11))</f>
        <v>0</v>
      </c>
      <c r="AV110">
        <f t="shared" si="12"/>
        <v>0</v>
      </c>
      <c r="AW110">
        <f t="shared" si="13"/>
        <v>0</v>
      </c>
      <c r="AX110">
        <f t="shared" si="14"/>
        <v>0</v>
      </c>
    </row>
    <row r="111" spans="1:50" x14ac:dyDescent="0.2">
      <c r="A111" s="3"/>
      <c r="V111" s="6"/>
      <c r="W111" s="3"/>
      <c r="AR111" cm="1">
        <f t="array" ref="AR111">SUMPRODUCT($B$162:$U$162,(B111:U111)/($B$11:$U$11))</f>
        <v>0</v>
      </c>
      <c r="AS111">
        <f t="shared" si="10"/>
        <v>0</v>
      </c>
      <c r="AT111" t="e">
        <f t="shared" si="11"/>
        <v>#DIV/0!</v>
      </c>
      <c r="AU111" cm="1">
        <f t="array" ref="AU111">SUMPRODUCT($X$162:$AQ$162,(X111:AQ111)/($X$11:$AQ$11))</f>
        <v>0</v>
      </c>
      <c r="AV111">
        <f t="shared" si="12"/>
        <v>0</v>
      </c>
      <c r="AW111">
        <f t="shared" si="13"/>
        <v>0</v>
      </c>
      <c r="AX111">
        <f t="shared" si="14"/>
        <v>0</v>
      </c>
    </row>
    <row r="112" spans="1:50" x14ac:dyDescent="0.2">
      <c r="A112" s="3"/>
      <c r="V112" s="6"/>
      <c r="W112" s="3"/>
      <c r="AR112" cm="1">
        <f t="array" ref="AR112">SUMPRODUCT($B$162:$U$162,(B112:U112)/($B$11:$U$11))</f>
        <v>0</v>
      </c>
      <c r="AS112">
        <f t="shared" si="10"/>
        <v>0</v>
      </c>
      <c r="AT112" t="e">
        <f t="shared" si="11"/>
        <v>#DIV/0!</v>
      </c>
      <c r="AU112" cm="1">
        <f t="array" ref="AU112">SUMPRODUCT($X$162:$AQ$162,(X112:AQ112)/($X$11:$AQ$11))</f>
        <v>0</v>
      </c>
      <c r="AV112">
        <f t="shared" si="12"/>
        <v>0</v>
      </c>
      <c r="AW112">
        <f t="shared" si="13"/>
        <v>0</v>
      </c>
      <c r="AX112">
        <f t="shared" si="14"/>
        <v>0</v>
      </c>
    </row>
    <row r="113" spans="1:50" x14ac:dyDescent="0.2">
      <c r="A113" s="3"/>
      <c r="V113" s="6"/>
      <c r="W113" s="3"/>
      <c r="AR113" cm="1">
        <f t="array" ref="AR113">SUMPRODUCT($B$162:$U$162,(B113:U113)/($B$11:$U$11))</f>
        <v>0</v>
      </c>
      <c r="AS113">
        <f t="shared" si="10"/>
        <v>0</v>
      </c>
      <c r="AT113" t="e">
        <f t="shared" si="11"/>
        <v>#DIV/0!</v>
      </c>
      <c r="AU113" cm="1">
        <f t="array" ref="AU113">SUMPRODUCT($X$162:$AQ$162,(X113:AQ113)/($X$11:$AQ$11))</f>
        <v>0</v>
      </c>
      <c r="AV113">
        <f t="shared" si="12"/>
        <v>0</v>
      </c>
      <c r="AW113">
        <f t="shared" si="13"/>
        <v>0</v>
      </c>
      <c r="AX113">
        <f t="shared" si="14"/>
        <v>0</v>
      </c>
    </row>
    <row r="114" spans="1:50" x14ac:dyDescent="0.2">
      <c r="A114" s="3"/>
      <c r="V114" s="6"/>
      <c r="W114" s="3"/>
      <c r="AR114" cm="1">
        <f t="array" ref="AR114">SUMPRODUCT($B$162:$U$162,(B114:U114)/($B$11:$U$11))</f>
        <v>0</v>
      </c>
      <c r="AS114">
        <f t="shared" si="10"/>
        <v>0</v>
      </c>
      <c r="AT114" t="e">
        <f t="shared" si="11"/>
        <v>#DIV/0!</v>
      </c>
      <c r="AU114" cm="1">
        <f t="array" ref="AU114">SUMPRODUCT($X$162:$AQ$162,(X114:AQ114)/($X$11:$AQ$11))</f>
        <v>0</v>
      </c>
      <c r="AV114">
        <f t="shared" si="12"/>
        <v>0</v>
      </c>
      <c r="AW114">
        <f t="shared" si="13"/>
        <v>0</v>
      </c>
      <c r="AX114">
        <f t="shared" si="14"/>
        <v>0</v>
      </c>
    </row>
    <row r="115" spans="1:50" x14ac:dyDescent="0.2">
      <c r="A115" s="3"/>
      <c r="V115" s="6"/>
      <c r="W115" s="3"/>
      <c r="AR115" cm="1">
        <f t="array" ref="AR115">SUMPRODUCT($B$162:$U$162,(B115:U115)/($B$11:$U$11))</f>
        <v>0</v>
      </c>
      <c r="AS115">
        <f t="shared" si="10"/>
        <v>0</v>
      </c>
      <c r="AT115" t="e">
        <f t="shared" si="11"/>
        <v>#DIV/0!</v>
      </c>
      <c r="AU115" cm="1">
        <f t="array" ref="AU115">SUMPRODUCT($X$162:$AQ$162,(X115:AQ115)/($X$11:$AQ$11))</f>
        <v>0</v>
      </c>
      <c r="AV115">
        <f t="shared" si="12"/>
        <v>0</v>
      </c>
      <c r="AW115">
        <f t="shared" si="13"/>
        <v>0</v>
      </c>
      <c r="AX115">
        <f t="shared" si="14"/>
        <v>0</v>
      </c>
    </row>
    <row r="116" spans="1:50" x14ac:dyDescent="0.2">
      <c r="A116" s="3"/>
      <c r="V116" s="6"/>
      <c r="W116" s="3"/>
      <c r="AR116" cm="1">
        <f t="array" ref="AR116">SUMPRODUCT($B$162:$U$162,(B116:U116)/($B$11:$U$11))</f>
        <v>0</v>
      </c>
      <c r="AS116">
        <f t="shared" si="10"/>
        <v>0</v>
      </c>
      <c r="AT116" t="e">
        <f t="shared" si="11"/>
        <v>#DIV/0!</v>
      </c>
      <c r="AU116" cm="1">
        <f t="array" ref="AU116">SUMPRODUCT($X$162:$AQ$162,(X116:AQ116)/($X$11:$AQ$11))</f>
        <v>0</v>
      </c>
      <c r="AV116">
        <f t="shared" si="12"/>
        <v>0</v>
      </c>
      <c r="AW116">
        <f t="shared" si="13"/>
        <v>0</v>
      </c>
      <c r="AX116">
        <f t="shared" si="14"/>
        <v>0</v>
      </c>
    </row>
    <row r="117" spans="1:50" x14ac:dyDescent="0.2">
      <c r="A117" s="3"/>
      <c r="V117" s="6"/>
      <c r="W117" s="3"/>
      <c r="AR117" cm="1">
        <f t="array" ref="AR117">SUMPRODUCT($B$162:$U$162,(B117:U117)/($B$11:$U$11))</f>
        <v>0</v>
      </c>
      <c r="AS117">
        <f t="shared" si="10"/>
        <v>0</v>
      </c>
      <c r="AT117" t="e">
        <f t="shared" si="11"/>
        <v>#DIV/0!</v>
      </c>
      <c r="AU117" cm="1">
        <f t="array" ref="AU117">SUMPRODUCT($X$162:$AQ$162,(X117:AQ117)/($X$11:$AQ$11))</f>
        <v>0</v>
      </c>
      <c r="AV117">
        <f t="shared" si="12"/>
        <v>0</v>
      </c>
      <c r="AW117">
        <f t="shared" si="13"/>
        <v>0</v>
      </c>
      <c r="AX117">
        <f t="shared" si="14"/>
        <v>0</v>
      </c>
    </row>
    <row r="118" spans="1:50" x14ac:dyDescent="0.2">
      <c r="A118" s="3"/>
      <c r="V118" s="6"/>
      <c r="W118" s="3"/>
      <c r="AR118" cm="1">
        <f t="array" ref="AR118">SUMPRODUCT($B$162:$U$162,(B118:U118)/($B$11:$U$11))</f>
        <v>0</v>
      </c>
      <c r="AS118">
        <f t="shared" si="10"/>
        <v>0</v>
      </c>
      <c r="AT118" t="e">
        <f t="shared" si="11"/>
        <v>#DIV/0!</v>
      </c>
      <c r="AU118" cm="1">
        <f t="array" ref="AU118">SUMPRODUCT($X$162:$AQ$162,(X118:AQ118)/($X$11:$AQ$11))</f>
        <v>0</v>
      </c>
      <c r="AV118">
        <f t="shared" si="12"/>
        <v>0</v>
      </c>
      <c r="AW118">
        <f t="shared" si="13"/>
        <v>0</v>
      </c>
      <c r="AX118">
        <f t="shared" si="14"/>
        <v>0</v>
      </c>
    </row>
    <row r="119" spans="1:50" x14ac:dyDescent="0.2">
      <c r="A119" s="3"/>
      <c r="V119" s="6"/>
      <c r="W119" s="3"/>
      <c r="AR119" cm="1">
        <f t="array" ref="AR119">SUMPRODUCT($B$162:$U$162,(B119:U119)/($B$11:$U$11))</f>
        <v>0</v>
      </c>
      <c r="AS119">
        <f t="shared" si="10"/>
        <v>0</v>
      </c>
      <c r="AT119" t="e">
        <f t="shared" si="11"/>
        <v>#DIV/0!</v>
      </c>
      <c r="AU119" cm="1">
        <f t="array" ref="AU119">SUMPRODUCT($X$162:$AQ$162,(X119:AQ119)/($X$11:$AQ$11))</f>
        <v>0</v>
      </c>
      <c r="AV119">
        <f t="shared" si="12"/>
        <v>0</v>
      </c>
      <c r="AW119">
        <f t="shared" si="13"/>
        <v>0</v>
      </c>
      <c r="AX119">
        <f t="shared" si="14"/>
        <v>0</v>
      </c>
    </row>
    <row r="120" spans="1:50" x14ac:dyDescent="0.2">
      <c r="A120" s="3"/>
      <c r="V120" s="6"/>
      <c r="W120" s="3"/>
      <c r="AR120" cm="1">
        <f t="array" ref="AR120">SUMPRODUCT($B$162:$U$162,(B120:U120)/($B$11:$U$11))</f>
        <v>0</v>
      </c>
      <c r="AS120">
        <f t="shared" si="10"/>
        <v>0</v>
      </c>
      <c r="AT120" t="e">
        <f t="shared" si="11"/>
        <v>#DIV/0!</v>
      </c>
      <c r="AU120" cm="1">
        <f t="array" ref="AU120">SUMPRODUCT($X$162:$AQ$162,(X120:AQ120)/($X$11:$AQ$11))</f>
        <v>0</v>
      </c>
      <c r="AV120">
        <f t="shared" si="12"/>
        <v>0</v>
      </c>
      <c r="AW120">
        <f t="shared" si="13"/>
        <v>0</v>
      </c>
      <c r="AX120">
        <f t="shared" si="14"/>
        <v>0</v>
      </c>
    </row>
    <row r="121" spans="1:50" x14ac:dyDescent="0.2">
      <c r="A121" s="3"/>
      <c r="V121" s="6"/>
      <c r="W121" s="3"/>
      <c r="AR121" cm="1">
        <f t="array" ref="AR121">SUMPRODUCT($B$162:$U$162,(B121:U121)/($B$11:$U$11))</f>
        <v>0</v>
      </c>
      <c r="AS121">
        <f t="shared" si="10"/>
        <v>0</v>
      </c>
      <c r="AT121" t="e">
        <f t="shared" si="11"/>
        <v>#DIV/0!</v>
      </c>
      <c r="AU121" cm="1">
        <f t="array" ref="AU121">SUMPRODUCT($X$162:$AQ$162,(X121:AQ121)/($X$11:$AQ$11))</f>
        <v>0</v>
      </c>
      <c r="AV121">
        <f t="shared" si="12"/>
        <v>0</v>
      </c>
      <c r="AW121">
        <f t="shared" si="13"/>
        <v>0</v>
      </c>
      <c r="AX121">
        <f t="shared" si="14"/>
        <v>0</v>
      </c>
    </row>
    <row r="122" spans="1:50" x14ac:dyDescent="0.2">
      <c r="A122" s="3"/>
      <c r="V122" s="6"/>
      <c r="W122" s="3"/>
      <c r="AR122" cm="1">
        <f t="array" ref="AR122">SUMPRODUCT($B$162:$U$162,(B122:U122)/($B$11:$U$11))</f>
        <v>0</v>
      </c>
      <c r="AS122">
        <f t="shared" si="10"/>
        <v>0</v>
      </c>
      <c r="AT122" t="e">
        <f t="shared" si="11"/>
        <v>#DIV/0!</v>
      </c>
      <c r="AU122" cm="1">
        <f t="array" ref="AU122">SUMPRODUCT($X$162:$AQ$162,(X122:AQ122)/($X$11:$AQ$11))</f>
        <v>0</v>
      </c>
      <c r="AV122">
        <f t="shared" si="12"/>
        <v>0</v>
      </c>
      <c r="AW122">
        <f t="shared" si="13"/>
        <v>0</v>
      </c>
      <c r="AX122">
        <f t="shared" si="14"/>
        <v>0</v>
      </c>
    </row>
    <row r="123" spans="1:50" x14ac:dyDescent="0.2">
      <c r="A123" s="3"/>
      <c r="V123" s="6"/>
      <c r="W123" s="3"/>
      <c r="AR123" cm="1">
        <f t="array" ref="AR123">SUMPRODUCT($B$162:$U$162,(B123:U123)/($B$11:$U$11))</f>
        <v>0</v>
      </c>
      <c r="AS123">
        <f t="shared" si="10"/>
        <v>0</v>
      </c>
      <c r="AT123" t="e">
        <f t="shared" si="11"/>
        <v>#DIV/0!</v>
      </c>
      <c r="AU123" cm="1">
        <f t="array" ref="AU123">SUMPRODUCT($X$162:$AQ$162,(X123:AQ123)/($X$11:$AQ$11))</f>
        <v>0</v>
      </c>
      <c r="AV123">
        <f t="shared" si="12"/>
        <v>0</v>
      </c>
      <c r="AW123">
        <f t="shared" si="13"/>
        <v>0</v>
      </c>
      <c r="AX123">
        <f t="shared" si="14"/>
        <v>0</v>
      </c>
    </row>
    <row r="124" spans="1:50" x14ac:dyDescent="0.2">
      <c r="A124" s="3"/>
      <c r="V124" s="6"/>
      <c r="W124" s="3"/>
      <c r="AR124" cm="1">
        <f t="array" ref="AR124">SUMPRODUCT($B$162:$U$162,(B124:U124)/($B$11:$U$11))</f>
        <v>0</v>
      </c>
      <c r="AS124">
        <f t="shared" si="10"/>
        <v>0</v>
      </c>
      <c r="AT124" t="e">
        <f t="shared" si="11"/>
        <v>#DIV/0!</v>
      </c>
      <c r="AU124" cm="1">
        <f t="array" ref="AU124">SUMPRODUCT($X$162:$AQ$162,(X124:AQ124)/($X$11:$AQ$11))</f>
        <v>0</v>
      </c>
      <c r="AV124">
        <f t="shared" si="12"/>
        <v>0</v>
      </c>
      <c r="AW124">
        <f t="shared" si="13"/>
        <v>0</v>
      </c>
      <c r="AX124">
        <f t="shared" si="14"/>
        <v>0</v>
      </c>
    </row>
    <row r="125" spans="1:50" x14ac:dyDescent="0.2">
      <c r="A125" s="3"/>
      <c r="V125" s="6"/>
      <c r="W125" s="3"/>
      <c r="AR125" cm="1">
        <f t="array" ref="AR125">SUMPRODUCT($B$162:$U$162,(B125:U125)/($B$11:$U$11))</f>
        <v>0</v>
      </c>
      <c r="AS125">
        <f t="shared" si="10"/>
        <v>0</v>
      </c>
      <c r="AT125" t="e">
        <f t="shared" si="11"/>
        <v>#DIV/0!</v>
      </c>
      <c r="AU125" cm="1">
        <f t="array" ref="AU125">SUMPRODUCT($X$162:$AQ$162,(X125:AQ125)/($X$11:$AQ$11))</f>
        <v>0</v>
      </c>
      <c r="AV125">
        <f t="shared" si="12"/>
        <v>0</v>
      </c>
      <c r="AW125">
        <f t="shared" si="13"/>
        <v>0</v>
      </c>
      <c r="AX125">
        <f t="shared" si="14"/>
        <v>0</v>
      </c>
    </row>
    <row r="126" spans="1:50" x14ac:dyDescent="0.2">
      <c r="A126" s="3"/>
      <c r="V126" s="6"/>
      <c r="W126" s="3"/>
      <c r="AR126" cm="1">
        <f t="array" ref="AR126">SUMPRODUCT($B$162:$U$162,(B126:U126)/($B$11:$U$11))</f>
        <v>0</v>
      </c>
      <c r="AS126">
        <f t="shared" si="10"/>
        <v>0</v>
      </c>
      <c r="AT126" t="e">
        <f t="shared" si="11"/>
        <v>#DIV/0!</v>
      </c>
      <c r="AU126" cm="1">
        <f t="array" ref="AU126">SUMPRODUCT($X$162:$AQ$162,(X126:AQ126)/($X$11:$AQ$11))</f>
        <v>0</v>
      </c>
      <c r="AV126">
        <f t="shared" si="12"/>
        <v>0</v>
      </c>
      <c r="AW126">
        <f t="shared" si="13"/>
        <v>0</v>
      </c>
      <c r="AX126">
        <f t="shared" si="14"/>
        <v>0</v>
      </c>
    </row>
    <row r="127" spans="1:50" x14ac:dyDescent="0.2">
      <c r="A127" s="3"/>
      <c r="V127" s="6"/>
      <c r="W127" s="3"/>
      <c r="AR127" cm="1">
        <f t="array" ref="AR127">SUMPRODUCT($B$162:$U$162,(B127:U127)/($B$11:$U$11))</f>
        <v>0</v>
      </c>
      <c r="AS127">
        <f t="shared" si="10"/>
        <v>0</v>
      </c>
      <c r="AT127" t="e">
        <f t="shared" si="11"/>
        <v>#DIV/0!</v>
      </c>
      <c r="AU127" cm="1">
        <f t="array" ref="AU127">SUMPRODUCT($X$162:$AQ$162,(X127:AQ127)/($X$11:$AQ$11))</f>
        <v>0</v>
      </c>
      <c r="AV127">
        <f t="shared" si="12"/>
        <v>0</v>
      </c>
      <c r="AW127">
        <f t="shared" si="13"/>
        <v>0</v>
      </c>
      <c r="AX127">
        <f t="shared" si="14"/>
        <v>0</v>
      </c>
    </row>
    <row r="128" spans="1:50" x14ac:dyDescent="0.2">
      <c r="A128" s="3"/>
      <c r="V128" s="6"/>
      <c r="W128" s="3"/>
      <c r="AR128" cm="1">
        <f t="array" ref="AR128">SUMPRODUCT($B$162:$U$162,(B128:U128)/($B$11:$U$11))</f>
        <v>0</v>
      </c>
      <c r="AS128">
        <f t="shared" si="10"/>
        <v>0</v>
      </c>
      <c r="AT128" t="e">
        <f t="shared" si="11"/>
        <v>#DIV/0!</v>
      </c>
      <c r="AU128" cm="1">
        <f t="array" ref="AU128">SUMPRODUCT($X$162:$AQ$162,(X128:AQ128)/($X$11:$AQ$11))</f>
        <v>0</v>
      </c>
      <c r="AV128">
        <f t="shared" si="12"/>
        <v>0</v>
      </c>
      <c r="AW128">
        <f t="shared" si="13"/>
        <v>0</v>
      </c>
      <c r="AX128">
        <f t="shared" si="14"/>
        <v>0</v>
      </c>
    </row>
    <row r="129" spans="1:50" x14ac:dyDescent="0.2">
      <c r="A129" s="3"/>
      <c r="V129" s="6"/>
      <c r="W129" s="3"/>
      <c r="AR129" cm="1">
        <f t="array" ref="AR129">SUMPRODUCT($B$162:$U$162,(B129:U129)/($B$11:$U$11))</f>
        <v>0</v>
      </c>
      <c r="AS129">
        <f t="shared" si="10"/>
        <v>0</v>
      </c>
      <c r="AT129" t="e">
        <f t="shared" si="11"/>
        <v>#DIV/0!</v>
      </c>
      <c r="AU129" cm="1">
        <f t="array" ref="AU129">SUMPRODUCT($X$162:$AQ$162,(X129:AQ129)/($X$11:$AQ$11))</f>
        <v>0</v>
      </c>
      <c r="AV129">
        <f t="shared" si="12"/>
        <v>0</v>
      </c>
      <c r="AW129">
        <f t="shared" si="13"/>
        <v>0</v>
      </c>
      <c r="AX129">
        <f t="shared" si="14"/>
        <v>0</v>
      </c>
    </row>
    <row r="130" spans="1:50" x14ac:dyDescent="0.2">
      <c r="A130" s="3"/>
      <c r="V130" s="6"/>
      <c r="W130" s="3"/>
      <c r="AR130" cm="1">
        <f t="array" ref="AR130">SUMPRODUCT($B$162:$U$162,(B130:U130)/($B$11:$U$11))</f>
        <v>0</v>
      </c>
      <c r="AS130">
        <f t="shared" si="10"/>
        <v>0</v>
      </c>
      <c r="AT130" t="e">
        <f t="shared" si="11"/>
        <v>#DIV/0!</v>
      </c>
      <c r="AU130" cm="1">
        <f t="array" ref="AU130">SUMPRODUCT($X$162:$AQ$162,(X130:AQ130)/($X$11:$AQ$11))</f>
        <v>0</v>
      </c>
      <c r="AV130">
        <f t="shared" si="12"/>
        <v>0</v>
      </c>
      <c r="AW130">
        <f t="shared" si="13"/>
        <v>0</v>
      </c>
      <c r="AX130">
        <f t="shared" si="14"/>
        <v>0</v>
      </c>
    </row>
    <row r="131" spans="1:50" x14ac:dyDescent="0.2">
      <c r="A131" s="3"/>
      <c r="V131" s="6"/>
      <c r="W131" s="3"/>
      <c r="AR131" cm="1">
        <f t="array" ref="AR131">SUMPRODUCT($B$162:$U$162,(B131:U131)/($B$11:$U$11))</f>
        <v>0</v>
      </c>
      <c r="AS131">
        <f t="shared" si="10"/>
        <v>0</v>
      </c>
      <c r="AT131" t="e">
        <f t="shared" si="11"/>
        <v>#DIV/0!</v>
      </c>
      <c r="AU131" cm="1">
        <f t="array" ref="AU131">SUMPRODUCT($X$162:$AQ$162,(X131:AQ131)/($X$11:$AQ$11))</f>
        <v>0</v>
      </c>
      <c r="AV131">
        <f t="shared" si="12"/>
        <v>0</v>
      </c>
      <c r="AW131">
        <f t="shared" si="13"/>
        <v>0</v>
      </c>
      <c r="AX131">
        <f t="shared" si="14"/>
        <v>0</v>
      </c>
    </row>
    <row r="132" spans="1:50" x14ac:dyDescent="0.2">
      <c r="A132" s="3"/>
      <c r="V132" s="6"/>
      <c r="W132" s="3"/>
      <c r="AR132" cm="1">
        <f t="array" ref="AR132">SUMPRODUCT($B$162:$U$162,(B132:U132)/($B$11:$U$11))</f>
        <v>0</v>
      </c>
      <c r="AS132">
        <f t="shared" si="10"/>
        <v>0</v>
      </c>
      <c r="AT132" t="e">
        <f t="shared" si="11"/>
        <v>#DIV/0!</v>
      </c>
      <c r="AU132" cm="1">
        <f t="array" ref="AU132">SUMPRODUCT($X$162:$AQ$162,(X132:AQ132)/($X$11:$AQ$11))</f>
        <v>0</v>
      </c>
      <c r="AV132">
        <f t="shared" si="12"/>
        <v>0</v>
      </c>
      <c r="AW132">
        <f t="shared" si="13"/>
        <v>0</v>
      </c>
      <c r="AX132">
        <f t="shared" si="14"/>
        <v>0</v>
      </c>
    </row>
    <row r="133" spans="1:50" x14ac:dyDescent="0.2">
      <c r="A133" s="3"/>
      <c r="V133" s="6"/>
      <c r="W133" s="3"/>
      <c r="AR133" cm="1">
        <f t="array" ref="AR133">SUMPRODUCT($B$162:$U$162,(B133:U133)/($B$11:$U$11))</f>
        <v>0</v>
      </c>
      <c r="AS133">
        <f t="shared" si="10"/>
        <v>0</v>
      </c>
      <c r="AT133" t="e">
        <f t="shared" si="11"/>
        <v>#DIV/0!</v>
      </c>
      <c r="AU133" cm="1">
        <f t="array" ref="AU133">SUMPRODUCT($X$162:$AQ$162,(X133:AQ133)/($X$11:$AQ$11))</f>
        <v>0</v>
      </c>
      <c r="AV133">
        <f t="shared" si="12"/>
        <v>0</v>
      </c>
      <c r="AW133">
        <f t="shared" si="13"/>
        <v>0</v>
      </c>
      <c r="AX133">
        <f t="shared" si="14"/>
        <v>0</v>
      </c>
    </row>
    <row r="134" spans="1:50" x14ac:dyDescent="0.2">
      <c r="A134" s="3"/>
      <c r="V134" s="6"/>
      <c r="W134" s="3"/>
      <c r="AR134" cm="1">
        <f t="array" ref="AR134">SUMPRODUCT($B$162:$U$162,(B134:U134)/($B$11:$U$11))</f>
        <v>0</v>
      </c>
      <c r="AS134">
        <f t="shared" si="10"/>
        <v>0</v>
      </c>
      <c r="AT134" t="e">
        <f t="shared" si="11"/>
        <v>#DIV/0!</v>
      </c>
      <c r="AU134" cm="1">
        <f t="array" ref="AU134">SUMPRODUCT($X$162:$AQ$162,(X134:AQ134)/($X$11:$AQ$11))</f>
        <v>0</v>
      </c>
      <c r="AV134">
        <f t="shared" si="12"/>
        <v>0</v>
      </c>
      <c r="AW134">
        <f t="shared" si="13"/>
        <v>0</v>
      </c>
      <c r="AX134">
        <f t="shared" si="14"/>
        <v>0</v>
      </c>
    </row>
    <row r="135" spans="1:50" x14ac:dyDescent="0.2">
      <c r="A135" s="3"/>
      <c r="V135" s="6"/>
      <c r="W135" s="3"/>
      <c r="AR135" cm="1">
        <f t="array" ref="AR135">SUMPRODUCT($B$162:$U$162,(B135:U135)/($B$11:$U$11))</f>
        <v>0</v>
      </c>
      <c r="AS135">
        <f t="shared" si="10"/>
        <v>0</v>
      </c>
      <c r="AT135" t="e">
        <f t="shared" si="11"/>
        <v>#DIV/0!</v>
      </c>
      <c r="AU135" cm="1">
        <f t="array" ref="AU135">SUMPRODUCT($X$162:$AQ$162,(X135:AQ135)/($X$11:$AQ$11))</f>
        <v>0</v>
      </c>
      <c r="AV135">
        <f t="shared" si="12"/>
        <v>0</v>
      </c>
      <c r="AW135">
        <f t="shared" si="13"/>
        <v>0</v>
      </c>
      <c r="AX135">
        <f t="shared" si="14"/>
        <v>0</v>
      </c>
    </row>
    <row r="136" spans="1:50" x14ac:dyDescent="0.2">
      <c r="A136" s="3"/>
      <c r="V136" s="6"/>
      <c r="W136" s="3"/>
      <c r="AR136" cm="1">
        <f t="array" ref="AR136">SUMPRODUCT($B$162:$U$162,(B136:U136)/($B$11:$U$11))</f>
        <v>0</v>
      </c>
      <c r="AS136">
        <f t="shared" si="10"/>
        <v>0</v>
      </c>
      <c r="AT136" t="e">
        <f t="shared" si="11"/>
        <v>#DIV/0!</v>
      </c>
      <c r="AU136" cm="1">
        <f t="array" ref="AU136">SUMPRODUCT($X$162:$AQ$162,(X136:AQ136)/($X$11:$AQ$11))</f>
        <v>0</v>
      </c>
      <c r="AV136">
        <f t="shared" si="12"/>
        <v>0</v>
      </c>
      <c r="AW136">
        <f t="shared" si="13"/>
        <v>0</v>
      </c>
      <c r="AX136">
        <f t="shared" si="14"/>
        <v>0</v>
      </c>
    </row>
    <row r="137" spans="1:50" x14ac:dyDescent="0.2">
      <c r="A137" s="3"/>
      <c r="V137" s="6"/>
      <c r="W137" s="3"/>
      <c r="AR137" cm="1">
        <f t="array" ref="AR137">SUMPRODUCT($B$162:$U$162,(B137:U137)/($B$11:$U$11))</f>
        <v>0</v>
      </c>
      <c r="AS137">
        <f t="shared" si="10"/>
        <v>0</v>
      </c>
      <c r="AT137" t="e">
        <f t="shared" si="11"/>
        <v>#DIV/0!</v>
      </c>
      <c r="AU137" cm="1">
        <f t="array" ref="AU137">SUMPRODUCT($X$162:$AQ$162,(X137:AQ137)/($X$11:$AQ$11))</f>
        <v>0</v>
      </c>
      <c r="AV137">
        <f t="shared" si="12"/>
        <v>0</v>
      </c>
      <c r="AW137">
        <f t="shared" si="13"/>
        <v>0</v>
      </c>
      <c r="AX137">
        <f t="shared" si="14"/>
        <v>0</v>
      </c>
    </row>
    <row r="138" spans="1:50" x14ac:dyDescent="0.2">
      <c r="A138" s="3"/>
      <c r="V138" s="6"/>
      <c r="W138" s="3"/>
      <c r="AR138" cm="1">
        <f t="array" ref="AR138">SUMPRODUCT($B$162:$U$162,(B138:U138)/($B$11:$U$11))</f>
        <v>0</v>
      </c>
      <c r="AS138">
        <f t="shared" si="10"/>
        <v>0</v>
      </c>
      <c r="AT138" t="e">
        <f t="shared" si="11"/>
        <v>#DIV/0!</v>
      </c>
      <c r="AU138" cm="1">
        <f t="array" ref="AU138">SUMPRODUCT($X$162:$AQ$162,(X138:AQ138)/($X$11:$AQ$11))</f>
        <v>0</v>
      </c>
      <c r="AV138">
        <f t="shared" si="12"/>
        <v>0</v>
      </c>
      <c r="AW138">
        <f t="shared" si="13"/>
        <v>0</v>
      </c>
      <c r="AX138">
        <f t="shared" si="14"/>
        <v>0</v>
      </c>
    </row>
    <row r="139" spans="1:50" x14ac:dyDescent="0.2">
      <c r="A139" s="3"/>
      <c r="V139" s="6"/>
      <c r="W139" s="3"/>
      <c r="AR139" cm="1">
        <f t="array" ref="AR139">SUMPRODUCT($B$162:$U$162,(B139:U139)/($B$11:$U$11))</f>
        <v>0</v>
      </c>
      <c r="AS139">
        <f t="shared" si="10"/>
        <v>0</v>
      </c>
      <c r="AT139" t="e">
        <f t="shared" si="11"/>
        <v>#DIV/0!</v>
      </c>
      <c r="AU139" cm="1">
        <f t="array" ref="AU139">SUMPRODUCT($X$162:$AQ$162,(X139:AQ139)/($X$11:$AQ$11))</f>
        <v>0</v>
      </c>
      <c r="AV139">
        <f t="shared" si="12"/>
        <v>0</v>
      </c>
      <c r="AW139">
        <f t="shared" si="13"/>
        <v>0</v>
      </c>
      <c r="AX139">
        <f t="shared" si="14"/>
        <v>0</v>
      </c>
    </row>
    <row r="140" spans="1:50" x14ac:dyDescent="0.2">
      <c r="A140" s="3"/>
      <c r="V140" s="6"/>
      <c r="W140" s="3"/>
      <c r="AR140" cm="1">
        <f t="array" ref="AR140">SUMPRODUCT($B$162:$U$162,(B140:U140)/($B$11:$U$11))</f>
        <v>0</v>
      </c>
      <c r="AS140">
        <f t="shared" si="10"/>
        <v>0</v>
      </c>
      <c r="AT140" t="e">
        <f t="shared" si="11"/>
        <v>#DIV/0!</v>
      </c>
      <c r="AU140" cm="1">
        <f t="array" ref="AU140">SUMPRODUCT($X$162:$AQ$162,(X140:AQ140)/($X$11:$AQ$11))</f>
        <v>0</v>
      </c>
      <c r="AV140">
        <f t="shared" si="12"/>
        <v>0</v>
      </c>
      <c r="AW140">
        <f t="shared" si="13"/>
        <v>0</v>
      </c>
      <c r="AX140">
        <f t="shared" si="14"/>
        <v>0</v>
      </c>
    </row>
    <row r="141" spans="1:50" x14ac:dyDescent="0.2">
      <c r="A141" s="3"/>
      <c r="V141" s="6"/>
      <c r="W141" s="3"/>
      <c r="AR141" cm="1">
        <f t="array" ref="AR141">SUMPRODUCT($B$162:$U$162,(B141:U141)/($B$11:$U$11))</f>
        <v>0</v>
      </c>
      <c r="AS141">
        <f t="shared" si="10"/>
        <v>0</v>
      </c>
      <c r="AT141" t="e">
        <f t="shared" si="11"/>
        <v>#DIV/0!</v>
      </c>
      <c r="AU141" cm="1">
        <f t="array" ref="AU141">SUMPRODUCT($X$162:$AQ$162,(X141:AQ141)/($X$11:$AQ$11))</f>
        <v>0</v>
      </c>
      <c r="AV141">
        <f t="shared" si="12"/>
        <v>0</v>
      </c>
      <c r="AW141">
        <f t="shared" si="13"/>
        <v>0</v>
      </c>
      <c r="AX141">
        <f t="shared" si="14"/>
        <v>0</v>
      </c>
    </row>
    <row r="142" spans="1:50" x14ac:dyDescent="0.2">
      <c r="A142" s="3"/>
      <c r="V142" s="6"/>
      <c r="W142" s="3"/>
      <c r="AR142" cm="1">
        <f t="array" ref="AR142">SUMPRODUCT($B$162:$U$162,(B142:U142)/($B$11:$U$11))</f>
        <v>0</v>
      </c>
      <c r="AS142">
        <f t="shared" ref="AS142:AS156" si="15">AR142-AR141</f>
        <v>0</v>
      </c>
      <c r="AT142" t="e">
        <f t="shared" ref="AT142:AT156" si="16">AR142/AR141-1</f>
        <v>#DIV/0!</v>
      </c>
      <c r="AU142" cm="1">
        <f t="array" ref="AU142">SUMPRODUCT($X$162:$AQ$162,(X142:AQ142)/($X$11:$AQ$11))</f>
        <v>0</v>
      </c>
      <c r="AV142">
        <f t="shared" ref="AV142:AV156" si="17">AU142-AU141</f>
        <v>0</v>
      </c>
      <c r="AW142">
        <f t="shared" ref="AW142:AW156" si="18">IF(AV142&gt;0, -AV142, ABS(AV142))</f>
        <v>0</v>
      </c>
      <c r="AX142">
        <f t="shared" ref="AX142:AX156" si="19">AS142+AW142</f>
        <v>0</v>
      </c>
    </row>
    <row r="143" spans="1:50" x14ac:dyDescent="0.2">
      <c r="A143" s="3"/>
      <c r="V143" s="6"/>
      <c r="W143" s="3"/>
      <c r="AR143" cm="1">
        <f t="array" ref="AR143">SUMPRODUCT($B$162:$U$162,(B143:U143)/($B$11:$U$11))</f>
        <v>0</v>
      </c>
      <c r="AS143">
        <f t="shared" si="15"/>
        <v>0</v>
      </c>
      <c r="AT143" t="e">
        <f t="shared" si="16"/>
        <v>#DIV/0!</v>
      </c>
      <c r="AU143" cm="1">
        <f t="array" ref="AU143">SUMPRODUCT($X$162:$AQ$162,(X143:AQ143)/($X$11:$AQ$11))</f>
        <v>0</v>
      </c>
      <c r="AV143">
        <f t="shared" si="17"/>
        <v>0</v>
      </c>
      <c r="AW143">
        <f t="shared" si="18"/>
        <v>0</v>
      </c>
      <c r="AX143">
        <f t="shared" si="19"/>
        <v>0</v>
      </c>
    </row>
    <row r="144" spans="1:50" x14ac:dyDescent="0.2">
      <c r="A144" s="3"/>
      <c r="V144" s="6"/>
      <c r="W144" s="3"/>
      <c r="AR144" cm="1">
        <f t="array" ref="AR144">SUMPRODUCT($B$162:$U$162,(B144:U144)/($B$11:$U$11))</f>
        <v>0</v>
      </c>
      <c r="AS144">
        <f t="shared" si="15"/>
        <v>0</v>
      </c>
      <c r="AT144" t="e">
        <f t="shared" si="16"/>
        <v>#DIV/0!</v>
      </c>
      <c r="AU144" cm="1">
        <f t="array" ref="AU144">SUMPRODUCT($X$162:$AQ$162,(X144:AQ144)/($X$11:$AQ$11))</f>
        <v>0</v>
      </c>
      <c r="AV144">
        <f t="shared" si="17"/>
        <v>0</v>
      </c>
      <c r="AW144">
        <f t="shared" si="18"/>
        <v>0</v>
      </c>
      <c r="AX144">
        <f t="shared" si="19"/>
        <v>0</v>
      </c>
    </row>
    <row r="145" spans="1:50" x14ac:dyDescent="0.2">
      <c r="A145" s="3"/>
      <c r="V145" s="6"/>
      <c r="W145" s="3"/>
      <c r="AR145" cm="1">
        <f t="array" ref="AR145">SUMPRODUCT($B$162:$U$162,(B145:U145)/($B$11:$U$11))</f>
        <v>0</v>
      </c>
      <c r="AS145">
        <f t="shared" si="15"/>
        <v>0</v>
      </c>
      <c r="AT145" t="e">
        <f t="shared" si="16"/>
        <v>#DIV/0!</v>
      </c>
      <c r="AU145" cm="1">
        <f t="array" ref="AU145">SUMPRODUCT($X$162:$AQ$162,(X145:AQ145)/($X$11:$AQ$11))</f>
        <v>0</v>
      </c>
      <c r="AV145">
        <f t="shared" si="17"/>
        <v>0</v>
      </c>
      <c r="AW145">
        <f t="shared" si="18"/>
        <v>0</v>
      </c>
      <c r="AX145">
        <f t="shared" si="19"/>
        <v>0</v>
      </c>
    </row>
    <row r="146" spans="1:50" x14ac:dyDescent="0.2">
      <c r="A146" s="3"/>
      <c r="V146" s="6"/>
      <c r="W146" s="3"/>
      <c r="AR146" cm="1">
        <f t="array" ref="AR146">SUMPRODUCT($B$162:$U$162,(B146:U146)/($B$11:$U$11))</f>
        <v>0</v>
      </c>
      <c r="AS146">
        <f t="shared" si="15"/>
        <v>0</v>
      </c>
      <c r="AT146" t="e">
        <f t="shared" si="16"/>
        <v>#DIV/0!</v>
      </c>
      <c r="AU146" cm="1">
        <f t="array" ref="AU146">SUMPRODUCT($X$162:$AQ$162,(X146:AQ146)/($X$11:$AQ$11))</f>
        <v>0</v>
      </c>
      <c r="AV146">
        <f t="shared" si="17"/>
        <v>0</v>
      </c>
      <c r="AW146">
        <f t="shared" si="18"/>
        <v>0</v>
      </c>
      <c r="AX146">
        <f t="shared" si="19"/>
        <v>0</v>
      </c>
    </row>
    <row r="147" spans="1:50" x14ac:dyDescent="0.2">
      <c r="A147" s="3"/>
      <c r="V147" s="6"/>
      <c r="W147" s="3"/>
      <c r="AR147" cm="1">
        <f t="array" ref="AR147">SUMPRODUCT($B$162:$U$162,(B147:U147)/($B$11:$U$11))</f>
        <v>0</v>
      </c>
      <c r="AS147">
        <f t="shared" si="15"/>
        <v>0</v>
      </c>
      <c r="AT147" t="e">
        <f t="shared" si="16"/>
        <v>#DIV/0!</v>
      </c>
      <c r="AU147" cm="1">
        <f t="array" ref="AU147">SUMPRODUCT($X$162:$AQ$162,(X147:AQ147)/($X$11:$AQ$11))</f>
        <v>0</v>
      </c>
      <c r="AV147">
        <f t="shared" si="17"/>
        <v>0</v>
      </c>
      <c r="AW147">
        <f t="shared" si="18"/>
        <v>0</v>
      </c>
      <c r="AX147">
        <f t="shared" si="19"/>
        <v>0</v>
      </c>
    </row>
    <row r="148" spans="1:50" x14ac:dyDescent="0.2">
      <c r="A148" s="3"/>
      <c r="F148" s="2"/>
      <c r="Q148" s="2"/>
      <c r="S148" s="2"/>
      <c r="V148" s="6"/>
      <c r="W148" s="3"/>
      <c r="AR148" cm="1">
        <f t="array" ref="AR148">SUMPRODUCT($B$162:$U$162,(B148:U148)/($B$11:$U$11))</f>
        <v>0</v>
      </c>
      <c r="AS148">
        <f t="shared" si="15"/>
        <v>0</v>
      </c>
      <c r="AT148" t="e">
        <f t="shared" si="16"/>
        <v>#DIV/0!</v>
      </c>
      <c r="AU148" cm="1">
        <f t="array" ref="AU148">SUMPRODUCT($X$162:$AQ$162,(X148:AQ148)/($X$11:$AQ$11))</f>
        <v>0</v>
      </c>
      <c r="AV148">
        <f t="shared" si="17"/>
        <v>0</v>
      </c>
      <c r="AW148">
        <f t="shared" si="18"/>
        <v>0</v>
      </c>
      <c r="AX148">
        <f t="shared" si="19"/>
        <v>0</v>
      </c>
    </row>
    <row r="149" spans="1:50" x14ac:dyDescent="0.2">
      <c r="A149" s="3"/>
      <c r="V149" s="6"/>
      <c r="W149" s="3"/>
      <c r="AR149" cm="1">
        <f t="array" ref="AR149">SUMPRODUCT($B$162:$U$162,(B149:U149)/($B$11:$U$11))</f>
        <v>0</v>
      </c>
      <c r="AS149">
        <f t="shared" si="15"/>
        <v>0</v>
      </c>
      <c r="AT149" t="e">
        <f t="shared" si="16"/>
        <v>#DIV/0!</v>
      </c>
      <c r="AU149" cm="1">
        <f t="array" ref="AU149">SUMPRODUCT($X$162:$AQ$162,(X149:AQ149)/($X$11:$AQ$11))</f>
        <v>0</v>
      </c>
      <c r="AV149">
        <f t="shared" si="17"/>
        <v>0</v>
      </c>
      <c r="AW149">
        <f t="shared" si="18"/>
        <v>0</v>
      </c>
      <c r="AX149">
        <f t="shared" si="19"/>
        <v>0</v>
      </c>
    </row>
    <row r="150" spans="1:50" x14ac:dyDescent="0.2">
      <c r="A150" s="3"/>
      <c r="V150" s="6"/>
      <c r="W150" s="3"/>
      <c r="AR150" cm="1">
        <f t="array" ref="AR150">SUMPRODUCT($B$162:$U$162,(B150:U150)/($B$11:$U$11))</f>
        <v>0</v>
      </c>
      <c r="AS150">
        <f t="shared" si="15"/>
        <v>0</v>
      </c>
      <c r="AT150" t="e">
        <f t="shared" si="16"/>
        <v>#DIV/0!</v>
      </c>
      <c r="AU150" cm="1">
        <f t="array" ref="AU150">SUMPRODUCT($X$162:$AQ$162,(X150:AQ150)/($X$11:$AQ$11))</f>
        <v>0</v>
      </c>
      <c r="AV150">
        <f t="shared" si="17"/>
        <v>0</v>
      </c>
      <c r="AW150">
        <f t="shared" si="18"/>
        <v>0</v>
      </c>
      <c r="AX150">
        <f t="shared" si="19"/>
        <v>0</v>
      </c>
    </row>
    <row r="151" spans="1:50" x14ac:dyDescent="0.2">
      <c r="A151" s="3"/>
      <c r="V151" s="6"/>
      <c r="W151" s="3"/>
      <c r="AR151" cm="1">
        <f t="array" ref="AR151">SUMPRODUCT($B$162:$U$162,(B151:U151)/($B$11:$U$11))</f>
        <v>0</v>
      </c>
      <c r="AS151">
        <f t="shared" si="15"/>
        <v>0</v>
      </c>
      <c r="AT151" t="e">
        <f t="shared" si="16"/>
        <v>#DIV/0!</v>
      </c>
      <c r="AU151" cm="1">
        <f t="array" ref="AU151">SUMPRODUCT($X$162:$AQ$162,(X151:AQ151)/($X$11:$AQ$11))</f>
        <v>0</v>
      </c>
      <c r="AV151">
        <f t="shared" si="17"/>
        <v>0</v>
      </c>
      <c r="AW151">
        <f t="shared" si="18"/>
        <v>0</v>
      </c>
      <c r="AX151">
        <f t="shared" si="19"/>
        <v>0</v>
      </c>
    </row>
    <row r="152" spans="1:50" x14ac:dyDescent="0.2">
      <c r="A152" s="3"/>
      <c r="V152" s="6"/>
      <c r="W152" s="3"/>
      <c r="AR152" cm="1">
        <f t="array" ref="AR152">SUMPRODUCT($B$162:$U$162,(B152:U152)/($B$11:$U$11))</f>
        <v>0</v>
      </c>
      <c r="AS152">
        <f t="shared" si="15"/>
        <v>0</v>
      </c>
      <c r="AT152" t="e">
        <f t="shared" si="16"/>
        <v>#DIV/0!</v>
      </c>
      <c r="AU152" cm="1">
        <f t="array" ref="AU152">SUMPRODUCT($X$162:$AQ$162,(X152:AQ152)/($X$11:$AQ$11))</f>
        <v>0</v>
      </c>
      <c r="AV152">
        <f t="shared" si="17"/>
        <v>0</v>
      </c>
      <c r="AW152">
        <f t="shared" si="18"/>
        <v>0</v>
      </c>
      <c r="AX152">
        <f t="shared" si="19"/>
        <v>0</v>
      </c>
    </row>
    <row r="153" spans="1:50" x14ac:dyDescent="0.2">
      <c r="A153" s="3"/>
      <c r="V153" s="6"/>
      <c r="W153" s="3"/>
      <c r="AR153" cm="1">
        <f t="array" ref="AR153">SUMPRODUCT($B$162:$U$162,(B153:U153)/($B$11:$U$11))</f>
        <v>0</v>
      </c>
      <c r="AS153">
        <f t="shared" si="15"/>
        <v>0</v>
      </c>
      <c r="AT153" t="e">
        <f t="shared" si="16"/>
        <v>#DIV/0!</v>
      </c>
      <c r="AU153" cm="1">
        <f t="array" ref="AU153">SUMPRODUCT($X$162:$AQ$162,(X153:AQ153)/($X$11:$AQ$11))</f>
        <v>0</v>
      </c>
      <c r="AV153">
        <f t="shared" si="17"/>
        <v>0</v>
      </c>
      <c r="AW153">
        <f t="shared" si="18"/>
        <v>0</v>
      </c>
      <c r="AX153">
        <f t="shared" si="19"/>
        <v>0</v>
      </c>
    </row>
    <row r="154" spans="1:50" x14ac:dyDescent="0.2">
      <c r="A154" s="3"/>
      <c r="V154" s="6"/>
      <c r="W154" s="3"/>
      <c r="AR154" cm="1">
        <f t="array" ref="AR154">SUMPRODUCT($B$162:$U$162,(B154:U154)/($B$11:$U$11))</f>
        <v>0</v>
      </c>
      <c r="AS154">
        <f t="shared" si="15"/>
        <v>0</v>
      </c>
      <c r="AT154" t="e">
        <f t="shared" si="16"/>
        <v>#DIV/0!</v>
      </c>
      <c r="AU154" cm="1">
        <f t="array" ref="AU154">SUMPRODUCT($X$162:$AQ$162,(X154:AQ154)/($X$11:$AQ$11))</f>
        <v>0</v>
      </c>
      <c r="AV154">
        <f t="shared" si="17"/>
        <v>0</v>
      </c>
      <c r="AW154">
        <f t="shared" si="18"/>
        <v>0</v>
      </c>
      <c r="AX154">
        <f t="shared" si="19"/>
        <v>0</v>
      </c>
    </row>
    <row r="155" spans="1:50" x14ac:dyDescent="0.2">
      <c r="A155" s="3"/>
      <c r="V155" s="6"/>
      <c r="W155" s="3"/>
      <c r="AR155" cm="1">
        <f t="array" ref="AR155">SUMPRODUCT($B$162:$U$162,(B155:U155)/($B$11:$U$11))</f>
        <v>0</v>
      </c>
      <c r="AS155">
        <f t="shared" si="15"/>
        <v>0</v>
      </c>
      <c r="AT155" t="e">
        <f t="shared" si="16"/>
        <v>#DIV/0!</v>
      </c>
      <c r="AU155" cm="1">
        <f t="array" ref="AU155">SUMPRODUCT($X$162:$AQ$162,(X155:AQ155)/($X$11:$AQ$11))</f>
        <v>0</v>
      </c>
      <c r="AV155">
        <f t="shared" si="17"/>
        <v>0</v>
      </c>
      <c r="AW155">
        <f t="shared" si="18"/>
        <v>0</v>
      </c>
      <c r="AX155">
        <f t="shared" si="19"/>
        <v>0</v>
      </c>
    </row>
    <row r="156" spans="1:50" x14ac:dyDescent="0.2">
      <c r="A156" s="3"/>
      <c r="V156" s="6"/>
      <c r="W156" s="3"/>
      <c r="AR156" cm="1">
        <f t="array" ref="AR156">SUMPRODUCT($B$162:$U$162,(B156:U156)/($B$11:$U$11))</f>
        <v>0</v>
      </c>
      <c r="AS156">
        <f t="shared" si="15"/>
        <v>0</v>
      </c>
      <c r="AT156" t="e">
        <f t="shared" si="16"/>
        <v>#DIV/0!</v>
      </c>
      <c r="AU156" cm="1">
        <f t="array" ref="AU156">SUMPRODUCT($X$162:$AQ$162,(X156:AQ156)/($X$11:$AQ$11))</f>
        <v>0</v>
      </c>
      <c r="AV156">
        <f t="shared" si="17"/>
        <v>0</v>
      </c>
      <c r="AW156">
        <f t="shared" si="18"/>
        <v>0</v>
      </c>
      <c r="AX156">
        <f t="shared" si="19"/>
        <v>0</v>
      </c>
    </row>
    <row r="157" spans="1:50" x14ac:dyDescent="0.2">
      <c r="V157" s="6"/>
    </row>
    <row r="158" spans="1:50" x14ac:dyDescent="0.2">
      <c r="V158" s="6"/>
      <c r="AX158">
        <f>SUM(AX11:AX156)</f>
        <v>-4.5474735088646412E-13</v>
      </c>
    </row>
    <row r="159" spans="1:50" x14ac:dyDescent="0.2">
      <c r="A159" t="s">
        <v>28</v>
      </c>
      <c r="B159">
        <f>B58-B11</f>
        <v>1.740000000000002</v>
      </c>
      <c r="C159">
        <f t="shared" ref="C159:U159" si="20">C58-C11</f>
        <v>-0.44999999999999929</v>
      </c>
      <c r="D159">
        <f t="shared" si="20"/>
        <v>-53.399999999999977</v>
      </c>
      <c r="E159">
        <f t="shared" si="20"/>
        <v>24</v>
      </c>
      <c r="F159">
        <f t="shared" si="20"/>
        <v>19.650000000000006</v>
      </c>
      <c r="G159">
        <f t="shared" si="20"/>
        <v>349.5</v>
      </c>
      <c r="H159">
        <f t="shared" si="20"/>
        <v>8.3999999999999631E-2</v>
      </c>
      <c r="I159">
        <f t="shared" si="20"/>
        <v>-33.199999999999989</v>
      </c>
      <c r="J159">
        <f t="shared" si="20"/>
        <v>4.8349999999999973</v>
      </c>
      <c r="K159">
        <f t="shared" si="20"/>
        <v>-11.599999999999994</v>
      </c>
      <c r="L159">
        <f t="shared" si="20"/>
        <v>-36</v>
      </c>
      <c r="M159">
        <f t="shared" si="20"/>
        <v>-2.4000000000000057</v>
      </c>
      <c r="N159">
        <f t="shared" si="20"/>
        <v>12.300000000000004</v>
      </c>
      <c r="O159">
        <f t="shared" si="20"/>
        <v>11.150000000000006</v>
      </c>
      <c r="P159">
        <f t="shared" si="20"/>
        <v>-0.47999999999998977</v>
      </c>
      <c r="Q159">
        <f t="shared" si="20"/>
        <v>3.0500000000000114</v>
      </c>
      <c r="R159">
        <f t="shared" si="20"/>
        <v>3.5999999999999943</v>
      </c>
      <c r="S159">
        <f t="shared" si="20"/>
        <v>1.379999999999999</v>
      </c>
      <c r="T159">
        <f t="shared" si="20"/>
        <v>3.1899999999999977</v>
      </c>
      <c r="U159">
        <f t="shared" si="20"/>
        <v>-4.7299999999999969</v>
      </c>
      <c r="V159" s="6"/>
      <c r="W159" t="s">
        <v>28</v>
      </c>
      <c r="X159">
        <f>X58-X11</f>
        <v>2.4799999999999898</v>
      </c>
      <c r="Y159">
        <f t="shared" ref="Y159:AQ159" si="21">Y58-Y11</f>
        <v>184.27318396800001</v>
      </c>
      <c r="Z159">
        <f t="shared" si="21"/>
        <v>-3.7999999999999829</v>
      </c>
      <c r="AA159">
        <f t="shared" si="21"/>
        <v>5.4100000000000037</v>
      </c>
      <c r="AB159">
        <f t="shared" si="21"/>
        <v>1430</v>
      </c>
      <c r="AC159">
        <f t="shared" si="21"/>
        <v>35</v>
      </c>
      <c r="AD159">
        <f t="shared" si="21"/>
        <v>9.2999999999999972</v>
      </c>
      <c r="AE159">
        <f t="shared" si="21"/>
        <v>27.800000000000011</v>
      </c>
      <c r="AF159">
        <f t="shared" si="21"/>
        <v>-38.200000000000045</v>
      </c>
      <c r="AG159">
        <f t="shared" si="21"/>
        <v>-370</v>
      </c>
      <c r="AH159">
        <f t="shared" si="21"/>
        <v>244</v>
      </c>
      <c r="AI159">
        <f t="shared" si="21"/>
        <v>1.6999999999999886</v>
      </c>
      <c r="AJ159">
        <f t="shared" si="21"/>
        <v>0.17799999999999949</v>
      </c>
      <c r="AK159">
        <f t="shared" si="21"/>
        <v>34.5</v>
      </c>
      <c r="AL159">
        <f t="shared" si="21"/>
        <v>59</v>
      </c>
      <c r="AM159">
        <f t="shared" si="21"/>
        <v>69</v>
      </c>
      <c r="AN159">
        <f t="shared" si="21"/>
        <v>29.005588750000243</v>
      </c>
      <c r="AO159">
        <f t="shared" si="21"/>
        <v>96</v>
      </c>
      <c r="AP159">
        <f t="shared" si="21"/>
        <v>94</v>
      </c>
      <c r="AQ159">
        <f t="shared" si="21"/>
        <v>19.730935499999987</v>
      </c>
    </row>
    <row r="160" spans="1:50" x14ac:dyDescent="0.2">
      <c r="A160" t="s">
        <v>29</v>
      </c>
      <c r="B160">
        <f>B58/B11</f>
        <v>1.084425036390102</v>
      </c>
      <c r="C160">
        <f t="shared" ref="C160:U160" si="22">C58/C11</f>
        <v>0.97007978723404265</v>
      </c>
      <c r="D160">
        <f t="shared" si="22"/>
        <v>0.91550632911392404</v>
      </c>
      <c r="E160">
        <f t="shared" si="22"/>
        <v>1.0764331210191083</v>
      </c>
      <c r="F160">
        <f t="shared" si="22"/>
        <v>1.2431930693069309</v>
      </c>
      <c r="G160">
        <f t="shared" si="22"/>
        <v>1.1932540779651646</v>
      </c>
      <c r="H160">
        <f t="shared" si="22"/>
        <v>1.0087010565568675</v>
      </c>
      <c r="I160">
        <f t="shared" si="22"/>
        <v>0.81039406053683616</v>
      </c>
      <c r="J160">
        <f t="shared" si="22"/>
        <v>1.2890881913303436</v>
      </c>
      <c r="K160">
        <f t="shared" si="22"/>
        <v>0.94401544401544402</v>
      </c>
      <c r="L160">
        <f t="shared" si="22"/>
        <v>0.89479836353009934</v>
      </c>
      <c r="M160">
        <f t="shared" si="22"/>
        <v>0.98793363499245845</v>
      </c>
      <c r="N160">
        <f t="shared" si="22"/>
        <v>1.2005870841487281</v>
      </c>
      <c r="O160">
        <f t="shared" si="22"/>
        <v>1.153793103448276</v>
      </c>
      <c r="P160">
        <f t="shared" si="22"/>
        <v>0.99289099526066371</v>
      </c>
      <c r="Q160">
        <f t="shared" si="22"/>
        <v>1.0150431565967941</v>
      </c>
      <c r="R160">
        <f t="shared" si="22"/>
        <v>1.0402684563758389</v>
      </c>
      <c r="S160">
        <f t="shared" si="22"/>
        <v>1.0500907441016334</v>
      </c>
      <c r="T160">
        <f t="shared" si="22"/>
        <v>1.0627211954384586</v>
      </c>
      <c r="U160">
        <f t="shared" si="22"/>
        <v>0.88817966903073298</v>
      </c>
      <c r="V160" s="6"/>
      <c r="W160" t="s">
        <v>29</v>
      </c>
      <c r="X160">
        <f>X58/X11</f>
        <v>1.0361832506565507</v>
      </c>
      <c r="Y160">
        <f t="shared" ref="Y160:AQ160" si="23">Y58/Y11</f>
        <v>1.0311442112391009</v>
      </c>
      <c r="Z160">
        <f t="shared" si="23"/>
        <v>0.97427217332430616</v>
      </c>
      <c r="AA160">
        <f t="shared" si="23"/>
        <v>1.1521800281293952</v>
      </c>
      <c r="AB160">
        <f t="shared" si="23"/>
        <v>1.2694046721929164</v>
      </c>
      <c r="AC160">
        <f t="shared" si="23"/>
        <v>1.0436408977556109</v>
      </c>
      <c r="AD160">
        <f t="shared" si="23"/>
        <v>1.0986214209968186</v>
      </c>
      <c r="AE160">
        <f t="shared" si="23"/>
        <v>1.1402623612512615</v>
      </c>
      <c r="AF160">
        <f t="shared" si="23"/>
        <v>0.95839686342844688</v>
      </c>
      <c r="AG160">
        <f t="shared" si="23"/>
        <v>0.92345883326437728</v>
      </c>
      <c r="AH160">
        <f t="shared" si="23"/>
        <v>1.2342999807950836</v>
      </c>
      <c r="AI160">
        <f t="shared" si="23"/>
        <v>1.0045068928950158</v>
      </c>
      <c r="AJ160">
        <f t="shared" si="23"/>
        <v>1.0452926208651399</v>
      </c>
      <c r="AK160">
        <f t="shared" si="23"/>
        <v>1.0973201692524683</v>
      </c>
      <c r="AL160">
        <f t="shared" si="23"/>
        <v>1.1026979982593559</v>
      </c>
      <c r="AM160">
        <f t="shared" si="23"/>
        <v>1.0789473684210527</v>
      </c>
      <c r="AN160">
        <f t="shared" si="23"/>
        <v>1.0059056544345366</v>
      </c>
      <c r="AO160">
        <f t="shared" si="23"/>
        <v>1.0843214756258235</v>
      </c>
      <c r="AP160">
        <f t="shared" si="23"/>
        <v>1.2396736359000511</v>
      </c>
      <c r="AQ160">
        <f t="shared" si="23"/>
        <v>1.1400394477317553</v>
      </c>
    </row>
    <row r="161" spans="1:43" x14ac:dyDescent="0.2">
      <c r="V161" s="6"/>
    </row>
    <row r="162" spans="1:43" x14ac:dyDescent="0.2">
      <c r="A162" t="s">
        <v>30</v>
      </c>
      <c r="B162">
        <f>B8*$B$1</f>
        <v>250.00000000000006</v>
      </c>
      <c r="C162">
        <f t="shared" ref="C162:U162" si="24">C8*$B$1</f>
        <v>250.00000000000006</v>
      </c>
      <c r="D162">
        <f t="shared" si="24"/>
        <v>1.7072809129247979</v>
      </c>
      <c r="E162">
        <f t="shared" si="24"/>
        <v>61.648641911180995</v>
      </c>
      <c r="F162">
        <f t="shared" si="24"/>
        <v>137.08854578627171</v>
      </c>
      <c r="G162">
        <f t="shared" si="24"/>
        <v>3.828421620852795</v>
      </c>
      <c r="H162">
        <f t="shared" si="24"/>
        <v>116.32126344754126</v>
      </c>
      <c r="I162">
        <f t="shared" si="24"/>
        <v>250.00000000000006</v>
      </c>
      <c r="J162">
        <f t="shared" si="24"/>
        <v>190.84216749601549</v>
      </c>
      <c r="K162">
        <f t="shared" si="24"/>
        <v>71.16320569800321</v>
      </c>
      <c r="L162">
        <f t="shared" si="24"/>
        <v>75.468514532102901</v>
      </c>
      <c r="M162">
        <f t="shared" si="24"/>
        <v>36.618345422064728</v>
      </c>
      <c r="N162">
        <f t="shared" si="24"/>
        <v>48.217061079787321</v>
      </c>
      <c r="O162">
        <f t="shared" si="24"/>
        <v>187.32387284335755</v>
      </c>
      <c r="P162">
        <f t="shared" si="24"/>
        <v>33.328435564121207</v>
      </c>
      <c r="Q162">
        <f t="shared" si="24"/>
        <v>123.04947105819504</v>
      </c>
      <c r="R162">
        <f t="shared" si="24"/>
        <v>47.862759964361658</v>
      </c>
      <c r="S162">
        <f t="shared" si="24"/>
        <v>115.53201266321965</v>
      </c>
      <c r="T162">
        <f t="shared" si="24"/>
        <v>250.00000000000006</v>
      </c>
      <c r="U162">
        <f t="shared" si="24"/>
        <v>250.00000000000006</v>
      </c>
      <c r="V162" s="6"/>
      <c r="W162" t="s">
        <v>30</v>
      </c>
      <c r="X162">
        <f>X8*$B$1</f>
        <v>250</v>
      </c>
      <c r="Y162">
        <f t="shared" ref="Y162:AQ162" si="25">Y8*$B$1</f>
        <v>133.40713301734095</v>
      </c>
      <c r="Z162">
        <f t="shared" si="25"/>
        <v>250</v>
      </c>
      <c r="AA162">
        <f t="shared" si="25"/>
        <v>143.1109637556697</v>
      </c>
      <c r="AB162">
        <f t="shared" si="25"/>
        <v>41.97134838272747</v>
      </c>
      <c r="AC162">
        <f t="shared" si="25"/>
        <v>26.003518853308965</v>
      </c>
      <c r="AD162">
        <f t="shared" si="25"/>
        <v>228.04681447552409</v>
      </c>
      <c r="AE162">
        <f t="shared" si="25"/>
        <v>164.02276940796057</v>
      </c>
      <c r="AF162">
        <f t="shared" si="25"/>
        <v>28.525011140861523</v>
      </c>
      <c r="AG162">
        <f t="shared" si="25"/>
        <v>73.598544102939044</v>
      </c>
      <c r="AH162">
        <f t="shared" si="25"/>
        <v>67.594489075353508</v>
      </c>
      <c r="AI162">
        <f t="shared" si="25"/>
        <v>250</v>
      </c>
      <c r="AJ162">
        <f t="shared" si="25"/>
        <v>107.25418021535239</v>
      </c>
      <c r="AK162">
        <f t="shared" si="25"/>
        <v>151.75169685826594</v>
      </c>
      <c r="AL162">
        <f t="shared" si="25"/>
        <v>190.41555643582254</v>
      </c>
      <c r="AM162">
        <f t="shared" si="25"/>
        <v>59.660523949564201</v>
      </c>
      <c r="AN162">
        <f t="shared" si="25"/>
        <v>192.6136513226877</v>
      </c>
      <c r="AO162">
        <f t="shared" si="25"/>
        <v>89.371866340585697</v>
      </c>
      <c r="AP162">
        <f t="shared" si="25"/>
        <v>36.576811497893083</v>
      </c>
      <c r="AQ162">
        <f t="shared" si="25"/>
        <v>16.075121168142726</v>
      </c>
    </row>
    <row r="163" spans="1:43" x14ac:dyDescent="0.2">
      <c r="A163" t="s">
        <v>31</v>
      </c>
      <c r="B163">
        <f>B160*B162</f>
        <v>271.10625909752554</v>
      </c>
      <c r="C163">
        <f t="shared" ref="C163:U163" si="26">C160*C162</f>
        <v>242.51994680851072</v>
      </c>
      <c r="D163">
        <f t="shared" si="26"/>
        <v>1.5630264813580508</v>
      </c>
      <c r="E163">
        <f t="shared" si="26"/>
        <v>66.360640019041966</v>
      </c>
      <c r="F163">
        <f t="shared" si="26"/>
        <v>170.42753000285884</v>
      </c>
      <c r="G163">
        <f t="shared" si="26"/>
        <v>4.568279711252603</v>
      </c>
      <c r="H163">
        <f t="shared" si="26"/>
        <v>117.3333813395646</v>
      </c>
      <c r="I163">
        <f t="shared" si="26"/>
        <v>202.59851513420909</v>
      </c>
      <c r="J163">
        <f t="shared" si="26"/>
        <v>246.0123845270011</v>
      </c>
      <c r="K163">
        <f t="shared" si="26"/>
        <v>67.17916522456288</v>
      </c>
      <c r="L163">
        <f t="shared" si="26"/>
        <v>67.529103301373198</v>
      </c>
      <c r="M163">
        <f t="shared" si="26"/>
        <v>36.176495100229857</v>
      </c>
      <c r="N163">
        <f t="shared" si="26"/>
        <v>57.888780768002981</v>
      </c>
      <c r="O163">
        <f t="shared" si="26"/>
        <v>216.13299259788775</v>
      </c>
      <c r="P163">
        <f t="shared" si="26"/>
        <v>33.091503557741206</v>
      </c>
      <c r="Q163">
        <f t="shared" si="26"/>
        <v>124.90052352047616</v>
      </c>
      <c r="R163">
        <f t="shared" si="26"/>
        <v>49.790119426013803</v>
      </c>
      <c r="S163">
        <f t="shared" si="26"/>
        <v>121.31909714507965</v>
      </c>
      <c r="T163">
        <f t="shared" si="26"/>
        <v>265.68029885961471</v>
      </c>
      <c r="U163">
        <f t="shared" si="26"/>
        <v>222.0449172576833</v>
      </c>
      <c r="V163" s="6"/>
      <c r="W163" t="s">
        <v>31</v>
      </c>
      <c r="X163">
        <f>X162*X160</f>
        <v>259.04581266413766</v>
      </c>
      <c r="Y163">
        <f t="shared" ref="Y163:AQ163" si="27">Y162*Y160</f>
        <v>137.56199294883587</v>
      </c>
      <c r="Z163">
        <f t="shared" si="27"/>
        <v>243.56804333107655</v>
      </c>
      <c r="AA163">
        <f t="shared" si="27"/>
        <v>164.88959424563237</v>
      </c>
      <c r="AB163">
        <f t="shared" si="27"/>
        <v>53.278625735270857</v>
      </c>
      <c r="AC163">
        <f t="shared" si="27"/>
        <v>27.138335760872319</v>
      </c>
      <c r="AD163">
        <f t="shared" si="27"/>
        <v>250.53711537289814</v>
      </c>
      <c r="AE163">
        <f t="shared" si="27"/>
        <v>187.02899034409228</v>
      </c>
      <c r="AF163">
        <f t="shared" si="27"/>
        <v>27.338281206663186</v>
      </c>
      <c r="AG163">
        <f t="shared" si="27"/>
        <v>67.965225667256902</v>
      </c>
      <c r="AH163">
        <f t="shared" si="27"/>
        <v>83.431876567562327</v>
      </c>
      <c r="AI163">
        <f t="shared" si="27"/>
        <v>251.12672322375397</v>
      </c>
      <c r="AJ163">
        <f t="shared" si="27"/>
        <v>112.11200313604773</v>
      </c>
      <c r="AK163">
        <f t="shared" si="27"/>
        <v>166.52019768086166</v>
      </c>
      <c r="AL163">
        <f t="shared" si="27"/>
        <v>209.97085291922292</v>
      </c>
      <c r="AM163">
        <f t="shared" si="27"/>
        <v>64.370565314003485</v>
      </c>
      <c r="AN163">
        <f t="shared" si="27"/>
        <v>193.75116098677381</v>
      </c>
      <c r="AO163">
        <f t="shared" si="27"/>
        <v>96.90783398985775</v>
      </c>
      <c r="AP163">
        <f t="shared" si="27"/>
        <v>45.343308899223913</v>
      </c>
      <c r="AQ163">
        <f t="shared" si="27"/>
        <v>18.326272258750482</v>
      </c>
    </row>
    <row r="164" spans="1:43" x14ac:dyDescent="0.2">
      <c r="A164" t="s">
        <v>32</v>
      </c>
      <c r="B164">
        <f>B163-B162</f>
        <v>21.106259097525481</v>
      </c>
      <c r="C164" s="6">
        <f t="shared" ref="C164:U164" si="28">C163-C162</f>
        <v>-7.4800531914893327</v>
      </c>
      <c r="D164">
        <f t="shared" si="28"/>
        <v>-0.14425443156674711</v>
      </c>
      <c r="E164">
        <f t="shared" si="28"/>
        <v>4.7119981078609712</v>
      </c>
      <c r="F164">
        <f t="shared" si="28"/>
        <v>33.338984216587136</v>
      </c>
      <c r="G164">
        <f t="shared" si="28"/>
        <v>0.73985809039980799</v>
      </c>
      <c r="H164">
        <f t="shared" si="28"/>
        <v>1.0121178920233405</v>
      </c>
      <c r="I164">
        <f t="shared" si="28"/>
        <v>-47.401484865790962</v>
      </c>
      <c r="J164">
        <f t="shared" si="28"/>
        <v>55.170217030985611</v>
      </c>
      <c r="K164">
        <f t="shared" si="28"/>
        <v>-3.9840404734403307</v>
      </c>
      <c r="L164">
        <f t="shared" si="28"/>
        <v>-7.9394112307297036</v>
      </c>
      <c r="M164">
        <f t="shared" si="28"/>
        <v>-0.44185032183487039</v>
      </c>
      <c r="N164">
        <f t="shared" si="28"/>
        <v>9.67171968821566</v>
      </c>
      <c r="O164">
        <f t="shared" si="28"/>
        <v>28.809119754530201</v>
      </c>
      <c r="P164">
        <f t="shared" si="28"/>
        <v>-0.23693200638000178</v>
      </c>
      <c r="Q164">
        <f t="shared" si="28"/>
        <v>1.8510524622811175</v>
      </c>
      <c r="R164">
        <f t="shared" si="28"/>
        <v>1.927359461652145</v>
      </c>
      <c r="S164">
        <f t="shared" si="28"/>
        <v>5.7870844818600062</v>
      </c>
      <c r="T164" s="18">
        <f t="shared" si="28"/>
        <v>15.680298859614652</v>
      </c>
      <c r="U164">
        <f t="shared" si="28"/>
        <v>-27.955082742316762</v>
      </c>
      <c r="V164" s="6"/>
      <c r="W164" t="s">
        <v>32</v>
      </c>
      <c r="X164">
        <f>X162-X163</f>
        <v>-9.0458126641376566</v>
      </c>
      <c r="Y164">
        <f t="shared" ref="Y164:AQ164" si="29">Y162-Y163</f>
        <v>-4.1548599314949115</v>
      </c>
      <c r="Z164">
        <f t="shared" si="29"/>
        <v>6.4319566689234478</v>
      </c>
      <c r="AA164">
        <f t="shared" si="29"/>
        <v>-21.778630489962666</v>
      </c>
      <c r="AB164">
        <f t="shared" si="29"/>
        <v>-11.307277352543387</v>
      </c>
      <c r="AC164">
        <f t="shared" si="29"/>
        <v>-1.134816907563355</v>
      </c>
      <c r="AD164">
        <f t="shared" si="29"/>
        <v>-22.490300897374055</v>
      </c>
      <c r="AE164">
        <f t="shared" si="29"/>
        <v>-23.006220936131712</v>
      </c>
      <c r="AF164">
        <f t="shared" si="29"/>
        <v>1.1867299341983362</v>
      </c>
      <c r="AG164">
        <f t="shared" si="29"/>
        <v>5.633318435682142</v>
      </c>
      <c r="AH164">
        <f t="shared" si="29"/>
        <v>-15.837387492208819</v>
      </c>
      <c r="AI164">
        <f t="shared" si="29"/>
        <v>-1.1267232237539702</v>
      </c>
      <c r="AJ164">
        <f t="shared" si="29"/>
        <v>-4.8578229206953409</v>
      </c>
      <c r="AK164">
        <f t="shared" si="29"/>
        <v>-14.768500822595712</v>
      </c>
      <c r="AL164">
        <f t="shared" si="29"/>
        <v>-19.555296483400383</v>
      </c>
      <c r="AM164">
        <f t="shared" si="29"/>
        <v>-4.7100413644392845</v>
      </c>
      <c r="AN164">
        <f t="shared" si="29"/>
        <v>-1.1375096640861102</v>
      </c>
      <c r="AO164">
        <f t="shared" si="29"/>
        <v>-7.5359676492720524</v>
      </c>
      <c r="AP164">
        <f t="shared" si="29"/>
        <v>-8.766497401330831</v>
      </c>
      <c r="AQ164">
        <f t="shared" si="29"/>
        <v>-2.2511510906077561</v>
      </c>
    </row>
    <row r="165" spans="1:43" x14ac:dyDescent="0.2">
      <c r="A165" t="s">
        <v>33</v>
      </c>
      <c r="B165">
        <f>SUM(B164:U164)</f>
        <v>84.222959879987428</v>
      </c>
      <c r="V165" s="6"/>
      <c r="W165" t="s">
        <v>33</v>
      </c>
      <c r="X165">
        <f>SUM(X164:AQ164)</f>
        <v>-160.21281225279409</v>
      </c>
    </row>
    <row r="166" spans="1:43" x14ac:dyDescent="0.2">
      <c r="V166" s="6"/>
    </row>
    <row r="167" spans="1:43" x14ac:dyDescent="0.2">
      <c r="A167" t="s">
        <v>34</v>
      </c>
      <c r="B167">
        <f>SUM(B162:U162)</f>
        <v>2500.0000000000005</v>
      </c>
      <c r="V167" s="6"/>
      <c r="W167" t="s">
        <v>34</v>
      </c>
      <c r="X167">
        <f>SUM(X162:AQ162)</f>
        <v>2500</v>
      </c>
    </row>
    <row r="168" spans="1:43" x14ac:dyDescent="0.2">
      <c r="V168" s="6"/>
    </row>
    <row r="169" spans="1:43" x14ac:dyDescent="0.2">
      <c r="V169" s="6"/>
    </row>
    <row r="170" spans="1:43" x14ac:dyDescent="0.2">
      <c r="V170" s="6"/>
      <c r="W170" t="s">
        <v>35</v>
      </c>
      <c r="X170">
        <f>B165+X165</f>
        <v>-75.989852372806666</v>
      </c>
    </row>
  </sheetData>
  <sortState xmlns:xlrd2="http://schemas.microsoft.com/office/spreadsheetml/2017/richdata2" ref="A11:U58">
    <sortCondition ref="A11:A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E082-5D3F-496C-902C-433D73EE84A9}">
  <dimension ref="A1:BB171"/>
  <sheetViews>
    <sheetView topLeftCell="AT19" zoomScale="76" zoomScaleNormal="70" workbookViewId="0">
      <selection activeCell="AX57" sqref="AX57"/>
    </sheetView>
  </sheetViews>
  <sheetFormatPr baseColWidth="10" defaultColWidth="8.83203125" defaultRowHeight="15" x14ac:dyDescent="0.2"/>
  <cols>
    <col min="1" max="1" width="21.6640625" customWidth="1"/>
    <col min="23" max="23" width="22.83203125" customWidth="1"/>
    <col min="44" max="44" width="21.6640625" customWidth="1"/>
    <col min="45" max="45" width="25.33203125" customWidth="1"/>
    <col min="46" max="46" width="36.33203125" customWidth="1"/>
    <col min="47" max="47" width="46.1640625" bestFit="1" customWidth="1"/>
    <col min="48" max="48" width="37.33203125" customWidth="1"/>
    <col min="49" max="49" width="23.33203125" customWidth="1"/>
    <col min="50" max="50" width="16.33203125" customWidth="1"/>
    <col min="51" max="51" width="15" customWidth="1"/>
    <col min="54" max="54" width="11.83203125" bestFit="1" customWidth="1"/>
  </cols>
  <sheetData>
    <row r="1" spans="1:54" x14ac:dyDescent="0.2">
      <c r="A1" s="4" t="s">
        <v>18</v>
      </c>
      <c r="B1">
        <v>5000</v>
      </c>
    </row>
    <row r="7" spans="1:54" x14ac:dyDescent="0.2"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</row>
    <row r="8" spans="1:54" ht="16" x14ac:dyDescent="0.2">
      <c r="A8" t="s">
        <v>19</v>
      </c>
      <c r="B8" s="28">
        <v>1.39630034466771E-2</v>
      </c>
      <c r="C8" s="28">
        <v>8.4375991532476737E-3</v>
      </c>
      <c r="D8" s="28">
        <v>1.438215461697151E-2</v>
      </c>
      <c r="E8" s="28">
        <v>2.7929285293121411E-2</v>
      </c>
      <c r="F8" s="28">
        <v>5.000000000000001E-2</v>
      </c>
      <c r="G8" s="28">
        <v>3.1147718650006199E-2</v>
      </c>
      <c r="H8" s="28">
        <v>1.074027430437203E-2</v>
      </c>
      <c r="I8" s="28">
        <v>1.3545964649413119E-2</v>
      </c>
      <c r="J8" s="28">
        <v>5.000000000000001E-2</v>
      </c>
      <c r="K8" s="28">
        <v>3.441596999811377E-2</v>
      </c>
      <c r="L8" s="28">
        <v>1.7828261856646349E-2</v>
      </c>
      <c r="M8" s="28">
        <v>1.0375280592209119E-2</v>
      </c>
      <c r="N8" s="28">
        <v>4.1767385985192217E-2</v>
      </c>
      <c r="O8" s="28">
        <v>3.9504341125228062E-2</v>
      </c>
      <c r="P8" s="28">
        <v>2.3347460405848699E-2</v>
      </c>
      <c r="Q8" s="28">
        <v>3.9566379366030857E-2</v>
      </c>
      <c r="R8" s="28">
        <v>1.4625218277666319E-2</v>
      </c>
      <c r="S8" s="28">
        <v>2.8465868292073961E-2</v>
      </c>
      <c r="T8" s="28">
        <v>1.4086743290892609E-2</v>
      </c>
      <c r="U8" s="28">
        <v>1.5871090696288951E-2</v>
      </c>
      <c r="V8" s="6"/>
      <c r="W8" t="s">
        <v>19</v>
      </c>
      <c r="X8" s="29">
        <v>5.000000000000001E-2</v>
      </c>
      <c r="Y8" s="29">
        <v>2.2884872889336761E-2</v>
      </c>
      <c r="Z8" s="29">
        <v>9.1966185018446701E-3</v>
      </c>
      <c r="AA8" s="29">
        <v>1.091515449236834E-2</v>
      </c>
      <c r="AB8" s="29">
        <v>1.7349028454332841E-2</v>
      </c>
      <c r="AC8" s="29">
        <v>1.9567859525303901E-2</v>
      </c>
      <c r="AD8" s="29">
        <v>5.000000000000001E-2</v>
      </c>
      <c r="AE8" s="29">
        <v>1.12487380955048E-2</v>
      </c>
      <c r="AF8" s="29">
        <v>4.4573060957835628E-2</v>
      </c>
      <c r="AG8" s="29">
        <v>7.4261903578678777E-3</v>
      </c>
      <c r="AH8" s="29">
        <v>3.4234252001292313E-2</v>
      </c>
      <c r="AI8" s="29">
        <v>5.3415559588446552E-3</v>
      </c>
      <c r="AJ8" s="29">
        <v>3.065796834033126E-2</v>
      </c>
      <c r="AK8" s="29">
        <v>7.1577771630958794E-3</v>
      </c>
      <c r="AL8" s="29">
        <v>2.738113075361507E-2</v>
      </c>
      <c r="AM8" s="29">
        <v>5.000000000000001E-2</v>
      </c>
      <c r="AN8" s="29">
        <v>2.0692802016708822E-2</v>
      </c>
      <c r="AO8" s="29">
        <v>1.4235108947529379E-2</v>
      </c>
      <c r="AP8" s="29">
        <v>3.7878758179575527E-2</v>
      </c>
      <c r="AQ8" s="29">
        <v>2.9259123364612279E-2</v>
      </c>
    </row>
    <row r="9" spans="1:5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6"/>
    </row>
    <row r="10" spans="1:54" x14ac:dyDescent="0.2">
      <c r="B10" s="2" t="s">
        <v>92</v>
      </c>
      <c r="C10" s="2" t="s">
        <v>93</v>
      </c>
      <c r="D10" s="2" t="s">
        <v>94</v>
      </c>
      <c r="E10" s="2" t="s">
        <v>95</v>
      </c>
      <c r="F10" s="2" t="s">
        <v>96</v>
      </c>
      <c r="G10" s="2" t="s">
        <v>97</v>
      </c>
      <c r="H10" s="2" t="s">
        <v>98</v>
      </c>
      <c r="I10" s="2" t="s">
        <v>99</v>
      </c>
      <c r="J10" s="2" t="s">
        <v>100</v>
      </c>
      <c r="K10" s="2" t="s">
        <v>101</v>
      </c>
      <c r="L10" s="2" t="s">
        <v>4</v>
      </c>
      <c r="M10" s="2" t="s">
        <v>102</v>
      </c>
      <c r="N10" s="2" t="s">
        <v>103</v>
      </c>
      <c r="O10" s="2" t="s">
        <v>104</v>
      </c>
      <c r="P10" s="2" t="s">
        <v>105</v>
      </c>
      <c r="Q10" s="2" t="s">
        <v>106</v>
      </c>
      <c r="R10" s="2" t="s">
        <v>107</v>
      </c>
      <c r="S10" s="2" t="s">
        <v>108</v>
      </c>
      <c r="T10" s="2" t="s">
        <v>109</v>
      </c>
      <c r="U10" s="2" t="s">
        <v>0</v>
      </c>
      <c r="V10" s="6"/>
      <c r="X10" s="2" t="s">
        <v>110</v>
      </c>
      <c r="Y10" s="2" t="s">
        <v>111</v>
      </c>
      <c r="Z10" s="2" t="s">
        <v>112</v>
      </c>
      <c r="AA10" s="2" t="s">
        <v>2</v>
      </c>
      <c r="AB10" s="2" t="s">
        <v>113</v>
      </c>
      <c r="AC10" s="2" t="s">
        <v>114</v>
      </c>
      <c r="AD10" s="2" t="s">
        <v>115</v>
      </c>
      <c r="AE10" s="2" t="s">
        <v>1</v>
      </c>
      <c r="AF10" s="2" t="s">
        <v>116</v>
      </c>
      <c r="AG10" s="2" t="s">
        <v>117</v>
      </c>
      <c r="AH10" s="2" t="s">
        <v>118</v>
      </c>
      <c r="AI10" s="2" t="s">
        <v>119</v>
      </c>
      <c r="AJ10" s="2" t="s">
        <v>120</v>
      </c>
      <c r="AK10" s="2" t="s">
        <v>121</v>
      </c>
      <c r="AL10" s="2" t="s">
        <v>122</v>
      </c>
      <c r="AM10" s="2" t="s">
        <v>123</v>
      </c>
      <c r="AN10" s="2" t="s">
        <v>124</v>
      </c>
      <c r="AO10" s="2" t="s">
        <v>3</v>
      </c>
      <c r="AP10" s="2" t="s">
        <v>125</v>
      </c>
      <c r="AQ10" s="2" t="s">
        <v>126</v>
      </c>
      <c r="AR10" t="s">
        <v>36</v>
      </c>
      <c r="AS10" t="s">
        <v>37</v>
      </c>
      <c r="AT10" t="s">
        <v>38</v>
      </c>
      <c r="AU10" t="s">
        <v>39</v>
      </c>
      <c r="AV10" t="s">
        <v>40</v>
      </c>
      <c r="AW10" t="s">
        <v>41</v>
      </c>
      <c r="AX10" t="s">
        <v>42</v>
      </c>
      <c r="AY10" t="s">
        <v>129</v>
      </c>
    </row>
    <row r="11" spans="1:54" x14ac:dyDescent="0.2">
      <c r="A11" s="3">
        <v>45982</v>
      </c>
      <c r="B11">
        <v>520.26</v>
      </c>
      <c r="C11">
        <v>180.98</v>
      </c>
      <c r="D11">
        <v>168.18</v>
      </c>
      <c r="E11">
        <v>131.46</v>
      </c>
      <c r="F11">
        <v>296.36</v>
      </c>
      <c r="G11">
        <v>92.46</v>
      </c>
      <c r="H11">
        <v>298.80970119</v>
      </c>
      <c r="I11">
        <v>101.62</v>
      </c>
      <c r="J11">
        <v>33.78</v>
      </c>
      <c r="K11">
        <v>305.49</v>
      </c>
      <c r="L11">
        <v>89.9</v>
      </c>
      <c r="M11">
        <v>60.23</v>
      </c>
      <c r="N11">
        <v>755.9</v>
      </c>
      <c r="O11">
        <v>226.82</v>
      </c>
      <c r="P11">
        <v>85.13</v>
      </c>
      <c r="Q11">
        <v>83.48</v>
      </c>
      <c r="R11">
        <v>141.56</v>
      </c>
      <c r="S11">
        <v>195.02</v>
      </c>
      <c r="T11">
        <v>134.28</v>
      </c>
      <c r="U11">
        <v>32.19</v>
      </c>
      <c r="V11" s="6"/>
      <c r="W11" s="3">
        <v>45982</v>
      </c>
      <c r="X11">
        <v>143.21</v>
      </c>
      <c r="Y11">
        <v>76.63</v>
      </c>
      <c r="Z11">
        <v>17.277138579999999</v>
      </c>
      <c r="AA11">
        <v>39.869999999999997</v>
      </c>
      <c r="AB11">
        <v>154.85</v>
      </c>
      <c r="AC11">
        <v>352.89</v>
      </c>
      <c r="AD11">
        <v>203.9</v>
      </c>
      <c r="AE11">
        <v>183.08</v>
      </c>
      <c r="AF11">
        <v>106.4</v>
      </c>
      <c r="AG11">
        <v>41.44</v>
      </c>
      <c r="AH11">
        <v>74.87</v>
      </c>
      <c r="AI11">
        <v>119.6</v>
      </c>
      <c r="AJ11">
        <v>32.549999999999997</v>
      </c>
      <c r="AK11">
        <v>295.83999999999997</v>
      </c>
      <c r="AL11">
        <v>83.11</v>
      </c>
      <c r="AM11">
        <v>135.77000000000001</v>
      </c>
      <c r="AN11">
        <v>50.9</v>
      </c>
      <c r="AO11">
        <v>23.72</v>
      </c>
      <c r="AP11">
        <v>504.04</v>
      </c>
      <c r="AQ11">
        <v>87.37</v>
      </c>
      <c r="AR11" cm="1">
        <f t="array" ref="AR11">SUMPRODUCT($B$162:$U$162,(B11:U11)/($B$11:$U$11))</f>
        <v>2500.0000000000005</v>
      </c>
      <c r="AS11">
        <v>25000.5</v>
      </c>
      <c r="AT11">
        <v>1</v>
      </c>
      <c r="AU11" cm="1">
        <f t="array" ref="AU11">SUMPRODUCT($X$162:$AQ$162,(X12:AQ12)/($X$12:$AQ$12))</f>
        <v>2500.0000000000005</v>
      </c>
      <c r="AV11">
        <v>25000</v>
      </c>
      <c r="AW11">
        <v>0</v>
      </c>
      <c r="AX11">
        <v>0</v>
      </c>
      <c r="AY11">
        <v>0</v>
      </c>
      <c r="BB11" s="27"/>
    </row>
    <row r="12" spans="1:54" x14ac:dyDescent="0.2">
      <c r="A12" s="3">
        <v>45985</v>
      </c>
      <c r="B12">
        <v>559.79999999999995</v>
      </c>
      <c r="C12">
        <v>183.23</v>
      </c>
      <c r="D12">
        <v>169.67</v>
      </c>
      <c r="E12">
        <v>130.35</v>
      </c>
      <c r="F12">
        <v>291.92</v>
      </c>
      <c r="G12">
        <v>91.94</v>
      </c>
      <c r="H12">
        <v>292.23970775999999</v>
      </c>
      <c r="I12">
        <v>100.53</v>
      </c>
      <c r="J12">
        <v>33.71</v>
      </c>
      <c r="K12">
        <v>309.92</v>
      </c>
      <c r="L12">
        <v>93.39</v>
      </c>
      <c r="M12">
        <v>62.21</v>
      </c>
      <c r="N12">
        <v>761.45</v>
      </c>
      <c r="O12">
        <v>226.02</v>
      </c>
      <c r="P12">
        <v>83.13</v>
      </c>
      <c r="Q12">
        <v>84.23</v>
      </c>
      <c r="R12">
        <v>145.30000000000001</v>
      </c>
      <c r="S12">
        <v>193.09</v>
      </c>
      <c r="T12">
        <v>132.33000000000001</v>
      </c>
      <c r="U12">
        <v>33.32</v>
      </c>
      <c r="V12" s="6"/>
      <c r="W12" s="3">
        <v>45985</v>
      </c>
      <c r="X12">
        <v>144.26</v>
      </c>
      <c r="Y12">
        <v>74.7</v>
      </c>
      <c r="Z12">
        <v>17.187876670000001</v>
      </c>
      <c r="AA12">
        <v>40.79</v>
      </c>
      <c r="AB12">
        <v>162.25</v>
      </c>
      <c r="AC12">
        <v>355.93</v>
      </c>
      <c r="AD12">
        <v>206.05</v>
      </c>
      <c r="AE12">
        <v>182.66</v>
      </c>
      <c r="AF12">
        <v>107.2</v>
      </c>
      <c r="AG12">
        <v>41.43</v>
      </c>
      <c r="AH12">
        <v>74.83</v>
      </c>
      <c r="AI12">
        <v>123.24</v>
      </c>
      <c r="AJ12">
        <v>32.380000000000003</v>
      </c>
      <c r="AK12">
        <v>296.23</v>
      </c>
      <c r="AL12">
        <v>84.66</v>
      </c>
      <c r="AM12">
        <v>136.07</v>
      </c>
      <c r="AN12">
        <v>51.25</v>
      </c>
      <c r="AO12">
        <v>24.15</v>
      </c>
      <c r="AP12">
        <v>507.81</v>
      </c>
      <c r="AQ12">
        <v>87.56</v>
      </c>
      <c r="AR12" cm="1">
        <f t="array" ref="AR12">SUMPRODUCT($B$162:$U$162,(B12:U12)/($B$11:$U$11))</f>
        <v>2508.0608998879252</v>
      </c>
      <c r="AS12">
        <f>AR12-AR11</f>
        <v>8.0608998879247338</v>
      </c>
      <c r="AT12">
        <f>AR12/AR11</f>
        <v>1.0032243599551698</v>
      </c>
      <c r="AU12" cm="1">
        <f t="array" ref="AU12">SUMPRODUCT($X$162:$AQ$162,(X12:AQ12)/($X$11:$AQ$11))</f>
        <v>2515.9450014915274</v>
      </c>
      <c r="AV12">
        <f>AU12-AU11</f>
        <v>15.945001491526909</v>
      </c>
      <c r="AW12">
        <f>IF(AV12&gt;0, -AV12, ABS(AV12))</f>
        <v>-15.945001491526909</v>
      </c>
      <c r="AX12">
        <f>AS12+AW12</f>
        <v>-7.8841016036021756</v>
      </c>
      <c r="AY12" s="17">
        <f>AX12/VLOOKUP(W12,EURUSD!$A$2:$B$61,2,FALSE)</f>
        <v>-6.8438381975713334</v>
      </c>
      <c r="BB12" s="3"/>
    </row>
    <row r="13" spans="1:54" x14ac:dyDescent="0.2">
      <c r="A13" s="3">
        <v>45986</v>
      </c>
      <c r="B13">
        <v>556.03</v>
      </c>
      <c r="C13">
        <v>185.8</v>
      </c>
      <c r="D13">
        <v>177.51</v>
      </c>
      <c r="E13">
        <v>132.37</v>
      </c>
      <c r="F13">
        <v>295.63</v>
      </c>
      <c r="G13">
        <v>93.61</v>
      </c>
      <c r="H13">
        <v>288.13637853</v>
      </c>
      <c r="I13">
        <v>108.97</v>
      </c>
      <c r="J13">
        <v>34.96</v>
      </c>
      <c r="K13">
        <v>314.73</v>
      </c>
      <c r="L13">
        <v>91.94</v>
      </c>
      <c r="M13">
        <v>61.69</v>
      </c>
      <c r="N13">
        <v>787.32</v>
      </c>
      <c r="O13">
        <v>228.17</v>
      </c>
      <c r="P13">
        <v>85.47</v>
      </c>
      <c r="Q13">
        <v>84.83</v>
      </c>
      <c r="R13">
        <v>146.77000000000001</v>
      </c>
      <c r="S13">
        <v>193.3</v>
      </c>
      <c r="T13">
        <v>134.33000000000001</v>
      </c>
      <c r="U13">
        <v>32.479999999999997</v>
      </c>
      <c r="V13" s="6"/>
      <c r="W13" s="3">
        <v>45986</v>
      </c>
      <c r="X13">
        <v>147.58000000000001</v>
      </c>
      <c r="Y13">
        <v>75.91</v>
      </c>
      <c r="Z13">
        <v>17.644104209999998</v>
      </c>
      <c r="AA13">
        <v>41.07</v>
      </c>
      <c r="AB13">
        <v>163.55000000000001</v>
      </c>
      <c r="AC13">
        <v>362.64</v>
      </c>
      <c r="AD13">
        <v>206.67</v>
      </c>
      <c r="AE13">
        <v>185.13</v>
      </c>
      <c r="AF13">
        <v>107.95</v>
      </c>
      <c r="AG13">
        <v>41.41</v>
      </c>
      <c r="AH13">
        <v>72.849999999999994</v>
      </c>
      <c r="AI13">
        <v>127.47</v>
      </c>
      <c r="AJ13">
        <v>34.14</v>
      </c>
      <c r="AK13">
        <v>304.12</v>
      </c>
      <c r="AL13">
        <v>85.1</v>
      </c>
      <c r="AM13">
        <v>136.07</v>
      </c>
      <c r="AN13">
        <v>51.83</v>
      </c>
      <c r="AO13">
        <v>24.75</v>
      </c>
      <c r="AP13">
        <v>508.57</v>
      </c>
      <c r="AQ13">
        <v>86.62</v>
      </c>
      <c r="AR13" cm="1">
        <f t="array" ref="AR13">SUMPRODUCT($B$162:$U$162,(B13:U13)/($B$11:$U$11))</f>
        <v>2548.0984678900304</v>
      </c>
      <c r="AS13">
        <f t="shared" ref="AS13:AS76" si="0">AR13-AR12</f>
        <v>40.037568002105218</v>
      </c>
      <c r="AT13">
        <f t="shared" ref="AT13:AT76" si="1">AR13/AR12</f>
        <v>1.0159635549535078</v>
      </c>
      <c r="AU13" cm="1">
        <f t="array" ref="AU13">SUMPRODUCT($X$162:$AQ$162,(X13:AQ13)/($X$11:$AQ$11))</f>
        <v>2538.8821577226067</v>
      </c>
      <c r="AV13">
        <f t="shared" ref="AV13:AV57" si="2">AU13-AU12</f>
        <v>22.937156231079371</v>
      </c>
      <c r="AW13">
        <f t="shared" ref="AW13:AW76" si="3">IF(AV13&gt;0, -AV13, ABS(AV13))</f>
        <v>-22.937156231079371</v>
      </c>
      <c r="AX13">
        <f t="shared" ref="AX13:AX76" si="4">AS13+AW13</f>
        <v>17.100411771025847</v>
      </c>
      <c r="AY13" s="17">
        <f>AX13/VLOOKUP(W13,EURUSD!$A$2:$B$61,2,FALSE)</f>
        <v>14.781235863969096</v>
      </c>
      <c r="BB13" s="3"/>
    </row>
    <row r="14" spans="1:54" x14ac:dyDescent="0.2">
      <c r="A14" s="3">
        <v>45987</v>
      </c>
      <c r="B14">
        <v>586.37</v>
      </c>
      <c r="C14">
        <v>184.69</v>
      </c>
      <c r="D14">
        <v>181.94</v>
      </c>
      <c r="E14">
        <v>133.29</v>
      </c>
      <c r="F14">
        <v>294.24</v>
      </c>
      <c r="G14">
        <v>94.4</v>
      </c>
      <c r="H14">
        <v>287.63637903</v>
      </c>
      <c r="I14">
        <v>111.75</v>
      </c>
      <c r="J14">
        <v>35.78</v>
      </c>
      <c r="K14">
        <v>314.31</v>
      </c>
      <c r="L14">
        <v>93.7</v>
      </c>
      <c r="M14">
        <v>62.53</v>
      </c>
      <c r="N14">
        <v>784.61</v>
      </c>
      <c r="O14">
        <v>228.52</v>
      </c>
      <c r="P14">
        <v>87.19</v>
      </c>
      <c r="Q14">
        <v>85.54</v>
      </c>
      <c r="R14">
        <v>148.33000000000001</v>
      </c>
      <c r="S14">
        <v>194.79</v>
      </c>
      <c r="T14">
        <v>134.91</v>
      </c>
      <c r="U14">
        <v>32.83</v>
      </c>
      <c r="V14" s="6"/>
      <c r="W14" s="3">
        <v>45987</v>
      </c>
      <c r="X14">
        <v>147.36000000000001</v>
      </c>
      <c r="Y14">
        <v>75.900000000000006</v>
      </c>
      <c r="Z14">
        <v>17.59451426</v>
      </c>
      <c r="AA14">
        <v>42.15</v>
      </c>
      <c r="AB14">
        <v>165.77</v>
      </c>
      <c r="AC14">
        <v>363.97</v>
      </c>
      <c r="AD14">
        <v>207.56</v>
      </c>
      <c r="AE14">
        <v>185.56</v>
      </c>
      <c r="AF14">
        <v>108.26</v>
      </c>
      <c r="AG14">
        <v>41.42</v>
      </c>
      <c r="AH14">
        <v>71.5</v>
      </c>
      <c r="AI14">
        <v>129.46</v>
      </c>
      <c r="AJ14">
        <v>34.78</v>
      </c>
      <c r="AK14">
        <v>304.64999999999998</v>
      </c>
      <c r="AL14">
        <v>85.56</v>
      </c>
      <c r="AM14">
        <v>136.78</v>
      </c>
      <c r="AN14">
        <v>52.57</v>
      </c>
      <c r="AO14">
        <v>25.01</v>
      </c>
      <c r="AP14">
        <v>511.23</v>
      </c>
      <c r="AQ14">
        <v>87.09</v>
      </c>
      <c r="AR14" cm="1">
        <f t="array" ref="AR14">SUMPRODUCT($B$162:$U$162,(B14:U14)/($B$11:$U$11))</f>
        <v>2571.6620552123345</v>
      </c>
      <c r="AS14">
        <f t="shared" si="0"/>
        <v>23.563587322304102</v>
      </c>
      <c r="AT14">
        <f t="shared" si="1"/>
        <v>1.009247518343283</v>
      </c>
      <c r="AU14" cm="1">
        <f t="array" ref="AU14">SUMPRODUCT($X$162:$AQ$162,(X14:AQ14)/($X$11:$AQ$11))</f>
        <v>2549.895527750693</v>
      </c>
      <c r="AV14">
        <f t="shared" si="2"/>
        <v>11.013370028086229</v>
      </c>
      <c r="AW14">
        <f t="shared" si="3"/>
        <v>-11.013370028086229</v>
      </c>
      <c r="AX14">
        <f t="shared" si="4"/>
        <v>12.550217294217873</v>
      </c>
      <c r="AY14" s="17">
        <f>AX14/VLOOKUP(W14,EURUSD!$A$2:$B$61,2,FALSE)</f>
        <v>10.824751849420281</v>
      </c>
      <c r="BB14" s="3"/>
    </row>
    <row r="15" spans="1:54" x14ac:dyDescent="0.2">
      <c r="A15" s="3">
        <v>45989</v>
      </c>
      <c r="B15">
        <v>599.48</v>
      </c>
      <c r="C15">
        <v>187</v>
      </c>
      <c r="D15">
        <v>184.18</v>
      </c>
      <c r="E15">
        <v>133.16999999999999</v>
      </c>
      <c r="F15">
        <v>295.49</v>
      </c>
      <c r="G15">
        <v>93.92</v>
      </c>
      <c r="H15">
        <v>288.09637857000001</v>
      </c>
      <c r="I15">
        <v>112.23</v>
      </c>
      <c r="J15">
        <v>35.69</v>
      </c>
      <c r="K15">
        <v>313.62</v>
      </c>
      <c r="L15">
        <v>94.07</v>
      </c>
      <c r="M15">
        <v>63.47</v>
      </c>
      <c r="N15">
        <v>780.19</v>
      </c>
      <c r="O15">
        <v>228.16</v>
      </c>
      <c r="P15">
        <v>88.03</v>
      </c>
      <c r="Q15">
        <v>86.29</v>
      </c>
      <c r="R15">
        <v>148.26</v>
      </c>
      <c r="S15">
        <v>194.27</v>
      </c>
      <c r="T15">
        <v>135.29</v>
      </c>
      <c r="U15">
        <v>33.85</v>
      </c>
      <c r="V15" s="6"/>
      <c r="W15" s="3">
        <v>45989</v>
      </c>
      <c r="X15">
        <v>146.9</v>
      </c>
      <c r="Y15">
        <v>76.2</v>
      </c>
      <c r="Z15">
        <v>17.485416369999999</v>
      </c>
      <c r="AA15">
        <v>42.98</v>
      </c>
      <c r="AB15">
        <v>168.45</v>
      </c>
      <c r="AC15">
        <v>365.27</v>
      </c>
      <c r="AD15">
        <v>206.92</v>
      </c>
      <c r="AE15">
        <v>186.32</v>
      </c>
      <c r="AF15">
        <v>107.87</v>
      </c>
      <c r="AG15">
        <v>42</v>
      </c>
      <c r="AH15">
        <v>71.62</v>
      </c>
      <c r="AI15">
        <v>128.68</v>
      </c>
      <c r="AJ15">
        <v>35.29</v>
      </c>
      <c r="AK15">
        <v>304.79000000000002</v>
      </c>
      <c r="AL15">
        <v>85.85</v>
      </c>
      <c r="AM15">
        <v>137.03</v>
      </c>
      <c r="AN15">
        <v>53.58</v>
      </c>
      <c r="AO15">
        <v>25.98</v>
      </c>
      <c r="AP15">
        <v>513.80999999999995</v>
      </c>
      <c r="AQ15">
        <v>88.69</v>
      </c>
      <c r="AR15" cm="1">
        <f t="array" ref="AR15">SUMPRODUCT($B$162:$U$162,(B15:U15)/($B$11:$U$11))</f>
        <v>2579.2531931596318</v>
      </c>
      <c r="AS15">
        <f t="shared" si="0"/>
        <v>7.591137947297284</v>
      </c>
      <c r="AT15">
        <f t="shared" si="1"/>
        <v>1.0029518411767639</v>
      </c>
      <c r="AU15" cm="1">
        <f t="array" ref="AU15">SUMPRODUCT($X$162:$AQ$162,(X15:AQ15)/($X$11:$AQ$11))</f>
        <v>2563.4686802553574</v>
      </c>
      <c r="AV15">
        <f t="shared" si="2"/>
        <v>13.573152504664449</v>
      </c>
      <c r="AW15">
        <f t="shared" si="3"/>
        <v>-13.573152504664449</v>
      </c>
      <c r="AX15">
        <f t="shared" si="4"/>
        <v>-5.9820145573671653</v>
      </c>
      <c r="AY15" s="17">
        <f>AX15/VLOOKUP(W15,EURUSD!$A$2:$B$61,2,FALSE)</f>
        <v>-5.159132865344688</v>
      </c>
      <c r="BB15" s="3"/>
    </row>
    <row r="16" spans="1:54" x14ac:dyDescent="0.2">
      <c r="A16" s="3">
        <v>45992</v>
      </c>
      <c r="B16">
        <v>623.59</v>
      </c>
      <c r="C16">
        <v>190.42</v>
      </c>
      <c r="D16">
        <v>182.41</v>
      </c>
      <c r="E16">
        <v>131.94</v>
      </c>
      <c r="F16">
        <v>293.76</v>
      </c>
      <c r="G16">
        <v>93.16</v>
      </c>
      <c r="H16">
        <v>284.57971542000001</v>
      </c>
      <c r="I16">
        <v>113.18</v>
      </c>
      <c r="J16">
        <v>35.65</v>
      </c>
      <c r="K16">
        <v>306.64999999999998</v>
      </c>
      <c r="L16">
        <v>94.71</v>
      </c>
      <c r="M16">
        <v>63.52</v>
      </c>
      <c r="N16">
        <v>750.11</v>
      </c>
      <c r="O16">
        <v>225.43</v>
      </c>
      <c r="P16">
        <v>92.02</v>
      </c>
      <c r="Q16">
        <v>84.65</v>
      </c>
      <c r="R16">
        <v>145</v>
      </c>
      <c r="S16">
        <v>188.57</v>
      </c>
      <c r="T16">
        <v>139.66999999999999</v>
      </c>
      <c r="U16">
        <v>33.409999999999997</v>
      </c>
      <c r="V16" s="6"/>
      <c r="W16" s="3">
        <v>45992</v>
      </c>
      <c r="X16">
        <v>146.44999999999999</v>
      </c>
      <c r="Y16">
        <v>75.91</v>
      </c>
      <c r="Z16">
        <v>17.40607245</v>
      </c>
      <c r="AA16">
        <v>43.07</v>
      </c>
      <c r="AB16">
        <v>167.49</v>
      </c>
      <c r="AC16">
        <v>360.31</v>
      </c>
      <c r="AD16">
        <v>205.34</v>
      </c>
      <c r="AE16">
        <v>185.14</v>
      </c>
      <c r="AF16">
        <v>106.4</v>
      </c>
      <c r="AG16">
        <v>42.34</v>
      </c>
      <c r="AH16">
        <v>72.010000000000005</v>
      </c>
      <c r="AI16">
        <v>132.77000000000001</v>
      </c>
      <c r="AJ16">
        <v>35.44</v>
      </c>
      <c r="AK16">
        <v>303.44</v>
      </c>
      <c r="AL16">
        <v>85.4</v>
      </c>
      <c r="AM16">
        <v>133.27000000000001</v>
      </c>
      <c r="AN16">
        <v>53.43</v>
      </c>
      <c r="AO16">
        <v>24.16</v>
      </c>
      <c r="AP16">
        <v>508.55</v>
      </c>
      <c r="AQ16">
        <v>90.26</v>
      </c>
      <c r="AR16" cm="1">
        <f t="array" ref="AR16">SUMPRODUCT($B$162:$U$162,(B16:U16)/($B$11:$U$11))</f>
        <v>2561.2054646221882</v>
      </c>
      <c r="AS16">
        <f t="shared" si="0"/>
        <v>-18.047728537443618</v>
      </c>
      <c r="AT16">
        <f t="shared" si="1"/>
        <v>0.99300273095122749</v>
      </c>
      <c r="AU16" cm="1">
        <f t="array" ref="AU16">SUMPRODUCT($X$162:$AQ$162,(X16:AQ16)/($X$11:$AQ$11))</f>
        <v>2544.7446483092067</v>
      </c>
      <c r="AV16">
        <f t="shared" si="2"/>
        <v>-18.724031946150717</v>
      </c>
      <c r="AW16">
        <f t="shared" si="3"/>
        <v>18.724031946150717</v>
      </c>
      <c r="AX16">
        <f t="shared" si="4"/>
        <v>0.67630340870709915</v>
      </c>
      <c r="AY16" s="17">
        <f>AX16/VLOOKUP(W16,EURUSD!$A$2:$B$61,2,FALSE)</f>
        <v>0.58251800922230756</v>
      </c>
      <c r="BB16" s="3"/>
    </row>
    <row r="17" spans="1:54" x14ac:dyDescent="0.2">
      <c r="A17" s="3">
        <v>45993</v>
      </c>
      <c r="B17">
        <v>653</v>
      </c>
      <c r="C17">
        <v>192.99</v>
      </c>
      <c r="D17">
        <v>182.4</v>
      </c>
      <c r="E17">
        <v>132.52000000000001</v>
      </c>
      <c r="F17">
        <v>295.95</v>
      </c>
      <c r="G17">
        <v>92.69</v>
      </c>
      <c r="H17">
        <v>288.22304510999999</v>
      </c>
      <c r="I17">
        <v>112.1</v>
      </c>
      <c r="J17">
        <v>34.450000000000003</v>
      </c>
      <c r="K17">
        <v>307.2</v>
      </c>
      <c r="L17">
        <v>99.64</v>
      </c>
      <c r="M17">
        <v>64.45</v>
      </c>
      <c r="N17">
        <v>742</v>
      </c>
      <c r="O17">
        <v>221.37</v>
      </c>
      <c r="P17">
        <v>91.77</v>
      </c>
      <c r="Q17">
        <v>84.58</v>
      </c>
      <c r="R17">
        <v>145.97</v>
      </c>
      <c r="S17">
        <v>186.97</v>
      </c>
      <c r="T17">
        <v>141.46</v>
      </c>
      <c r="U17">
        <v>32.92</v>
      </c>
      <c r="V17" s="6"/>
      <c r="W17" s="3">
        <v>45993</v>
      </c>
      <c r="X17">
        <v>146.47999999999999</v>
      </c>
      <c r="Y17">
        <v>74.44</v>
      </c>
      <c r="Z17">
        <v>17.38623647</v>
      </c>
      <c r="AA17">
        <v>42.97</v>
      </c>
      <c r="AB17">
        <v>170.69</v>
      </c>
      <c r="AC17">
        <v>360.7</v>
      </c>
      <c r="AD17">
        <v>205.42</v>
      </c>
      <c r="AE17">
        <v>182.17</v>
      </c>
      <c r="AF17">
        <v>106.31</v>
      </c>
      <c r="AG17">
        <v>41.98</v>
      </c>
      <c r="AH17">
        <v>72.47</v>
      </c>
      <c r="AI17">
        <v>133.09</v>
      </c>
      <c r="AJ17">
        <v>35.340000000000003</v>
      </c>
      <c r="AK17">
        <v>304.64999999999998</v>
      </c>
      <c r="AL17">
        <v>86.32</v>
      </c>
      <c r="AM17">
        <v>131.55000000000001</v>
      </c>
      <c r="AN17">
        <v>56.71</v>
      </c>
      <c r="AO17">
        <v>24.06</v>
      </c>
      <c r="AP17">
        <v>506.65</v>
      </c>
      <c r="AQ17">
        <v>89.29</v>
      </c>
      <c r="AR17" cm="1">
        <f t="array" ref="AR17">SUMPRODUCT($B$162:$U$162,(B17:U17)/($B$11:$U$11))</f>
        <v>2557.2513630812964</v>
      </c>
      <c r="AS17">
        <f t="shared" si="0"/>
        <v>-3.9541015408917701</v>
      </c>
      <c r="AT17">
        <f t="shared" si="1"/>
        <v>0.99845615605795413</v>
      </c>
      <c r="AU17" cm="1">
        <f t="array" ref="AU17">SUMPRODUCT($X$162:$AQ$162,(X17:AQ17)/($X$11:$AQ$11))</f>
        <v>2546.1636416961755</v>
      </c>
      <c r="AV17">
        <f t="shared" si="2"/>
        <v>1.4189933869688502</v>
      </c>
      <c r="AW17">
        <f t="shared" si="3"/>
        <v>-1.4189933869688502</v>
      </c>
      <c r="AX17">
        <f t="shared" si="4"/>
        <v>-5.3730949278606204</v>
      </c>
      <c r="AY17" s="17">
        <f>AX17/VLOOKUP(W17,EURUSD!$A$2:$B$61,2,FALSE)</f>
        <v>-4.6228124648202868</v>
      </c>
      <c r="BB17" s="3"/>
    </row>
    <row r="18" spans="1:54" x14ac:dyDescent="0.2">
      <c r="A18" s="3">
        <v>45994</v>
      </c>
      <c r="B18">
        <v>662.21</v>
      </c>
      <c r="C18">
        <v>200</v>
      </c>
      <c r="D18">
        <v>182.3</v>
      </c>
      <c r="E18">
        <v>132.24</v>
      </c>
      <c r="F18">
        <v>296.20999999999998</v>
      </c>
      <c r="G18">
        <v>92.72</v>
      </c>
      <c r="H18">
        <v>304.90636175999998</v>
      </c>
      <c r="I18">
        <v>114.44</v>
      </c>
      <c r="J18">
        <v>36.119999999999997</v>
      </c>
      <c r="K18">
        <v>309.23</v>
      </c>
      <c r="L18">
        <v>102.03</v>
      </c>
      <c r="M18">
        <v>64.849999999999994</v>
      </c>
      <c r="N18">
        <v>723.67</v>
      </c>
      <c r="O18">
        <v>222.33</v>
      </c>
      <c r="P18">
        <v>94.97</v>
      </c>
      <c r="Q18">
        <v>84.95</v>
      </c>
      <c r="R18">
        <v>149.09</v>
      </c>
      <c r="S18">
        <v>187.34</v>
      </c>
      <c r="T18">
        <v>150.94499999999999</v>
      </c>
      <c r="U18">
        <v>33.68</v>
      </c>
      <c r="V18" s="6"/>
      <c r="W18" s="3">
        <v>45994</v>
      </c>
      <c r="X18">
        <v>148.09</v>
      </c>
      <c r="Y18">
        <v>73.36</v>
      </c>
      <c r="Z18">
        <v>17.515170340000001</v>
      </c>
      <c r="AA18">
        <v>44.53</v>
      </c>
      <c r="AB18">
        <v>176.08</v>
      </c>
      <c r="AC18">
        <v>368.13</v>
      </c>
      <c r="AD18">
        <v>205.33</v>
      </c>
      <c r="AE18">
        <v>182.3</v>
      </c>
      <c r="AF18">
        <v>105.75</v>
      </c>
      <c r="AG18">
        <v>42.45</v>
      </c>
      <c r="AH18">
        <v>71</v>
      </c>
      <c r="AI18">
        <v>131.53</v>
      </c>
      <c r="AJ18">
        <v>35.54</v>
      </c>
      <c r="AK18">
        <v>306.64999999999998</v>
      </c>
      <c r="AL18">
        <v>89.35</v>
      </c>
      <c r="AM18">
        <v>133.18</v>
      </c>
      <c r="AN18">
        <v>63.61</v>
      </c>
      <c r="AO18">
        <v>25.18</v>
      </c>
      <c r="AP18">
        <v>503.6</v>
      </c>
      <c r="AQ18">
        <v>91.81</v>
      </c>
      <c r="AR18" cm="1">
        <f t="array" ref="AR18">SUMPRODUCT($B$162:$U$162,(B18:U18)/($B$11:$U$11))</f>
        <v>2590.5934080327302</v>
      </c>
      <c r="AS18">
        <f t="shared" si="0"/>
        <v>33.342044951433763</v>
      </c>
      <c r="AT18">
        <f t="shared" si="1"/>
        <v>1.0130382352837068</v>
      </c>
      <c r="AU18" cm="1">
        <f t="array" ref="AU18">SUMPRODUCT($X$162:$AQ$162,(X18:AQ18)/($X$11:$AQ$11))</f>
        <v>2580.0244145270422</v>
      </c>
      <c r="AV18">
        <f t="shared" si="2"/>
        <v>33.860772830866608</v>
      </c>
      <c r="AW18">
        <f t="shared" si="3"/>
        <v>-33.860772830866608</v>
      </c>
      <c r="AX18">
        <f t="shared" si="4"/>
        <v>-0.51872787943284493</v>
      </c>
      <c r="AY18" s="17">
        <f>AX18/VLOOKUP(W18,EURUSD!$A$2:$B$61,2,FALSE)</f>
        <v>-0.44449689754314048</v>
      </c>
      <c r="BB18" s="3"/>
    </row>
    <row r="19" spans="1:54" x14ac:dyDescent="0.2">
      <c r="A19" s="3">
        <v>45995</v>
      </c>
      <c r="B19">
        <v>683.78</v>
      </c>
      <c r="C19">
        <v>201.5</v>
      </c>
      <c r="D19">
        <v>183.6</v>
      </c>
      <c r="E19">
        <v>131.09</v>
      </c>
      <c r="F19">
        <v>299.77999999999997</v>
      </c>
      <c r="G19">
        <v>92.39</v>
      </c>
      <c r="H19">
        <v>306.58302674999999</v>
      </c>
      <c r="I19">
        <v>111.01</v>
      </c>
      <c r="J19">
        <v>36.450000000000003</v>
      </c>
      <c r="K19">
        <v>315.88</v>
      </c>
      <c r="L19">
        <v>103.82</v>
      </c>
      <c r="M19">
        <v>65.25</v>
      </c>
      <c r="N19">
        <v>722.8</v>
      </c>
      <c r="O19">
        <v>224.27</v>
      </c>
      <c r="P19">
        <v>96.25</v>
      </c>
      <c r="Q19">
        <v>83.39</v>
      </c>
      <c r="R19">
        <v>150.57</v>
      </c>
      <c r="S19">
        <v>190</v>
      </c>
      <c r="T19">
        <v>153.51</v>
      </c>
      <c r="U19">
        <v>34.229999999999997</v>
      </c>
      <c r="V19" s="6"/>
      <c r="W19" s="3">
        <v>45995</v>
      </c>
      <c r="X19">
        <v>150.5</v>
      </c>
      <c r="Y19">
        <v>73.44</v>
      </c>
      <c r="Z19">
        <v>17.019270840000001</v>
      </c>
      <c r="AA19">
        <v>44.61</v>
      </c>
      <c r="AB19">
        <v>177.92</v>
      </c>
      <c r="AC19">
        <v>371.15</v>
      </c>
      <c r="AD19">
        <v>202.48</v>
      </c>
      <c r="AE19">
        <v>183.32</v>
      </c>
      <c r="AF19">
        <v>104.49</v>
      </c>
      <c r="AG19">
        <v>42.67</v>
      </c>
      <c r="AH19">
        <v>70.17</v>
      </c>
      <c r="AI19">
        <v>125.72</v>
      </c>
      <c r="AJ19">
        <v>35.39</v>
      </c>
      <c r="AK19">
        <v>296</v>
      </c>
      <c r="AL19">
        <v>90.21</v>
      </c>
      <c r="AM19">
        <v>132.16</v>
      </c>
      <c r="AN19">
        <v>64.72</v>
      </c>
      <c r="AO19">
        <v>25.49</v>
      </c>
      <c r="AP19">
        <v>503.23</v>
      </c>
      <c r="AQ19">
        <v>93.12</v>
      </c>
      <c r="AR19" cm="1">
        <f t="array" ref="AR19">SUMPRODUCT($B$162:$U$162,(B19:U19)/($B$11:$U$11))</f>
        <v>2606.8648638598465</v>
      </c>
      <c r="AS19">
        <f t="shared" si="0"/>
        <v>16.27145582711637</v>
      </c>
      <c r="AT19">
        <f t="shared" si="1"/>
        <v>1.0062809763109344</v>
      </c>
      <c r="AU19" cm="1">
        <f t="array" ref="AU19">SUMPRODUCT($X$162:$AQ$162,(X19:AQ19)/($X$11:$AQ$11))</f>
        <v>2578.9752949079561</v>
      </c>
      <c r="AV19">
        <f t="shared" si="2"/>
        <v>-1.0491196190860137</v>
      </c>
      <c r="AW19">
        <f t="shared" si="3"/>
        <v>1.0491196190860137</v>
      </c>
      <c r="AX19">
        <f t="shared" si="4"/>
        <v>17.320575446202383</v>
      </c>
      <c r="AY19" s="17">
        <f>AX19/VLOOKUP(W19,EURUSD!$A$2:$B$61,2,FALSE)</f>
        <v>14.876385335568482</v>
      </c>
      <c r="BB19" s="3"/>
    </row>
    <row r="20" spans="1:54" x14ac:dyDescent="0.2">
      <c r="A20" s="3">
        <v>45996</v>
      </c>
      <c r="B20">
        <v>691.94</v>
      </c>
      <c r="C20">
        <v>203.6</v>
      </c>
      <c r="D20">
        <v>190.01</v>
      </c>
      <c r="E20">
        <v>129.56</v>
      </c>
      <c r="F20">
        <v>296.45999999999998</v>
      </c>
      <c r="G20">
        <v>91.72</v>
      </c>
      <c r="H20">
        <v>308.35969163999999</v>
      </c>
      <c r="I20">
        <v>110.01</v>
      </c>
      <c r="J20">
        <v>36.04</v>
      </c>
      <c r="K20">
        <v>304.58</v>
      </c>
      <c r="L20">
        <v>105.13</v>
      </c>
      <c r="M20">
        <v>65.489999999999995</v>
      </c>
      <c r="N20">
        <v>718.36</v>
      </c>
      <c r="O20">
        <v>222.87</v>
      </c>
      <c r="P20">
        <v>99.7</v>
      </c>
      <c r="Q20">
        <v>83.13</v>
      </c>
      <c r="R20">
        <v>151.86000000000001</v>
      </c>
      <c r="S20">
        <v>189.58</v>
      </c>
      <c r="T20">
        <v>155.15</v>
      </c>
      <c r="U20">
        <v>34.69</v>
      </c>
      <c r="V20" s="6"/>
      <c r="W20" s="3">
        <v>45996</v>
      </c>
      <c r="X20">
        <v>151.47</v>
      </c>
      <c r="Y20">
        <v>73.099999999999994</v>
      </c>
      <c r="Z20">
        <v>17.11845074</v>
      </c>
      <c r="AA20">
        <v>45.2</v>
      </c>
      <c r="AB20">
        <v>181.76</v>
      </c>
      <c r="AC20">
        <v>370.35</v>
      </c>
      <c r="AD20">
        <v>201.93</v>
      </c>
      <c r="AE20">
        <v>182.56</v>
      </c>
      <c r="AF20">
        <v>102.82</v>
      </c>
      <c r="AG20">
        <v>42.43</v>
      </c>
      <c r="AH20">
        <v>73.44</v>
      </c>
      <c r="AI20">
        <v>125.51</v>
      </c>
      <c r="AJ20">
        <v>36.07</v>
      </c>
      <c r="AK20">
        <v>292.58999999999997</v>
      </c>
      <c r="AL20">
        <v>89.83</v>
      </c>
      <c r="AM20">
        <v>131.22999999999999</v>
      </c>
      <c r="AN20">
        <v>65.81</v>
      </c>
      <c r="AO20">
        <v>27.7</v>
      </c>
      <c r="AP20">
        <v>504.34</v>
      </c>
      <c r="AQ20">
        <v>93.69</v>
      </c>
      <c r="AR20" cm="1">
        <f t="array" ref="AR20">SUMPRODUCT($B$162:$U$162,(B20:U20)/($B$11:$U$11))</f>
        <v>2601.4176935700043</v>
      </c>
      <c r="AS20">
        <f t="shared" si="0"/>
        <v>-5.4471702898422336</v>
      </c>
      <c r="AT20">
        <f t="shared" si="1"/>
        <v>0.99791045160592751</v>
      </c>
      <c r="AU20" cm="1">
        <f t="array" ref="AU20">SUMPRODUCT($X$162:$AQ$162,(X20:AQ20)/($X$11:$AQ$11))</f>
        <v>2596.640127985178</v>
      </c>
      <c r="AV20">
        <f t="shared" si="2"/>
        <v>17.664833077221829</v>
      </c>
      <c r="AW20">
        <f t="shared" si="3"/>
        <v>-17.664833077221829</v>
      </c>
      <c r="AX20">
        <f t="shared" si="4"/>
        <v>-23.112003367064062</v>
      </c>
      <c r="AY20" s="17">
        <f>AX20/VLOOKUP(W20,EURUSD!$A$2:$B$61,2,FALSE)</f>
        <v>-19.85226195418662</v>
      </c>
      <c r="BB20" s="3"/>
    </row>
    <row r="21" spans="1:54" x14ac:dyDescent="0.2">
      <c r="A21" s="3">
        <v>45999</v>
      </c>
      <c r="B21">
        <v>689.76</v>
      </c>
      <c r="C21">
        <v>203.64</v>
      </c>
      <c r="D21">
        <v>183.04</v>
      </c>
      <c r="E21">
        <v>128.54</v>
      </c>
      <c r="F21">
        <v>280.81</v>
      </c>
      <c r="G21">
        <v>90.94</v>
      </c>
      <c r="H21">
        <v>301.38303194999997</v>
      </c>
      <c r="I21">
        <v>107.46</v>
      </c>
      <c r="J21">
        <v>36.06</v>
      </c>
      <c r="K21">
        <v>315.88</v>
      </c>
      <c r="L21">
        <v>102.78</v>
      </c>
      <c r="M21">
        <v>65.62</v>
      </c>
      <c r="N21">
        <v>703.26</v>
      </c>
      <c r="O21">
        <v>221.76</v>
      </c>
      <c r="P21">
        <v>101.21</v>
      </c>
      <c r="Q21">
        <v>80.55</v>
      </c>
      <c r="R21">
        <v>155.51</v>
      </c>
      <c r="S21">
        <v>190.98</v>
      </c>
      <c r="T21">
        <v>151.68</v>
      </c>
      <c r="U21">
        <v>35.369999999999997</v>
      </c>
      <c r="V21" s="6"/>
      <c r="W21" s="3">
        <v>45999</v>
      </c>
      <c r="X21">
        <v>148.05000000000001</v>
      </c>
      <c r="Y21">
        <v>72.709999999999994</v>
      </c>
      <c r="Z21">
        <v>16.959762900000001</v>
      </c>
      <c r="AA21">
        <v>45</v>
      </c>
      <c r="AB21">
        <v>181.49</v>
      </c>
      <c r="AC21">
        <v>362.28</v>
      </c>
      <c r="AD21">
        <v>201.62</v>
      </c>
      <c r="AE21">
        <v>180.07</v>
      </c>
      <c r="AF21">
        <v>101.41</v>
      </c>
      <c r="AG21">
        <v>41.36</v>
      </c>
      <c r="AH21">
        <v>73.150000000000006</v>
      </c>
      <c r="AI21">
        <v>127.13</v>
      </c>
      <c r="AJ21">
        <v>35.32</v>
      </c>
      <c r="AK21">
        <v>287.82</v>
      </c>
      <c r="AL21">
        <v>90.06</v>
      </c>
      <c r="AM21">
        <v>130</v>
      </c>
      <c r="AN21">
        <v>67.349999999999994</v>
      </c>
      <c r="AO21">
        <v>27.97</v>
      </c>
      <c r="AP21">
        <v>497.23</v>
      </c>
      <c r="AQ21">
        <v>92.88</v>
      </c>
      <c r="AR21" cm="1">
        <f t="array" ref="AR21">SUMPRODUCT($B$162:$U$162,(B21:U21)/($B$11:$U$11))</f>
        <v>2577.4782523837312</v>
      </c>
      <c r="AS21">
        <f t="shared" si="0"/>
        <v>-23.939441186273143</v>
      </c>
      <c r="AT21">
        <f t="shared" si="1"/>
        <v>0.99079754041596435</v>
      </c>
      <c r="AU21" cm="1">
        <f t="array" ref="AU21">SUMPRODUCT($X$162:$AQ$162,(X21:AQ21)/($X$11:$AQ$11))</f>
        <v>2575.561908107507</v>
      </c>
      <c r="AV21">
        <f t="shared" si="2"/>
        <v>-21.078219877671017</v>
      </c>
      <c r="AW21">
        <f t="shared" si="3"/>
        <v>21.078219877671017</v>
      </c>
      <c r="AX21">
        <f t="shared" si="4"/>
        <v>-2.8612213086021256</v>
      </c>
      <c r="AY21" s="17">
        <f>AX21/VLOOKUP(W21,EURUSD!$A$2:$B$61,2,FALSE)</f>
        <v>-2.4589389039206995</v>
      </c>
      <c r="BB21" s="3"/>
    </row>
    <row r="22" spans="1:54" x14ac:dyDescent="0.2">
      <c r="A22" s="3">
        <v>46000</v>
      </c>
      <c r="B22">
        <v>724.62</v>
      </c>
      <c r="C22">
        <v>207.97</v>
      </c>
      <c r="D22">
        <v>182.28</v>
      </c>
      <c r="E22">
        <v>126.69</v>
      </c>
      <c r="F22">
        <v>277.39999999999998</v>
      </c>
      <c r="G22">
        <v>91.92</v>
      </c>
      <c r="H22">
        <v>293.60637306000001</v>
      </c>
      <c r="I22">
        <v>105.01</v>
      </c>
      <c r="J22">
        <v>35.31</v>
      </c>
      <c r="K22">
        <v>314.95</v>
      </c>
      <c r="L22">
        <v>102.64</v>
      </c>
      <c r="M22">
        <v>66.33</v>
      </c>
      <c r="N22">
        <v>692.58</v>
      </c>
      <c r="O22">
        <v>222.4</v>
      </c>
      <c r="P22">
        <v>100.81</v>
      </c>
      <c r="Q22">
        <v>79.64</v>
      </c>
      <c r="R22">
        <v>156.88</v>
      </c>
      <c r="S22">
        <v>189.29</v>
      </c>
      <c r="T22">
        <v>148.88999999999999</v>
      </c>
      <c r="U22">
        <v>35.020000000000003</v>
      </c>
      <c r="V22" s="6"/>
      <c r="W22" s="3">
        <v>46000</v>
      </c>
      <c r="X22">
        <v>147.71</v>
      </c>
      <c r="Y22">
        <v>72.59</v>
      </c>
      <c r="Z22">
        <v>17.306892550000001</v>
      </c>
      <c r="AA22">
        <v>44.8</v>
      </c>
      <c r="AB22">
        <v>181.84</v>
      </c>
      <c r="AC22">
        <v>363.91</v>
      </c>
      <c r="AD22">
        <v>199.96</v>
      </c>
      <c r="AE22">
        <v>181.05</v>
      </c>
      <c r="AF22">
        <v>102.56</v>
      </c>
      <c r="AG22">
        <v>41.55</v>
      </c>
      <c r="AH22">
        <v>73.239999999999995</v>
      </c>
      <c r="AI22">
        <v>124.22</v>
      </c>
      <c r="AJ22">
        <v>35.89</v>
      </c>
      <c r="AK22">
        <v>283.83999999999997</v>
      </c>
      <c r="AL22">
        <v>88.89</v>
      </c>
      <c r="AM22">
        <v>130.25</v>
      </c>
      <c r="AN22">
        <v>66.849999999999994</v>
      </c>
      <c r="AO22">
        <v>28.24</v>
      </c>
      <c r="AP22">
        <v>491.43</v>
      </c>
      <c r="AQ22">
        <v>93.43</v>
      </c>
      <c r="AR22" cm="1">
        <f t="array" ref="AR22">SUMPRODUCT($B$162:$U$162,(B22:U22)/($B$11:$U$11))</f>
        <v>2563.0669363347192</v>
      </c>
      <c r="AS22">
        <f t="shared" si="0"/>
        <v>-14.41131604901193</v>
      </c>
      <c r="AT22">
        <f t="shared" si="1"/>
        <v>0.99440875358087544</v>
      </c>
      <c r="AU22" cm="1">
        <f t="array" ref="AU22">SUMPRODUCT($X$162:$AQ$162,(X22:AQ22)/($X$11:$AQ$11))</f>
        <v>2575.7593012384323</v>
      </c>
      <c r="AV22">
        <f t="shared" si="2"/>
        <v>0.19739313092532029</v>
      </c>
      <c r="AW22">
        <f t="shared" si="3"/>
        <v>-0.19739313092532029</v>
      </c>
      <c r="AX22">
        <f t="shared" si="4"/>
        <v>-14.60870917993725</v>
      </c>
      <c r="AY22" s="17">
        <f>AX22/VLOOKUP(W22,EURUSD!$A$2:$B$61,2,FALSE)</f>
        <v>-12.566631552634192</v>
      </c>
      <c r="BB22" s="3"/>
    </row>
    <row r="23" spans="1:54" x14ac:dyDescent="0.2">
      <c r="A23" s="3">
        <v>46001</v>
      </c>
      <c r="B23">
        <v>703.28</v>
      </c>
      <c r="C23">
        <v>211.72</v>
      </c>
      <c r="D23">
        <v>187.62</v>
      </c>
      <c r="E23">
        <v>129.77000000000001</v>
      </c>
      <c r="F23">
        <v>275</v>
      </c>
      <c r="G23">
        <v>91.77</v>
      </c>
      <c r="H23">
        <v>297.49970250000001</v>
      </c>
      <c r="I23">
        <v>109.58</v>
      </c>
      <c r="J23">
        <v>37.17</v>
      </c>
      <c r="K23">
        <v>323.14</v>
      </c>
      <c r="L23">
        <v>107.28</v>
      </c>
      <c r="M23">
        <v>67.56</v>
      </c>
      <c r="N23">
        <v>726.21</v>
      </c>
      <c r="O23">
        <v>222.96</v>
      </c>
      <c r="P23">
        <v>100.71</v>
      </c>
      <c r="Q23">
        <v>81.27</v>
      </c>
      <c r="R23">
        <v>160.52000000000001</v>
      </c>
      <c r="S23">
        <v>189.22</v>
      </c>
      <c r="T23">
        <v>157.32</v>
      </c>
      <c r="U23">
        <v>34.9</v>
      </c>
      <c r="V23" s="6"/>
      <c r="W23" s="3">
        <v>46001</v>
      </c>
      <c r="X23">
        <v>151.35</v>
      </c>
      <c r="Y23">
        <v>73.569999999999993</v>
      </c>
      <c r="Z23">
        <v>17.683776170000002</v>
      </c>
      <c r="AA23">
        <v>46.45</v>
      </c>
      <c r="AB23">
        <v>187.91</v>
      </c>
      <c r="AC23">
        <v>375.57</v>
      </c>
      <c r="AD23">
        <v>206.54</v>
      </c>
      <c r="AE23">
        <v>181.65</v>
      </c>
      <c r="AF23">
        <v>102.61</v>
      </c>
      <c r="AG23">
        <v>41.75</v>
      </c>
      <c r="AH23">
        <v>77.42</v>
      </c>
      <c r="AI23">
        <v>123.6</v>
      </c>
      <c r="AJ23">
        <v>37.200000000000003</v>
      </c>
      <c r="AK23">
        <v>286.95999999999998</v>
      </c>
      <c r="AL23">
        <v>90.69</v>
      </c>
      <c r="AM23">
        <v>129.99</v>
      </c>
      <c r="AN23">
        <v>67.900000000000006</v>
      </c>
      <c r="AO23">
        <v>29.03</v>
      </c>
      <c r="AP23">
        <v>490.43</v>
      </c>
      <c r="AQ23">
        <v>96.8</v>
      </c>
      <c r="AR23" cm="1">
        <f t="array" ref="AR23">SUMPRODUCT($B$162:$U$162,(B23:U23)/($B$11:$U$11))</f>
        <v>2611.5997219882743</v>
      </c>
      <c r="AS23">
        <f t="shared" si="0"/>
        <v>48.532785653555038</v>
      </c>
      <c r="AT23">
        <f t="shared" si="1"/>
        <v>1.0189354343289054</v>
      </c>
      <c r="AU23" cm="1">
        <f t="array" ref="AU23">SUMPRODUCT($X$162:$AQ$162,(X23:AQ23)/($X$11:$AQ$11))</f>
        <v>2630.2307181164624</v>
      </c>
      <c r="AV23">
        <f t="shared" si="2"/>
        <v>54.471416878030141</v>
      </c>
      <c r="AW23">
        <f t="shared" si="3"/>
        <v>-54.471416878030141</v>
      </c>
      <c r="AX23">
        <f t="shared" si="4"/>
        <v>-5.9386312244751025</v>
      </c>
      <c r="AY23" s="17">
        <f>AX23/VLOOKUP(W23,EURUSD!$A$2:$B$61,2,FALSE)</f>
        <v>-5.0783574691936915</v>
      </c>
      <c r="BB23" s="3"/>
    </row>
    <row r="24" spans="1:54" x14ac:dyDescent="0.2">
      <c r="A24" s="3">
        <v>46002</v>
      </c>
      <c r="B24">
        <v>716.98</v>
      </c>
      <c r="C24">
        <v>211.11</v>
      </c>
      <c r="D24">
        <v>187.01</v>
      </c>
      <c r="E24">
        <v>133.02000000000001</v>
      </c>
      <c r="F24">
        <v>278.95999999999998</v>
      </c>
      <c r="G24">
        <v>93.64</v>
      </c>
      <c r="H24">
        <v>296.76636989999997</v>
      </c>
      <c r="I24">
        <v>109.87</v>
      </c>
      <c r="J24">
        <v>38.01</v>
      </c>
      <c r="K24">
        <v>326.72000000000003</v>
      </c>
      <c r="L24">
        <v>105.56</v>
      </c>
      <c r="M24">
        <v>68.94</v>
      </c>
      <c r="N24">
        <v>746.8</v>
      </c>
      <c r="O24">
        <v>228.02</v>
      </c>
      <c r="P24">
        <v>101.36</v>
      </c>
      <c r="Q24">
        <v>81.209999999999994</v>
      </c>
      <c r="R24">
        <v>166.9</v>
      </c>
      <c r="S24">
        <v>192.83</v>
      </c>
      <c r="T24">
        <v>158.91999999999999</v>
      </c>
      <c r="U24">
        <v>34.020000000000003</v>
      </c>
      <c r="V24" s="6"/>
      <c r="W24" s="3">
        <v>46002</v>
      </c>
      <c r="X24">
        <v>153.02000000000001</v>
      </c>
      <c r="Y24">
        <v>74.23</v>
      </c>
      <c r="Z24">
        <v>17.98131587</v>
      </c>
      <c r="AA24">
        <v>48.11</v>
      </c>
      <c r="AB24">
        <v>187.54</v>
      </c>
      <c r="AC24">
        <v>384.89</v>
      </c>
      <c r="AD24">
        <v>210.01</v>
      </c>
      <c r="AE24">
        <v>181.85</v>
      </c>
      <c r="AF24">
        <v>104.65</v>
      </c>
      <c r="AG24">
        <v>41.2</v>
      </c>
      <c r="AH24">
        <v>80.069999999999993</v>
      </c>
      <c r="AI24">
        <v>124.85</v>
      </c>
      <c r="AJ24">
        <v>37.44</v>
      </c>
      <c r="AK24">
        <v>296.45999999999998</v>
      </c>
      <c r="AL24">
        <v>92.59</v>
      </c>
      <c r="AM24">
        <v>130.75</v>
      </c>
      <c r="AN24">
        <v>69.09</v>
      </c>
      <c r="AO24">
        <v>29.63</v>
      </c>
      <c r="AP24">
        <v>495.85</v>
      </c>
      <c r="AQ24">
        <v>96.71</v>
      </c>
      <c r="AR24" cm="1">
        <f t="array" ref="AR24">SUMPRODUCT($B$162:$U$162,(B24:U24)/($B$11:$U$11))</f>
        <v>2646.2000548641954</v>
      </c>
      <c r="AS24">
        <f t="shared" si="0"/>
        <v>34.60033287592114</v>
      </c>
      <c r="AT24">
        <f t="shared" si="1"/>
        <v>1.0132487121148792</v>
      </c>
      <c r="AU24" cm="1">
        <f t="array" ref="AU24">SUMPRODUCT($X$162:$AQ$162,(X24:AQ24)/($X$11:$AQ$11))</f>
        <v>2666.9201996819315</v>
      </c>
      <c r="AV24">
        <f t="shared" si="2"/>
        <v>36.689481565469123</v>
      </c>
      <c r="AW24">
        <f t="shared" si="3"/>
        <v>-36.689481565469123</v>
      </c>
      <c r="AX24">
        <f t="shared" si="4"/>
        <v>-2.0891486895479829</v>
      </c>
      <c r="AY24" s="17">
        <f>AX24/VLOOKUP(W24,EURUSD!$A$2:$B$61,2,FALSE)</f>
        <v>-1.7798165697290707</v>
      </c>
      <c r="BB24" s="3"/>
    </row>
    <row r="25" spans="1:54" x14ac:dyDescent="0.2">
      <c r="A25" s="3">
        <v>46003</v>
      </c>
      <c r="B25">
        <v>670.67</v>
      </c>
      <c r="C25">
        <v>209.63</v>
      </c>
      <c r="D25">
        <v>204.97</v>
      </c>
      <c r="E25">
        <v>134.47999999999999</v>
      </c>
      <c r="F25">
        <v>287.33</v>
      </c>
      <c r="G25">
        <v>93.92</v>
      </c>
      <c r="H25">
        <v>279.54638712000002</v>
      </c>
      <c r="I25">
        <v>108.48</v>
      </c>
      <c r="J25">
        <v>37.19</v>
      </c>
      <c r="K25">
        <v>326.92</v>
      </c>
      <c r="L25">
        <v>104.1</v>
      </c>
      <c r="M25">
        <v>66.959999999999994</v>
      </c>
      <c r="N25">
        <v>741.29</v>
      </c>
      <c r="O25">
        <v>229.3</v>
      </c>
      <c r="P25">
        <v>101.18</v>
      </c>
      <c r="Q25">
        <v>81.650000000000006</v>
      </c>
      <c r="R25">
        <v>168.5</v>
      </c>
      <c r="S25">
        <v>191.66</v>
      </c>
      <c r="T25">
        <v>159.49</v>
      </c>
      <c r="U25">
        <v>32.33</v>
      </c>
      <c r="V25" s="6"/>
      <c r="W25" s="3">
        <v>46003</v>
      </c>
      <c r="X25">
        <v>151.76</v>
      </c>
      <c r="Y25">
        <v>74.34</v>
      </c>
      <c r="Z25">
        <v>18.20942964</v>
      </c>
      <c r="AA25">
        <v>47.38</v>
      </c>
      <c r="AB25">
        <v>183.57</v>
      </c>
      <c r="AC25">
        <v>382.56</v>
      </c>
      <c r="AD25">
        <v>211.58</v>
      </c>
      <c r="AE25">
        <v>182.02</v>
      </c>
      <c r="AF25">
        <v>104.31</v>
      </c>
      <c r="AG25">
        <v>41.07</v>
      </c>
      <c r="AH25">
        <v>80.25</v>
      </c>
      <c r="AI25">
        <v>123.66</v>
      </c>
      <c r="AJ25">
        <v>37.4</v>
      </c>
      <c r="AK25">
        <v>298.72000000000003</v>
      </c>
      <c r="AL25">
        <v>92.76</v>
      </c>
      <c r="AM25">
        <v>129.80000000000001</v>
      </c>
      <c r="AN25">
        <v>67.180000000000007</v>
      </c>
      <c r="AO25">
        <v>29.46</v>
      </c>
      <c r="AP25">
        <v>499.52</v>
      </c>
      <c r="AQ25">
        <v>95.54</v>
      </c>
      <c r="AR25" cm="1">
        <f t="array" ref="AR25">SUMPRODUCT($B$162:$U$162,(B25:U25)/($B$11:$U$11))</f>
        <v>2639.7665913498358</v>
      </c>
      <c r="AS25">
        <f t="shared" si="0"/>
        <v>-6.4334635143595733</v>
      </c>
      <c r="AT25">
        <f t="shared" si="1"/>
        <v>0.99756879170849777</v>
      </c>
      <c r="AU25" cm="1">
        <f t="array" ref="AU25">SUMPRODUCT($X$162:$AQ$162,(X25:AQ25)/($X$11:$AQ$11))</f>
        <v>2656.5602861033335</v>
      </c>
      <c r="AV25">
        <f t="shared" si="2"/>
        <v>-10.359913578598025</v>
      </c>
      <c r="AW25">
        <f t="shared" si="3"/>
        <v>10.359913578598025</v>
      </c>
      <c r="AX25">
        <f t="shared" si="4"/>
        <v>3.9264500642384519</v>
      </c>
      <c r="AY25" s="17">
        <f>AX25/VLOOKUP(W25,EURUSD!$A$2:$B$61,2,FALSE)</f>
        <v>3.3445060172388859</v>
      </c>
      <c r="BB25" s="3"/>
    </row>
    <row r="26" spans="1:54" x14ac:dyDescent="0.2">
      <c r="A26" s="3">
        <v>46006</v>
      </c>
      <c r="B26">
        <v>675.16499999999996</v>
      </c>
      <c r="C26">
        <v>212.14</v>
      </c>
      <c r="D26">
        <v>206.29</v>
      </c>
      <c r="E26">
        <v>133.30000000000001</v>
      </c>
      <c r="F26">
        <v>287.04000000000002</v>
      </c>
      <c r="G26">
        <v>95.72</v>
      </c>
      <c r="H26">
        <v>279.87638679000003</v>
      </c>
      <c r="I26">
        <v>104.66</v>
      </c>
      <c r="J26">
        <v>37.54</v>
      </c>
      <c r="K26">
        <v>329.16</v>
      </c>
      <c r="L26">
        <v>101.03</v>
      </c>
      <c r="M26">
        <v>65.73</v>
      </c>
      <c r="N26">
        <v>752.62</v>
      </c>
      <c r="O26">
        <v>233.26</v>
      </c>
      <c r="P26">
        <v>103.99</v>
      </c>
      <c r="Q26">
        <v>81.650000000000006</v>
      </c>
      <c r="R26">
        <v>166.5</v>
      </c>
      <c r="S26">
        <v>193.13</v>
      </c>
      <c r="T26">
        <v>157.46</v>
      </c>
      <c r="U26">
        <v>31.37</v>
      </c>
      <c r="V26" s="6"/>
      <c r="W26" s="3">
        <v>46006</v>
      </c>
      <c r="X26">
        <v>151.57</v>
      </c>
      <c r="Y26">
        <v>75.430000000000007</v>
      </c>
      <c r="Z26">
        <v>18.487133360000001</v>
      </c>
      <c r="AA26">
        <v>47.52</v>
      </c>
      <c r="AB26">
        <v>183.25</v>
      </c>
      <c r="AC26">
        <v>382.57</v>
      </c>
      <c r="AD26">
        <v>214.17</v>
      </c>
      <c r="AE26">
        <v>184.17</v>
      </c>
      <c r="AF26">
        <v>105.41</v>
      </c>
      <c r="AG26">
        <v>40.19</v>
      </c>
      <c r="AH26">
        <v>80.48</v>
      </c>
      <c r="AI26">
        <v>126.25</v>
      </c>
      <c r="AJ26">
        <v>37.380000000000003</v>
      </c>
      <c r="AK26">
        <v>308.49</v>
      </c>
      <c r="AL26">
        <v>92.9</v>
      </c>
      <c r="AM26">
        <v>128.81</v>
      </c>
      <c r="AN26">
        <v>67.180000000000007</v>
      </c>
      <c r="AO26">
        <v>29.92</v>
      </c>
      <c r="AP26">
        <v>506.38</v>
      </c>
      <c r="AQ26">
        <v>94.36</v>
      </c>
      <c r="AR26" cm="1">
        <f t="array" ref="AR26">SUMPRODUCT($B$162:$U$162,(B26:U26)/($B$11:$U$11))</f>
        <v>2647.3552004787944</v>
      </c>
      <c r="AS26">
        <f t="shared" si="0"/>
        <v>7.5886091289585238</v>
      </c>
      <c r="AT26">
        <f t="shared" si="1"/>
        <v>1.0028747273163565</v>
      </c>
      <c r="AU26" cm="1">
        <f t="array" ref="AU26">SUMPRODUCT($X$162:$AQ$162,(X26:AQ26)/($X$11:$AQ$11))</f>
        <v>2666.5438340345108</v>
      </c>
      <c r="AV26">
        <f t="shared" si="2"/>
        <v>9.983547931177327</v>
      </c>
      <c r="AW26">
        <f t="shared" si="3"/>
        <v>-9.983547931177327</v>
      </c>
      <c r="AX26">
        <f t="shared" si="4"/>
        <v>-2.3949388022188032</v>
      </c>
      <c r="AY26" s="17">
        <f>AX26/VLOOKUP(W26,EURUSD!$A$2:$B$61,2,FALSE)</f>
        <v>-2.0378989127117113</v>
      </c>
      <c r="BB26" s="3"/>
    </row>
    <row r="27" spans="1:54" x14ac:dyDescent="0.2">
      <c r="A27" s="3">
        <v>46007</v>
      </c>
      <c r="B27">
        <v>677.3</v>
      </c>
      <c r="C27">
        <v>205.85</v>
      </c>
      <c r="D27">
        <v>206.74</v>
      </c>
      <c r="E27">
        <v>130.69999999999999</v>
      </c>
      <c r="F27">
        <v>287.51</v>
      </c>
      <c r="G27">
        <v>95.58</v>
      </c>
      <c r="H27">
        <v>273.56305977</v>
      </c>
      <c r="I27">
        <v>103.18</v>
      </c>
      <c r="J27">
        <v>37.69</v>
      </c>
      <c r="K27">
        <v>326.8</v>
      </c>
      <c r="L27">
        <v>104.39</v>
      </c>
      <c r="M27">
        <v>66.37</v>
      </c>
      <c r="N27">
        <v>746.36</v>
      </c>
      <c r="O27">
        <v>233.32</v>
      </c>
      <c r="P27">
        <v>104.2</v>
      </c>
      <c r="Q27">
        <v>81.319999999999993</v>
      </c>
      <c r="R27">
        <v>160.88</v>
      </c>
      <c r="S27">
        <v>189.98</v>
      </c>
      <c r="T27">
        <v>156.94</v>
      </c>
      <c r="U27">
        <v>31.66</v>
      </c>
      <c r="V27" s="6"/>
      <c r="W27" s="3">
        <v>46007</v>
      </c>
      <c r="X27">
        <v>149.97999999999999</v>
      </c>
      <c r="Y27">
        <v>75.12</v>
      </c>
      <c r="Z27">
        <v>18.140003709999998</v>
      </c>
      <c r="AA27">
        <v>47.54</v>
      </c>
      <c r="AB27">
        <v>187.75</v>
      </c>
      <c r="AC27">
        <v>380.75</v>
      </c>
      <c r="AD27">
        <v>209.3</v>
      </c>
      <c r="AE27">
        <v>182.53</v>
      </c>
      <c r="AF27">
        <v>103.96</v>
      </c>
      <c r="AG27">
        <v>38.92</v>
      </c>
      <c r="AH27">
        <v>80.64</v>
      </c>
      <c r="AI27">
        <v>126.04</v>
      </c>
      <c r="AJ27">
        <v>36.840000000000003</v>
      </c>
      <c r="AK27">
        <v>305.97000000000003</v>
      </c>
      <c r="AL27">
        <v>92.19</v>
      </c>
      <c r="AM27">
        <v>128.66</v>
      </c>
      <c r="AN27">
        <v>65.900000000000006</v>
      </c>
      <c r="AO27">
        <v>29.89</v>
      </c>
      <c r="AP27">
        <v>499.84</v>
      </c>
      <c r="AQ27">
        <v>90.77</v>
      </c>
      <c r="AR27" cm="1">
        <f t="array" ref="AR27">SUMPRODUCT($B$162:$U$162,(B27:U27)/($B$11:$U$11))</f>
        <v>2638.3779936962842</v>
      </c>
      <c r="AS27">
        <f t="shared" si="0"/>
        <v>-8.9772067825101658</v>
      </c>
      <c r="AT27">
        <f t="shared" si="1"/>
        <v>0.99660899044416607</v>
      </c>
      <c r="AU27" cm="1">
        <f t="array" ref="AU27">SUMPRODUCT($X$162:$AQ$162,(X27:AQ27)/($X$11:$AQ$11))</f>
        <v>2638.6397500006124</v>
      </c>
      <c r="AV27">
        <f t="shared" si="2"/>
        <v>-27.904084033898471</v>
      </c>
      <c r="AW27">
        <f t="shared" si="3"/>
        <v>27.904084033898471</v>
      </c>
      <c r="AX27">
        <f t="shared" si="4"/>
        <v>18.926877251388305</v>
      </c>
      <c r="AY27" s="17">
        <f>AX27/VLOOKUP(W27,EURUSD!$A$2:$B$61,2,FALSE)</f>
        <v>16.113466074738891</v>
      </c>
      <c r="BB27" s="3"/>
    </row>
    <row r="28" spans="1:54" x14ac:dyDescent="0.2">
      <c r="A28" s="3">
        <v>46008</v>
      </c>
      <c r="B28">
        <v>657.13</v>
      </c>
      <c r="C28">
        <v>204.33</v>
      </c>
      <c r="D28">
        <v>207.87</v>
      </c>
      <c r="E28">
        <v>131.88</v>
      </c>
      <c r="F28">
        <v>288.81</v>
      </c>
      <c r="G28">
        <v>95.89</v>
      </c>
      <c r="H28">
        <v>294.33303899999999</v>
      </c>
      <c r="I28">
        <v>103.51</v>
      </c>
      <c r="J28">
        <v>38.020000000000003</v>
      </c>
      <c r="K28">
        <v>321.29000000000002</v>
      </c>
      <c r="L28">
        <v>105.3</v>
      </c>
      <c r="M28">
        <v>65.75</v>
      </c>
      <c r="N28">
        <v>749.79</v>
      </c>
      <c r="O28">
        <v>237.04</v>
      </c>
      <c r="P28">
        <v>102.39</v>
      </c>
      <c r="Q28">
        <v>80.290000000000006</v>
      </c>
      <c r="R28">
        <v>162.30000000000001</v>
      </c>
      <c r="S28">
        <v>190.95</v>
      </c>
      <c r="T28">
        <v>155.72999999999999</v>
      </c>
      <c r="U28">
        <v>29.84</v>
      </c>
      <c r="V28" s="6"/>
      <c r="W28" s="3">
        <v>46008</v>
      </c>
      <c r="X28">
        <v>149.75</v>
      </c>
      <c r="Y28">
        <v>75.75</v>
      </c>
      <c r="Z28">
        <v>18.41770743</v>
      </c>
      <c r="AA28">
        <v>47.82</v>
      </c>
      <c r="AB28">
        <v>177.29</v>
      </c>
      <c r="AC28">
        <v>375.61</v>
      </c>
      <c r="AD28">
        <v>210.33</v>
      </c>
      <c r="AE28">
        <v>184.22</v>
      </c>
      <c r="AF28">
        <v>106.04</v>
      </c>
      <c r="AG28">
        <v>40.630000000000003</v>
      </c>
      <c r="AH28">
        <v>82.7</v>
      </c>
      <c r="AI28">
        <v>125.44</v>
      </c>
      <c r="AJ28">
        <v>36.200000000000003</v>
      </c>
      <c r="AK28">
        <v>310.07</v>
      </c>
      <c r="AL28">
        <v>92.59</v>
      </c>
      <c r="AM28">
        <v>128.88999999999999</v>
      </c>
      <c r="AN28">
        <v>63.99</v>
      </c>
      <c r="AO28">
        <v>30.51</v>
      </c>
      <c r="AP28">
        <v>504.27</v>
      </c>
      <c r="AQ28">
        <v>94.96</v>
      </c>
      <c r="AR28" cm="1">
        <f t="array" ref="AR28">SUMPRODUCT($B$162:$U$162,(B28:U28)/($B$11:$U$11))</f>
        <v>2637.9162449086252</v>
      </c>
      <c r="AS28">
        <f t="shared" si="0"/>
        <v>-0.4617487876589621</v>
      </c>
      <c r="AT28">
        <f t="shared" si="1"/>
        <v>0.999824987629232</v>
      </c>
      <c r="AU28" cm="1">
        <f t="array" ref="AU28">SUMPRODUCT($X$162:$AQ$162,(X28:AQ28)/($X$11:$AQ$11))</f>
        <v>2650.486256836949</v>
      </c>
      <c r="AV28">
        <f t="shared" si="2"/>
        <v>11.84650683633663</v>
      </c>
      <c r="AW28">
        <f t="shared" si="3"/>
        <v>-11.84650683633663</v>
      </c>
      <c r="AX28">
        <f t="shared" si="4"/>
        <v>-12.308255623995592</v>
      </c>
      <c r="AY28" s="17">
        <f>AX28/VLOOKUP(W28,EURUSD!$A$2:$B$61,2,FALSE)</f>
        <v>-10.484926845553789</v>
      </c>
      <c r="BB28" s="3"/>
    </row>
    <row r="29" spans="1:54" x14ac:dyDescent="0.2">
      <c r="A29" s="3">
        <v>46009</v>
      </c>
      <c r="B29">
        <v>694.37</v>
      </c>
      <c r="C29">
        <v>207.02</v>
      </c>
      <c r="D29">
        <v>215.11</v>
      </c>
      <c r="E29">
        <v>130.88999999999999</v>
      </c>
      <c r="F29">
        <v>289.05</v>
      </c>
      <c r="G29">
        <v>96.45</v>
      </c>
      <c r="H29">
        <v>298.46970153000001</v>
      </c>
      <c r="I29">
        <v>105.62</v>
      </c>
      <c r="J29">
        <v>38.619999999999997</v>
      </c>
      <c r="K29">
        <v>322.63</v>
      </c>
      <c r="L29">
        <v>107.94</v>
      </c>
      <c r="M29">
        <v>65.91</v>
      </c>
      <c r="N29">
        <v>748.71</v>
      </c>
      <c r="O29">
        <v>238.03</v>
      </c>
      <c r="P29">
        <v>100.55</v>
      </c>
      <c r="Q29">
        <v>80.849999999999994</v>
      </c>
      <c r="R29">
        <v>162.72</v>
      </c>
      <c r="S29">
        <v>190.36</v>
      </c>
      <c r="T29">
        <v>158.55000000000001</v>
      </c>
      <c r="U29">
        <v>29.37</v>
      </c>
      <c r="V29" s="6"/>
      <c r="W29" s="3">
        <v>46009</v>
      </c>
      <c r="X29">
        <v>150.72</v>
      </c>
      <c r="Y29">
        <v>75.069999999999993</v>
      </c>
      <c r="Z29">
        <v>18.308609539999999</v>
      </c>
      <c r="AA29">
        <v>47.92</v>
      </c>
      <c r="AB29">
        <v>185.69</v>
      </c>
      <c r="AC29">
        <v>375.52</v>
      </c>
      <c r="AD29">
        <v>208.31</v>
      </c>
      <c r="AE29">
        <v>185.07</v>
      </c>
      <c r="AF29">
        <v>105.86</v>
      </c>
      <c r="AG29">
        <v>39.729999999999997</v>
      </c>
      <c r="AH29">
        <v>81.66</v>
      </c>
      <c r="AI29">
        <v>126.51</v>
      </c>
      <c r="AJ29">
        <v>36.770000000000003</v>
      </c>
      <c r="AK29">
        <v>306.82</v>
      </c>
      <c r="AL29">
        <v>91.48</v>
      </c>
      <c r="AM29">
        <v>129.9</v>
      </c>
      <c r="AN29">
        <v>64.06</v>
      </c>
      <c r="AO29">
        <v>30.95</v>
      </c>
      <c r="AP29">
        <v>503.39</v>
      </c>
      <c r="AQ29">
        <v>92.23</v>
      </c>
      <c r="AR29" cm="1">
        <f t="array" ref="AR29">SUMPRODUCT($B$162:$U$162,(B29:U29)/($B$11:$U$11))</f>
        <v>2656.3055444683132</v>
      </c>
      <c r="AS29">
        <f t="shared" si="0"/>
        <v>18.38929955968797</v>
      </c>
      <c r="AT29">
        <f t="shared" si="1"/>
        <v>1.0069711461063939</v>
      </c>
      <c r="AU29" cm="1">
        <f t="array" ref="AU29">SUMPRODUCT($X$162:$AQ$162,(X29:AQ29)/($X$11:$AQ$11))</f>
        <v>2649.0367204488321</v>
      </c>
      <c r="AV29">
        <f t="shared" si="2"/>
        <v>-1.4495363881169396</v>
      </c>
      <c r="AW29">
        <f t="shared" si="3"/>
        <v>1.4495363881169396</v>
      </c>
      <c r="AX29">
        <f t="shared" si="4"/>
        <v>19.83883594780491</v>
      </c>
      <c r="AY29" s="17">
        <f>AX29/VLOOKUP(W29,EURUSD!$A$2:$B$61,2,FALSE)</f>
        <v>16.925890237867854</v>
      </c>
      <c r="BB29" s="3"/>
    </row>
    <row r="30" spans="1:54" x14ac:dyDescent="0.2">
      <c r="A30" s="3">
        <v>46010</v>
      </c>
      <c r="B30">
        <v>721.37</v>
      </c>
      <c r="C30">
        <v>209.17</v>
      </c>
      <c r="D30">
        <v>209.45</v>
      </c>
      <c r="E30">
        <v>130.07</v>
      </c>
      <c r="F30">
        <v>283.82</v>
      </c>
      <c r="G30">
        <v>96.2</v>
      </c>
      <c r="H30">
        <v>299.61970037999998</v>
      </c>
      <c r="I30">
        <v>103.79</v>
      </c>
      <c r="J30">
        <v>38.11</v>
      </c>
      <c r="K30">
        <v>336.64</v>
      </c>
      <c r="L30">
        <v>108</v>
      </c>
      <c r="M30">
        <v>66.06</v>
      </c>
      <c r="N30">
        <v>767.96</v>
      </c>
      <c r="O30">
        <v>239.02</v>
      </c>
      <c r="P30">
        <v>99.47</v>
      </c>
      <c r="Q30">
        <v>79.540000000000006</v>
      </c>
      <c r="R30">
        <v>163.69</v>
      </c>
      <c r="S30">
        <v>190.01</v>
      </c>
      <c r="T30">
        <v>157.38999999999999</v>
      </c>
      <c r="U30">
        <v>31.11</v>
      </c>
      <c r="V30" s="6"/>
      <c r="W30" s="3">
        <v>46010</v>
      </c>
      <c r="X30">
        <v>152.87</v>
      </c>
      <c r="Y30">
        <v>74.489999999999995</v>
      </c>
      <c r="Z30">
        <v>18.358199490000001</v>
      </c>
      <c r="AA30">
        <v>49.15</v>
      </c>
      <c r="AB30">
        <v>193.38</v>
      </c>
      <c r="AC30">
        <v>376.51</v>
      </c>
      <c r="AD30">
        <v>206.37</v>
      </c>
      <c r="AE30">
        <v>184.93</v>
      </c>
      <c r="AF30">
        <v>106.58</v>
      </c>
      <c r="AG30">
        <v>39.619999999999997</v>
      </c>
      <c r="AH30">
        <v>80.23</v>
      </c>
      <c r="AI30">
        <v>127.94</v>
      </c>
      <c r="AJ30">
        <v>37.299999999999997</v>
      </c>
      <c r="AK30">
        <v>310.16000000000003</v>
      </c>
      <c r="AL30">
        <v>93.01</v>
      </c>
      <c r="AM30">
        <v>127.64</v>
      </c>
      <c r="AN30">
        <v>64.91</v>
      </c>
      <c r="AO30">
        <v>33.799999999999997</v>
      </c>
      <c r="AP30">
        <v>494.53</v>
      </c>
      <c r="AQ30">
        <v>91.94</v>
      </c>
      <c r="AR30" cm="1">
        <f t="array" ref="AR30">SUMPRODUCT($B$162:$U$162,(B30:U30)/($B$11:$U$11))</f>
        <v>2661.120405571809</v>
      </c>
      <c r="AS30">
        <f t="shared" si="0"/>
        <v>4.8148611034957867</v>
      </c>
      <c r="AT30">
        <f t="shared" si="1"/>
        <v>1.0018126156885538</v>
      </c>
      <c r="AU30" cm="1">
        <f t="array" ref="AU30">SUMPRODUCT($X$162:$AQ$162,(X30:AQ30)/($X$11:$AQ$11))</f>
        <v>2662.0836197486356</v>
      </c>
      <c r="AV30">
        <f t="shared" si="2"/>
        <v>13.046899299803499</v>
      </c>
      <c r="AW30">
        <f t="shared" si="3"/>
        <v>-13.046899299803499</v>
      </c>
      <c r="AX30">
        <f t="shared" si="4"/>
        <v>-8.2320381963077125</v>
      </c>
      <c r="AY30" s="17">
        <f>AX30/VLOOKUP(W30,EURUSD!$A$2:$B$61,2,FALSE)</f>
        <v>-7.0311224772016674</v>
      </c>
      <c r="BB30" s="3"/>
    </row>
    <row r="31" spans="1:54" x14ac:dyDescent="0.2">
      <c r="A31" s="3">
        <v>46013</v>
      </c>
      <c r="B31">
        <v>733.6</v>
      </c>
      <c r="C31">
        <v>211.59</v>
      </c>
      <c r="D31">
        <v>212.37</v>
      </c>
      <c r="E31">
        <v>130.76</v>
      </c>
      <c r="F31">
        <v>286.14999999999998</v>
      </c>
      <c r="G31">
        <v>97.12</v>
      </c>
      <c r="H31">
        <v>302.79969720000003</v>
      </c>
      <c r="I31">
        <v>103.65</v>
      </c>
      <c r="J31">
        <v>38.090000000000003</v>
      </c>
      <c r="K31">
        <v>353.52</v>
      </c>
      <c r="L31">
        <v>108.65</v>
      </c>
      <c r="M31">
        <v>67.430000000000007</v>
      </c>
      <c r="N31">
        <v>779.36</v>
      </c>
      <c r="O31">
        <v>241.51</v>
      </c>
      <c r="P31">
        <v>101.91</v>
      </c>
      <c r="Q31">
        <v>80.040000000000006</v>
      </c>
      <c r="R31">
        <v>163.68</v>
      </c>
      <c r="S31">
        <v>190.63</v>
      </c>
      <c r="T31">
        <v>159.30000000000001</v>
      </c>
      <c r="U31">
        <v>31.07</v>
      </c>
      <c r="V31" s="6"/>
      <c r="W31" s="3">
        <v>46013</v>
      </c>
      <c r="X31">
        <v>153.02000000000001</v>
      </c>
      <c r="Y31">
        <v>74.58</v>
      </c>
      <c r="Z31">
        <v>18.47721537</v>
      </c>
      <c r="AA31">
        <v>50.64</v>
      </c>
      <c r="AB31">
        <v>193.98</v>
      </c>
      <c r="AC31">
        <v>380.85</v>
      </c>
      <c r="AD31">
        <v>207.32</v>
      </c>
      <c r="AE31">
        <v>186.66</v>
      </c>
      <c r="AF31">
        <v>108.08</v>
      </c>
      <c r="AG31">
        <v>40.270000000000003</v>
      </c>
      <c r="AH31">
        <v>79.64</v>
      </c>
      <c r="AI31">
        <v>125.98</v>
      </c>
      <c r="AJ31">
        <v>37.549999999999997</v>
      </c>
      <c r="AK31">
        <v>313.75</v>
      </c>
      <c r="AL31">
        <v>94.28</v>
      </c>
      <c r="AM31">
        <v>128.31</v>
      </c>
      <c r="AN31">
        <v>66.239999999999995</v>
      </c>
      <c r="AO31">
        <v>34.9</v>
      </c>
      <c r="AP31">
        <v>499.95</v>
      </c>
      <c r="AQ31">
        <v>93.31</v>
      </c>
      <c r="AR31" cm="1">
        <f t="array" ref="AR31">SUMPRODUCT($B$162:$U$162,(B31:U31)/($B$11:$U$11))</f>
        <v>2691.6847094584668</v>
      </c>
      <c r="AS31">
        <f t="shared" si="0"/>
        <v>30.564303886657854</v>
      </c>
      <c r="AT31">
        <f t="shared" si="1"/>
        <v>1.0114855020549476</v>
      </c>
      <c r="AU31" cm="1">
        <f t="array" ref="AU31">SUMPRODUCT($X$162:$AQ$162,(X31:AQ31)/($X$11:$AQ$11))</f>
        <v>2685.2817216504836</v>
      </c>
      <c r="AV31">
        <f t="shared" si="2"/>
        <v>23.198101901848077</v>
      </c>
      <c r="AW31">
        <f t="shared" si="3"/>
        <v>-23.198101901848077</v>
      </c>
      <c r="AX31">
        <f t="shared" si="4"/>
        <v>7.3662019848097771</v>
      </c>
      <c r="AY31" s="17">
        <f>AX31/VLOOKUP(W31,EURUSD!$A$2:$B$61,2,FALSE)</f>
        <v>6.2637771979674977</v>
      </c>
      <c r="BB31" s="3"/>
    </row>
    <row r="32" spans="1:54" x14ac:dyDescent="0.2">
      <c r="A32" s="3">
        <v>46014</v>
      </c>
      <c r="B32">
        <v>728.45</v>
      </c>
      <c r="C32">
        <v>208</v>
      </c>
      <c r="D32">
        <v>212.68</v>
      </c>
      <c r="E32">
        <v>129.4</v>
      </c>
      <c r="F32">
        <v>283.77999999999997</v>
      </c>
      <c r="G32">
        <v>96.96</v>
      </c>
      <c r="H32">
        <v>297.33</v>
      </c>
      <c r="I32">
        <v>102.7</v>
      </c>
      <c r="J32">
        <v>38.24</v>
      </c>
      <c r="K32">
        <v>354.52</v>
      </c>
      <c r="L32">
        <v>107.64</v>
      </c>
      <c r="M32">
        <v>66.86</v>
      </c>
      <c r="N32">
        <v>785.17</v>
      </c>
      <c r="O32">
        <v>241.25</v>
      </c>
      <c r="P32">
        <v>100.68</v>
      </c>
      <c r="Q32">
        <v>79.790000000000006</v>
      </c>
      <c r="R32">
        <v>164.02</v>
      </c>
      <c r="S32">
        <v>191.91</v>
      </c>
      <c r="T32">
        <v>158.62</v>
      </c>
      <c r="U32">
        <v>30.76</v>
      </c>
      <c r="V32" s="6"/>
      <c r="W32" s="3">
        <v>46014</v>
      </c>
      <c r="X32">
        <v>151.65</v>
      </c>
      <c r="Y32">
        <v>73.989999999999995</v>
      </c>
      <c r="Z32">
        <v>18.20942964</v>
      </c>
      <c r="AA32">
        <v>51.9</v>
      </c>
      <c r="AB32">
        <v>194.13</v>
      </c>
      <c r="AC32">
        <v>382.19</v>
      </c>
      <c r="AD32">
        <v>205.78</v>
      </c>
      <c r="AE32">
        <v>187.6</v>
      </c>
      <c r="AF32">
        <v>107.51</v>
      </c>
      <c r="AG32">
        <v>40.1</v>
      </c>
      <c r="AH32">
        <v>78.7</v>
      </c>
      <c r="AI32">
        <v>124.96</v>
      </c>
      <c r="AJ32">
        <v>36.97</v>
      </c>
      <c r="AK32">
        <v>314.07</v>
      </c>
      <c r="AL32">
        <v>94.47</v>
      </c>
      <c r="AM32">
        <v>128.52000000000001</v>
      </c>
      <c r="AN32">
        <v>65.349999999999994</v>
      </c>
      <c r="AO32">
        <v>32.29</v>
      </c>
      <c r="AP32">
        <v>500.51</v>
      </c>
      <c r="AQ32">
        <v>92.73</v>
      </c>
      <c r="AR32" cm="1">
        <f t="array" ref="AR32">SUMPRODUCT($B$162:$U$162,(B32:U32)/($B$11:$U$11))</f>
        <v>2684.2291972338562</v>
      </c>
      <c r="AS32">
        <f t="shared" si="0"/>
        <v>-7.4555122246106293</v>
      </c>
      <c r="AT32">
        <f t="shared" si="1"/>
        <v>0.99723016882385507</v>
      </c>
      <c r="AU32" cm="1">
        <f t="array" ref="AU32">SUMPRODUCT($X$162:$AQ$162,(X32:AQ32)/($X$11:$AQ$11))</f>
        <v>2665.7596053186207</v>
      </c>
      <c r="AV32">
        <f t="shared" si="2"/>
        <v>-19.52211633186289</v>
      </c>
      <c r="AW32">
        <f t="shared" si="3"/>
        <v>19.52211633186289</v>
      </c>
      <c r="AX32">
        <f t="shared" si="4"/>
        <v>12.06660410725226</v>
      </c>
      <c r="AY32" s="17">
        <f>AX32/VLOOKUP(W32,EURUSD!$A$2:$B$61,2,FALSE)</f>
        <v>10.231137957649873</v>
      </c>
      <c r="BB32" s="3"/>
    </row>
    <row r="33" spans="1:54" x14ac:dyDescent="0.2">
      <c r="A33" s="3">
        <v>46015</v>
      </c>
      <c r="B33">
        <v>727.5</v>
      </c>
      <c r="C33">
        <v>209.08</v>
      </c>
      <c r="D33">
        <v>210.4</v>
      </c>
      <c r="E33">
        <v>130.26</v>
      </c>
      <c r="F33">
        <v>284</v>
      </c>
      <c r="G33">
        <v>96.4</v>
      </c>
      <c r="H33">
        <v>296</v>
      </c>
      <c r="I33">
        <v>104.03</v>
      </c>
      <c r="J33">
        <v>38.130000000000003</v>
      </c>
      <c r="K33">
        <v>355.45</v>
      </c>
      <c r="L33">
        <v>107.48</v>
      </c>
      <c r="M33">
        <v>67.42</v>
      </c>
      <c r="N33">
        <v>783.71</v>
      </c>
      <c r="O33">
        <v>241.89</v>
      </c>
      <c r="P33">
        <v>100.95</v>
      </c>
      <c r="Q33">
        <v>80.45</v>
      </c>
      <c r="R33">
        <v>163.47</v>
      </c>
      <c r="S33">
        <v>192.6</v>
      </c>
      <c r="T33">
        <v>159.36000000000001</v>
      </c>
      <c r="U33">
        <v>30.55</v>
      </c>
      <c r="V33" s="6"/>
      <c r="W33" s="3">
        <v>46015</v>
      </c>
      <c r="X33">
        <v>151.56</v>
      </c>
      <c r="Y33">
        <v>74.25</v>
      </c>
      <c r="Z33">
        <v>18.368117479999999</v>
      </c>
      <c r="AA33">
        <v>51.92</v>
      </c>
      <c r="AB33">
        <v>194.17</v>
      </c>
      <c r="AC33">
        <v>383.11</v>
      </c>
      <c r="AD33">
        <v>207.78</v>
      </c>
      <c r="AE33">
        <v>188.29</v>
      </c>
      <c r="AF33">
        <v>107.33</v>
      </c>
      <c r="AG33">
        <v>40</v>
      </c>
      <c r="AH33">
        <v>79.95</v>
      </c>
      <c r="AI33">
        <v>125.02</v>
      </c>
      <c r="AJ33">
        <v>37.090000000000003</v>
      </c>
      <c r="AK33">
        <v>315.16000000000003</v>
      </c>
      <c r="AL33">
        <v>95.3</v>
      </c>
      <c r="AM33">
        <v>128.79</v>
      </c>
      <c r="AN33">
        <v>65.36</v>
      </c>
      <c r="AO33">
        <v>32.75</v>
      </c>
      <c r="AP33">
        <v>501.34</v>
      </c>
      <c r="AQ33">
        <v>91.8</v>
      </c>
      <c r="AR33" cm="1">
        <f t="array" ref="AR33">SUMPRODUCT($B$162:$U$162,(B33:U33)/($B$11:$U$11))</f>
        <v>2686.3935447290464</v>
      </c>
      <c r="AS33">
        <f t="shared" si="0"/>
        <v>2.1643474951902135</v>
      </c>
      <c r="AT33">
        <f t="shared" si="1"/>
        <v>1.0008063199287978</v>
      </c>
      <c r="AU33" cm="1">
        <f t="array" ref="AU33">SUMPRODUCT($X$162:$AQ$162,(X33:AQ33)/($X$11:$AQ$11))</f>
        <v>2674.5033326147413</v>
      </c>
      <c r="AV33">
        <f t="shared" si="2"/>
        <v>8.7437272961205963</v>
      </c>
      <c r="AW33">
        <f t="shared" si="3"/>
        <v>-8.7437272961205963</v>
      </c>
      <c r="AX33">
        <f t="shared" si="4"/>
        <v>-6.5793798009303828</v>
      </c>
      <c r="AY33" s="17">
        <f>AX33/VLOOKUP(W33,EURUSD!$A$2:$B$61,2,FALSE)</f>
        <v>-5.5861604694603351</v>
      </c>
      <c r="BB33" s="3"/>
    </row>
    <row r="34" spans="1:54" x14ac:dyDescent="0.2">
      <c r="A34" s="3">
        <v>46017</v>
      </c>
      <c r="B34">
        <v>714.23</v>
      </c>
      <c r="C34">
        <v>211.41</v>
      </c>
      <c r="D34">
        <v>208.97</v>
      </c>
      <c r="E34">
        <v>130.79</v>
      </c>
      <c r="F34">
        <v>282.39999999999998</v>
      </c>
      <c r="G34">
        <v>95.87</v>
      </c>
      <c r="H34">
        <v>287.54000000000002</v>
      </c>
      <c r="I34">
        <v>103.99</v>
      </c>
      <c r="J34">
        <v>38.74</v>
      </c>
      <c r="K34">
        <v>351.13</v>
      </c>
      <c r="L34">
        <v>107.65</v>
      </c>
      <c r="M34">
        <v>67.569999999999993</v>
      </c>
      <c r="N34">
        <v>784.97</v>
      </c>
      <c r="O34">
        <v>240.13</v>
      </c>
      <c r="P34">
        <v>103.09</v>
      </c>
      <c r="Q34">
        <v>80.41</v>
      </c>
      <c r="R34">
        <v>164.84</v>
      </c>
      <c r="S34">
        <v>192.6</v>
      </c>
      <c r="T34">
        <v>159.49</v>
      </c>
      <c r="U34">
        <v>30.64</v>
      </c>
      <c r="V34" s="6"/>
      <c r="W34" s="3">
        <v>46017</v>
      </c>
      <c r="X34">
        <v>152.24</v>
      </c>
      <c r="Y34">
        <v>74.23</v>
      </c>
      <c r="Z34">
        <v>18.288773559999999</v>
      </c>
      <c r="AA34">
        <v>53.04</v>
      </c>
      <c r="AB34">
        <v>188.71</v>
      </c>
      <c r="AC34">
        <v>381.05</v>
      </c>
      <c r="AD34">
        <v>207.63</v>
      </c>
      <c r="AE34">
        <v>187.71</v>
      </c>
      <c r="AF34">
        <v>106.4</v>
      </c>
      <c r="AG34">
        <v>39.85</v>
      </c>
      <c r="AH34">
        <v>80.03</v>
      </c>
      <c r="AI34">
        <v>124.36</v>
      </c>
      <c r="AJ34">
        <v>37.68</v>
      </c>
      <c r="AK34">
        <v>315.58</v>
      </c>
      <c r="AL34">
        <v>95.26</v>
      </c>
      <c r="AM34">
        <v>129.05000000000001</v>
      </c>
      <c r="AN34">
        <v>64.94</v>
      </c>
      <c r="AO34">
        <v>31.2</v>
      </c>
      <c r="AP34">
        <v>498.3</v>
      </c>
      <c r="AQ34">
        <v>91.54</v>
      </c>
      <c r="AR34" cm="1">
        <f t="array" ref="AR34">SUMPRODUCT($B$162:$U$162,(B34:U34)/($B$11:$U$11))</f>
        <v>2686.3498190344544</v>
      </c>
      <c r="AS34">
        <f t="shared" si="0"/>
        <v>-4.3725694592012587E-2</v>
      </c>
      <c r="AT34">
        <f t="shared" si="1"/>
        <v>0.99998372327290697</v>
      </c>
      <c r="AU34" cm="1">
        <f t="array" ref="AU34">SUMPRODUCT($X$162:$AQ$162,(X34:AQ34)/($X$11:$AQ$11))</f>
        <v>2667.1035522638686</v>
      </c>
      <c r="AV34">
        <f t="shared" si="2"/>
        <v>-7.3997803508727884</v>
      </c>
      <c r="AW34">
        <f t="shared" si="3"/>
        <v>7.3997803508727884</v>
      </c>
      <c r="AX34">
        <f t="shared" si="4"/>
        <v>7.3560546562807758</v>
      </c>
      <c r="AY34" s="17">
        <f>AX34/VLOOKUP(W34,EURUSD!$A$2:$B$61,2,FALSE)</f>
        <v>6.2493030806904901</v>
      </c>
      <c r="BB34" s="3"/>
    </row>
    <row r="35" spans="1:54" x14ac:dyDescent="0.2">
      <c r="A35" s="3">
        <v>46020</v>
      </c>
      <c r="B35">
        <v>698.82</v>
      </c>
      <c r="C35">
        <v>211.64</v>
      </c>
      <c r="D35">
        <v>212.54</v>
      </c>
      <c r="E35">
        <v>130.74</v>
      </c>
      <c r="F35">
        <v>287.43</v>
      </c>
      <c r="G35">
        <v>96.39</v>
      </c>
      <c r="H35">
        <v>294.52999999999997</v>
      </c>
      <c r="I35">
        <v>103.45</v>
      </c>
      <c r="J35">
        <v>38.68</v>
      </c>
      <c r="K35">
        <v>345.73</v>
      </c>
      <c r="L35">
        <v>106.7</v>
      </c>
      <c r="M35">
        <v>67.47</v>
      </c>
      <c r="N35">
        <v>780.5</v>
      </c>
      <c r="O35">
        <v>241.44</v>
      </c>
      <c r="P35">
        <v>103.71</v>
      </c>
      <c r="Q35">
        <v>80.27</v>
      </c>
      <c r="R35">
        <v>166.54</v>
      </c>
      <c r="S35">
        <v>193.69</v>
      </c>
      <c r="T35">
        <v>159.56</v>
      </c>
      <c r="U35">
        <v>30.08</v>
      </c>
      <c r="V35" s="6"/>
      <c r="W35" s="3">
        <v>46020</v>
      </c>
      <c r="X35">
        <v>151.06</v>
      </c>
      <c r="Y35">
        <v>74.459999999999994</v>
      </c>
      <c r="Z35">
        <v>18.239183610000001</v>
      </c>
      <c r="AA35">
        <v>51.48</v>
      </c>
      <c r="AB35">
        <v>184.18</v>
      </c>
      <c r="AC35">
        <v>375.32</v>
      </c>
      <c r="AD35">
        <v>207.56</v>
      </c>
      <c r="AE35">
        <v>187.62</v>
      </c>
      <c r="AF35">
        <v>106.24</v>
      </c>
      <c r="AG35">
        <v>40.409999999999997</v>
      </c>
      <c r="AH35">
        <v>80.47</v>
      </c>
      <c r="AI35">
        <v>122.27</v>
      </c>
      <c r="AJ35">
        <v>37.159999999999997</v>
      </c>
      <c r="AK35">
        <v>314.41000000000003</v>
      </c>
      <c r="AL35">
        <v>94.52</v>
      </c>
      <c r="AM35">
        <v>129.63999999999999</v>
      </c>
      <c r="AN35">
        <v>64.650000000000006</v>
      </c>
      <c r="AO35">
        <v>31.15</v>
      </c>
      <c r="AP35">
        <v>501.05</v>
      </c>
      <c r="AQ35">
        <v>92.63</v>
      </c>
      <c r="AR35" cm="1">
        <f t="array" ref="AR35">SUMPRODUCT($B$162:$U$162,(B35:U35)/($B$11:$U$11))</f>
        <v>2688.0644206882298</v>
      </c>
      <c r="AS35">
        <f t="shared" si="0"/>
        <v>1.7146016537753894</v>
      </c>
      <c r="AT35">
        <f t="shared" si="1"/>
        <v>1.0006382644738323</v>
      </c>
      <c r="AU35" cm="1">
        <f t="array" ref="AU35">SUMPRODUCT($X$162:$AQ$162,(X35:AQ35)/($X$11:$AQ$11))</f>
        <v>2658.9817237873681</v>
      </c>
      <c r="AV35">
        <f t="shared" si="2"/>
        <v>-8.1218284765004682</v>
      </c>
      <c r="AW35">
        <f t="shared" si="3"/>
        <v>8.1218284765004682</v>
      </c>
      <c r="AX35">
        <f t="shared" si="4"/>
        <v>9.8364301302758577</v>
      </c>
      <c r="AY35" s="17">
        <f>AX35/VLOOKUP(W35,EURUSD!$A$2:$B$61,2,FALSE)</f>
        <v>8.3557850240195872</v>
      </c>
      <c r="BB35" s="3"/>
    </row>
    <row r="36" spans="1:54" x14ac:dyDescent="0.2">
      <c r="A36" s="3">
        <v>46021</v>
      </c>
      <c r="B36">
        <v>693.71</v>
      </c>
      <c r="C36">
        <v>206.31</v>
      </c>
      <c r="D36">
        <v>210.67</v>
      </c>
      <c r="E36">
        <v>131.56</v>
      </c>
      <c r="F36">
        <v>287.85000000000002</v>
      </c>
      <c r="G36">
        <v>96.66</v>
      </c>
      <c r="H36">
        <v>292.68</v>
      </c>
      <c r="I36">
        <v>103.19</v>
      </c>
      <c r="J36">
        <v>38.840000000000003</v>
      </c>
      <c r="K36">
        <v>341.98</v>
      </c>
      <c r="L36">
        <v>105.84</v>
      </c>
      <c r="M36">
        <v>67.06</v>
      </c>
      <c r="N36">
        <v>773.94</v>
      </c>
      <c r="O36">
        <v>242.13</v>
      </c>
      <c r="P36">
        <v>105.03</v>
      </c>
      <c r="Q36">
        <v>80.53</v>
      </c>
      <c r="R36">
        <v>170.66</v>
      </c>
      <c r="S36">
        <v>194.76</v>
      </c>
      <c r="T36">
        <v>159.31</v>
      </c>
      <c r="U36">
        <v>29.65</v>
      </c>
      <c r="V36" s="6"/>
      <c r="W36" s="3">
        <v>46021</v>
      </c>
      <c r="X36">
        <v>150.12</v>
      </c>
      <c r="Y36">
        <v>74.2</v>
      </c>
      <c r="Z36">
        <v>18.140003709999998</v>
      </c>
      <c r="AA36">
        <v>51.41</v>
      </c>
      <c r="AB36">
        <v>180.84</v>
      </c>
      <c r="AC36">
        <v>373.39</v>
      </c>
      <c r="AD36">
        <v>206.91</v>
      </c>
      <c r="AE36">
        <v>186.83</v>
      </c>
      <c r="AF36">
        <v>106.19</v>
      </c>
      <c r="AG36">
        <v>41.46</v>
      </c>
      <c r="AH36">
        <v>80.73</v>
      </c>
      <c r="AI36">
        <v>120.33</v>
      </c>
      <c r="AJ36">
        <v>36.729999999999997</v>
      </c>
      <c r="AK36">
        <v>313.94</v>
      </c>
      <c r="AL36">
        <v>94.31</v>
      </c>
      <c r="AM36">
        <v>129.78</v>
      </c>
      <c r="AN36">
        <v>64.680000000000007</v>
      </c>
      <c r="AO36">
        <v>30.41</v>
      </c>
      <c r="AP36">
        <v>503.71</v>
      </c>
      <c r="AQ36">
        <v>94.1</v>
      </c>
      <c r="AR36" cm="1">
        <f t="array" ref="AR36">SUMPRODUCT($B$162:$U$162,(B36:U36)/($B$11:$U$11))</f>
        <v>2687.3097003964417</v>
      </c>
      <c r="AS36">
        <f t="shared" si="0"/>
        <v>-0.75472029178808953</v>
      </c>
      <c r="AT36">
        <f t="shared" si="1"/>
        <v>0.99971923281079889</v>
      </c>
      <c r="AU36" cm="1">
        <f t="array" ref="AU36">SUMPRODUCT($X$162:$AQ$162,(X36:AQ36)/($X$11:$AQ$11))</f>
        <v>2653.275664505722</v>
      </c>
      <c r="AV36">
        <f t="shared" si="2"/>
        <v>-5.7060592816460485</v>
      </c>
      <c r="AW36">
        <f t="shared" si="3"/>
        <v>5.7060592816460485</v>
      </c>
      <c r="AX36">
        <f t="shared" si="4"/>
        <v>4.9513389898579589</v>
      </c>
      <c r="AY36" s="17">
        <f>AX36/VLOOKUP(W36,EURUSD!$A$2:$B$61,2,FALSE)</f>
        <v>4.2153405328264588</v>
      </c>
      <c r="BB36" s="3"/>
    </row>
    <row r="37" spans="1:54" x14ac:dyDescent="0.2">
      <c r="A37" s="3">
        <v>46022</v>
      </c>
      <c r="B37">
        <v>673.82</v>
      </c>
      <c r="C37">
        <v>204.88</v>
      </c>
      <c r="D37">
        <v>207.81</v>
      </c>
      <c r="E37">
        <v>130.22</v>
      </c>
      <c r="F37">
        <v>286.64999999999998</v>
      </c>
      <c r="G37">
        <v>95.92</v>
      </c>
      <c r="H37">
        <v>287.22000000000003</v>
      </c>
      <c r="I37">
        <v>102.89</v>
      </c>
      <c r="J37">
        <v>38.67</v>
      </c>
      <c r="K37">
        <v>340.07</v>
      </c>
      <c r="L37">
        <v>104.72</v>
      </c>
      <c r="M37">
        <v>66.37</v>
      </c>
      <c r="N37">
        <v>771.87</v>
      </c>
      <c r="O37">
        <v>240.85</v>
      </c>
      <c r="P37">
        <v>103.67</v>
      </c>
      <c r="Q37">
        <v>80.28</v>
      </c>
      <c r="R37">
        <v>173.54</v>
      </c>
      <c r="S37">
        <v>193.43</v>
      </c>
      <c r="T37">
        <v>156.80000000000001</v>
      </c>
      <c r="U37">
        <v>29.27</v>
      </c>
      <c r="V37" s="6"/>
      <c r="W37" s="3">
        <v>46022</v>
      </c>
      <c r="X37">
        <v>149.01</v>
      </c>
      <c r="Y37">
        <v>73.69</v>
      </c>
      <c r="Z37">
        <v>17.73</v>
      </c>
      <c r="AA37">
        <v>50.79</v>
      </c>
      <c r="AB37">
        <v>177.75</v>
      </c>
      <c r="AC37">
        <v>369.95</v>
      </c>
      <c r="AD37">
        <v>206.95</v>
      </c>
      <c r="AE37">
        <v>185.11</v>
      </c>
      <c r="AF37">
        <v>105.31</v>
      </c>
      <c r="AG37">
        <v>41.12</v>
      </c>
      <c r="AH37">
        <v>80.75</v>
      </c>
      <c r="AI37">
        <v>120.33</v>
      </c>
      <c r="AJ37">
        <v>36.49</v>
      </c>
      <c r="AK37">
        <v>310.24</v>
      </c>
      <c r="AL37">
        <v>93.2</v>
      </c>
      <c r="AM37">
        <v>128.97999999999999</v>
      </c>
      <c r="AN37">
        <v>63.72</v>
      </c>
      <c r="AO37">
        <v>29.49</v>
      </c>
      <c r="AP37">
        <v>502.65</v>
      </c>
      <c r="AQ37">
        <v>93.61</v>
      </c>
      <c r="AR37" cm="1">
        <f t="array" ref="AR37">SUMPRODUCT($B$162:$U$162,(B37:U37)/($B$11:$U$11))</f>
        <v>2668.3018886395739</v>
      </c>
      <c r="AS37">
        <f t="shared" si="0"/>
        <v>-19.007811756867795</v>
      </c>
      <c r="AT37">
        <f t="shared" si="1"/>
        <v>0.99292682501236695</v>
      </c>
      <c r="AU37" cm="1">
        <f t="array" ref="AU37">SUMPRODUCT($X$162:$AQ$162,(X37:AQ37)/($X$11:$AQ$11))</f>
        <v>2632.5600873128519</v>
      </c>
      <c r="AV37">
        <f t="shared" si="2"/>
        <v>-20.715577192870114</v>
      </c>
      <c r="AW37">
        <f t="shared" si="3"/>
        <v>20.715577192870114</v>
      </c>
      <c r="AX37">
        <f t="shared" si="4"/>
        <v>1.7077654360023189</v>
      </c>
      <c r="AY37" s="17">
        <f>AX37/VLOOKUP(W37,EURUSD!$A$2:$B$61,2,FALSE)</f>
        <v>1.4540361311215997</v>
      </c>
      <c r="BB37" s="3"/>
    </row>
    <row r="38" spans="1:54" x14ac:dyDescent="0.2">
      <c r="A38" s="3">
        <v>46024</v>
      </c>
      <c r="B38">
        <v>618.32000000000005</v>
      </c>
      <c r="C38">
        <v>200.46</v>
      </c>
      <c r="D38">
        <v>210.81</v>
      </c>
      <c r="E38">
        <v>130.97</v>
      </c>
      <c r="F38">
        <v>277.81</v>
      </c>
      <c r="G38">
        <v>93.86</v>
      </c>
      <c r="H38">
        <v>297.97000000000003</v>
      </c>
      <c r="I38">
        <v>104.63</v>
      </c>
      <c r="J38">
        <v>39.6</v>
      </c>
      <c r="K38">
        <v>349.75</v>
      </c>
      <c r="L38">
        <v>106.76</v>
      </c>
      <c r="M38">
        <v>66.540000000000006</v>
      </c>
      <c r="N38">
        <v>776.31</v>
      </c>
      <c r="O38">
        <v>237.72</v>
      </c>
      <c r="P38">
        <v>106.79</v>
      </c>
      <c r="Q38">
        <v>80.930000000000007</v>
      </c>
      <c r="R38">
        <v>178.46</v>
      </c>
      <c r="S38">
        <v>192.48</v>
      </c>
      <c r="T38">
        <v>159.19</v>
      </c>
      <c r="U38">
        <v>30.96</v>
      </c>
      <c r="V38" s="6"/>
      <c r="W38" s="3">
        <v>46024</v>
      </c>
      <c r="X38">
        <v>151.86000000000001</v>
      </c>
      <c r="Y38">
        <v>72.62</v>
      </c>
      <c r="Z38">
        <v>18.16</v>
      </c>
      <c r="AA38">
        <v>51.93</v>
      </c>
      <c r="AB38">
        <v>167.86</v>
      </c>
      <c r="AC38">
        <v>372.73</v>
      </c>
      <c r="AD38">
        <v>207.35</v>
      </c>
      <c r="AE38">
        <v>183.97</v>
      </c>
      <c r="AF38">
        <v>104.66</v>
      </c>
      <c r="AG38">
        <v>42.38</v>
      </c>
      <c r="AH38">
        <v>81.319999999999993</v>
      </c>
      <c r="AI38">
        <v>122.57</v>
      </c>
      <c r="AJ38">
        <v>36.49</v>
      </c>
      <c r="AK38">
        <v>313.41000000000003</v>
      </c>
      <c r="AL38">
        <v>95.2</v>
      </c>
      <c r="AM38">
        <v>130.36000000000001</v>
      </c>
      <c r="AN38">
        <v>65.03</v>
      </c>
      <c r="AO38">
        <v>30.86</v>
      </c>
      <c r="AP38">
        <v>496.85</v>
      </c>
      <c r="AQ38">
        <v>96.7</v>
      </c>
      <c r="AR38" cm="1">
        <f t="array" ref="AR38">SUMPRODUCT($B$162:$U$162,(B38:U38)/($B$11:$U$11))</f>
        <v>2680.1604422600153</v>
      </c>
      <c r="AS38">
        <f t="shared" si="0"/>
        <v>11.858553620441398</v>
      </c>
      <c r="AT38">
        <f t="shared" si="1"/>
        <v>1.0044442323677578</v>
      </c>
      <c r="AU38" cm="1">
        <f t="array" ref="AU38">SUMPRODUCT($X$162:$AQ$162,(X38:AQ38)/($X$11:$AQ$11))</f>
        <v>2651.5715683035232</v>
      </c>
      <c r="AV38">
        <f t="shared" si="2"/>
        <v>19.011480990671316</v>
      </c>
      <c r="AW38">
        <f t="shared" si="3"/>
        <v>-19.011480990671316</v>
      </c>
      <c r="AX38">
        <f t="shared" si="4"/>
        <v>-7.1529273702299179</v>
      </c>
      <c r="AY38" s="17">
        <f>AX38/VLOOKUP(W38,EURUSD!$A$2:$B$61,2,FALSE)</f>
        <v>-6.1037011436384656</v>
      </c>
      <c r="BB38" s="3"/>
    </row>
    <row r="39" spans="1:54" x14ac:dyDescent="0.2">
      <c r="A39" s="3">
        <v>46027</v>
      </c>
      <c r="B39">
        <v>632.91</v>
      </c>
      <c r="C39">
        <v>206.61</v>
      </c>
      <c r="D39">
        <v>212.4</v>
      </c>
      <c r="E39">
        <v>131.1</v>
      </c>
      <c r="F39">
        <v>281.93</v>
      </c>
      <c r="G39">
        <v>94.44</v>
      </c>
      <c r="H39">
        <v>297.54000000000002</v>
      </c>
      <c r="I39">
        <v>108.44</v>
      </c>
      <c r="J39">
        <v>40.07</v>
      </c>
      <c r="K39">
        <v>363.48</v>
      </c>
      <c r="L39">
        <v>108.16</v>
      </c>
      <c r="M39">
        <v>67.650000000000006</v>
      </c>
      <c r="N39">
        <v>763.23</v>
      </c>
      <c r="O39">
        <v>240.42</v>
      </c>
      <c r="P39">
        <v>108.1</v>
      </c>
      <c r="Q39">
        <v>81.319999999999993</v>
      </c>
      <c r="R39">
        <v>182.8</v>
      </c>
      <c r="S39">
        <v>190.06</v>
      </c>
      <c r="T39">
        <v>163.72999999999999</v>
      </c>
      <c r="U39">
        <v>30.07</v>
      </c>
      <c r="V39" s="6"/>
      <c r="W39" s="3">
        <v>46027</v>
      </c>
      <c r="X39">
        <v>154.4</v>
      </c>
      <c r="Y39">
        <v>72.790000000000006</v>
      </c>
      <c r="Z39">
        <v>18.12</v>
      </c>
      <c r="AA39">
        <v>54.41</v>
      </c>
      <c r="AB39">
        <v>174.04</v>
      </c>
      <c r="AC39">
        <v>379.8</v>
      </c>
      <c r="AD39">
        <v>204.31</v>
      </c>
      <c r="AE39">
        <v>183.11</v>
      </c>
      <c r="AF39">
        <v>105.67</v>
      </c>
      <c r="AG39">
        <v>41.23</v>
      </c>
      <c r="AH39">
        <v>78.349999999999994</v>
      </c>
      <c r="AI39">
        <v>119.68</v>
      </c>
      <c r="AJ39">
        <v>35.96</v>
      </c>
      <c r="AK39">
        <v>311.02999999999997</v>
      </c>
      <c r="AL39">
        <v>96.38</v>
      </c>
      <c r="AM39">
        <v>128.80000000000001</v>
      </c>
      <c r="AN39">
        <v>67.06</v>
      </c>
      <c r="AO39">
        <v>32.17</v>
      </c>
      <c r="AP39">
        <v>498.52</v>
      </c>
      <c r="AQ39">
        <v>99.2</v>
      </c>
      <c r="AR39" cm="1">
        <f t="array" ref="AR39">SUMPRODUCT($B$162:$U$162,(B39:U39)/($B$11:$U$11))</f>
        <v>2706.9622703641826</v>
      </c>
      <c r="AS39">
        <f t="shared" si="0"/>
        <v>26.801828104167271</v>
      </c>
      <c r="AT39">
        <f t="shared" si="1"/>
        <v>1.010000083458275</v>
      </c>
      <c r="AU39" cm="1">
        <f t="array" ref="AU39">SUMPRODUCT($X$162:$AQ$162,(X39:AQ39)/($X$11:$AQ$11))</f>
        <v>2663.7861860270386</v>
      </c>
      <c r="AV39">
        <f t="shared" si="2"/>
        <v>12.214617723515403</v>
      </c>
      <c r="AW39">
        <f t="shared" si="3"/>
        <v>-12.214617723515403</v>
      </c>
      <c r="AX39">
        <f t="shared" si="4"/>
        <v>14.587210380651868</v>
      </c>
      <c r="AY39" s="17">
        <f>AX39/VLOOKUP(W39,EURUSD!$A$2:$B$61,2,FALSE)</f>
        <v>12.446425239464052</v>
      </c>
      <c r="BB39" s="3"/>
    </row>
    <row r="40" spans="1:54" x14ac:dyDescent="0.2">
      <c r="A40" s="3">
        <v>46028</v>
      </c>
      <c r="B40">
        <v>617.24</v>
      </c>
      <c r="C40">
        <v>218.38</v>
      </c>
      <c r="D40">
        <v>215.88</v>
      </c>
      <c r="E40">
        <v>135.46</v>
      </c>
      <c r="F40">
        <v>285.51</v>
      </c>
      <c r="G40">
        <v>93.92</v>
      </c>
      <c r="H40">
        <v>293.81</v>
      </c>
      <c r="I40">
        <v>111.26</v>
      </c>
      <c r="J40">
        <v>40.950000000000003</v>
      </c>
      <c r="K40">
        <v>367.6</v>
      </c>
      <c r="L40">
        <v>108.55</v>
      </c>
      <c r="M40">
        <v>69.89</v>
      </c>
      <c r="N40">
        <v>776.54</v>
      </c>
      <c r="O40">
        <v>235.62</v>
      </c>
      <c r="P40">
        <v>107.46</v>
      </c>
      <c r="Q40">
        <v>81.05</v>
      </c>
      <c r="R40">
        <v>184.73</v>
      </c>
      <c r="S40">
        <v>188.12</v>
      </c>
      <c r="T40">
        <v>168.88</v>
      </c>
      <c r="U40">
        <v>30.54</v>
      </c>
      <c r="V40" s="6"/>
      <c r="W40" s="3">
        <v>46028</v>
      </c>
      <c r="X40">
        <v>157.5</v>
      </c>
      <c r="Y40">
        <v>73.02</v>
      </c>
      <c r="Z40">
        <v>18.260000000000002</v>
      </c>
      <c r="AA40">
        <v>56.15</v>
      </c>
      <c r="AB40">
        <v>179.71</v>
      </c>
      <c r="AC40">
        <v>383.56</v>
      </c>
      <c r="AD40">
        <v>204.79</v>
      </c>
      <c r="AE40">
        <v>186.3</v>
      </c>
      <c r="AF40">
        <v>105.19</v>
      </c>
      <c r="AG40">
        <v>41.74</v>
      </c>
      <c r="AH40">
        <v>79.63</v>
      </c>
      <c r="AI40">
        <v>120.53</v>
      </c>
      <c r="AJ40">
        <v>35.74</v>
      </c>
      <c r="AK40">
        <v>321.86</v>
      </c>
      <c r="AL40">
        <v>96.39</v>
      </c>
      <c r="AM40">
        <v>130.04</v>
      </c>
      <c r="AN40">
        <v>74.87</v>
      </c>
      <c r="AO40">
        <v>35.659999999999997</v>
      </c>
      <c r="AP40">
        <v>499.05</v>
      </c>
      <c r="AQ40">
        <v>97.11</v>
      </c>
      <c r="AR40" cm="1">
        <f t="array" ref="AR40">SUMPRODUCT($B$162:$U$162,(B40:U40)/($B$11:$U$11))</f>
        <v>2729.6463492363387</v>
      </c>
      <c r="AS40">
        <f t="shared" si="0"/>
        <v>22.684078872156078</v>
      </c>
      <c r="AT40">
        <f t="shared" si="1"/>
        <v>1.008379902121467</v>
      </c>
      <c r="AU40" cm="1">
        <f t="array" ref="AU40">SUMPRODUCT($X$162:$AQ$162,(X40:AQ40)/($X$11:$AQ$11))</f>
        <v>2706.2716890685938</v>
      </c>
      <c r="AV40">
        <f t="shared" si="2"/>
        <v>42.485503041555148</v>
      </c>
      <c r="AW40">
        <f t="shared" si="3"/>
        <v>-42.485503041555148</v>
      </c>
      <c r="AX40">
        <f t="shared" si="4"/>
        <v>-19.80142416939907</v>
      </c>
      <c r="AY40" s="17">
        <f>AX40/VLOOKUP(W40,EURUSD!$A$2:$B$61,2,FALSE)</f>
        <v>-16.943119850602436</v>
      </c>
      <c r="BB40" s="3"/>
    </row>
    <row r="41" spans="1:54" x14ac:dyDescent="0.2">
      <c r="A41" s="3">
        <v>46029</v>
      </c>
      <c r="B41">
        <v>632.91999999999996</v>
      </c>
      <c r="C41">
        <v>218.2</v>
      </c>
      <c r="D41">
        <v>211.72</v>
      </c>
      <c r="E41">
        <v>133.88</v>
      </c>
      <c r="F41">
        <v>281.89999999999998</v>
      </c>
      <c r="G41">
        <v>95.16</v>
      </c>
      <c r="H41">
        <v>281.39</v>
      </c>
      <c r="I41">
        <v>105.05</v>
      </c>
      <c r="J41">
        <v>39.64</v>
      </c>
      <c r="K41">
        <v>356.45</v>
      </c>
      <c r="L41">
        <v>105.27</v>
      </c>
      <c r="M41">
        <v>70.099999999999994</v>
      </c>
      <c r="N41">
        <v>812.27</v>
      </c>
      <c r="O41">
        <v>236.5</v>
      </c>
      <c r="P41">
        <v>103.04</v>
      </c>
      <c r="Q41">
        <v>78.37</v>
      </c>
      <c r="R41">
        <v>176.38</v>
      </c>
      <c r="S41">
        <v>181.42</v>
      </c>
      <c r="T41">
        <v>165.72</v>
      </c>
      <c r="U41">
        <v>30.01</v>
      </c>
      <c r="V41" s="6"/>
      <c r="W41" s="3">
        <v>46029</v>
      </c>
      <c r="X41">
        <v>156.9</v>
      </c>
      <c r="Y41">
        <v>72.12</v>
      </c>
      <c r="Z41">
        <v>17.79</v>
      </c>
      <c r="AA41">
        <v>55.5</v>
      </c>
      <c r="AB41">
        <v>181.68</v>
      </c>
      <c r="AC41">
        <v>378.22</v>
      </c>
      <c r="AD41">
        <v>207.49</v>
      </c>
      <c r="AE41">
        <v>183.95</v>
      </c>
      <c r="AF41">
        <v>105.45</v>
      </c>
      <c r="AG41">
        <v>40.99</v>
      </c>
      <c r="AH41">
        <v>77.58</v>
      </c>
      <c r="AI41">
        <v>116.37</v>
      </c>
      <c r="AJ41">
        <v>34.119999999999997</v>
      </c>
      <c r="AK41">
        <v>319.26</v>
      </c>
      <c r="AL41">
        <v>94.29</v>
      </c>
      <c r="AM41">
        <v>128.26</v>
      </c>
      <c r="AN41">
        <v>73.94</v>
      </c>
      <c r="AO41">
        <v>35.89</v>
      </c>
      <c r="AP41">
        <v>496.12</v>
      </c>
      <c r="AQ41">
        <v>93.94</v>
      </c>
      <c r="AR41" cm="1">
        <f t="array" ref="AR41">SUMPRODUCT($B$162:$U$162,(B41:U41)/($B$11:$U$11))</f>
        <v>2687.9347122657432</v>
      </c>
      <c r="AS41">
        <f t="shared" si="0"/>
        <v>-41.711636970595464</v>
      </c>
      <c r="AT41">
        <f t="shared" si="1"/>
        <v>0.98471903256542193</v>
      </c>
      <c r="AU41" cm="1">
        <f t="array" ref="AU41">SUMPRODUCT($X$162:$AQ$162,(X41:AQ41)/($X$11:$AQ$11))</f>
        <v>2675.9183334839609</v>
      </c>
      <c r="AV41">
        <f t="shared" si="2"/>
        <v>-30.353355584632936</v>
      </c>
      <c r="AW41">
        <f t="shared" si="3"/>
        <v>30.353355584632936</v>
      </c>
      <c r="AX41">
        <f t="shared" si="4"/>
        <v>-11.358281385962528</v>
      </c>
      <c r="AY41" s="17">
        <f>AX41/VLOOKUP(W41,EURUSD!$A$2:$B$61,2,FALSE)</f>
        <v>-9.7303875490127023</v>
      </c>
      <c r="BB41" s="3"/>
    </row>
    <row r="42" spans="1:54" x14ac:dyDescent="0.2">
      <c r="A42" s="3">
        <v>46030</v>
      </c>
      <c r="B42">
        <v>616.53</v>
      </c>
      <c r="C42">
        <v>219.78</v>
      </c>
      <c r="D42">
        <v>212.17</v>
      </c>
      <c r="E42">
        <v>136.35</v>
      </c>
      <c r="F42">
        <v>285.36</v>
      </c>
      <c r="G42">
        <v>96.38</v>
      </c>
      <c r="H42">
        <v>302.95</v>
      </c>
      <c r="I42">
        <v>111.29</v>
      </c>
      <c r="J42">
        <v>42.3</v>
      </c>
      <c r="K42">
        <v>378.47</v>
      </c>
      <c r="L42">
        <v>110.27</v>
      </c>
      <c r="M42">
        <v>68.430000000000007</v>
      </c>
      <c r="N42">
        <v>801.01</v>
      </c>
      <c r="O42">
        <v>238.02</v>
      </c>
      <c r="P42">
        <v>107.36</v>
      </c>
      <c r="Q42">
        <v>79.489999999999995</v>
      </c>
      <c r="R42">
        <v>183.5</v>
      </c>
      <c r="S42">
        <v>181.36</v>
      </c>
      <c r="T42">
        <v>171.07</v>
      </c>
      <c r="U42">
        <v>29.9</v>
      </c>
      <c r="V42" s="6"/>
      <c r="W42" s="3">
        <v>46030</v>
      </c>
      <c r="X42">
        <v>158.15</v>
      </c>
      <c r="Y42">
        <v>74.27</v>
      </c>
      <c r="Z42">
        <v>18.21</v>
      </c>
      <c r="AA42">
        <v>54.22</v>
      </c>
      <c r="AB42">
        <v>176.86</v>
      </c>
      <c r="AC42">
        <v>382.98</v>
      </c>
      <c r="AD42">
        <v>205.75</v>
      </c>
      <c r="AE42">
        <v>184.98</v>
      </c>
      <c r="AF42">
        <v>105.49</v>
      </c>
      <c r="AG42">
        <v>43.23</v>
      </c>
      <c r="AH42">
        <v>78.790000000000006</v>
      </c>
      <c r="AI42">
        <v>118.27</v>
      </c>
      <c r="AJ42">
        <v>35.15</v>
      </c>
      <c r="AK42">
        <v>324.91000000000003</v>
      </c>
      <c r="AL42">
        <v>95.6</v>
      </c>
      <c r="AM42">
        <v>129.63</v>
      </c>
      <c r="AN42">
        <v>73.53</v>
      </c>
      <c r="AO42">
        <v>33.86</v>
      </c>
      <c r="AP42">
        <v>499.77</v>
      </c>
      <c r="AQ42">
        <v>98.72</v>
      </c>
      <c r="AR42" cm="1">
        <f t="array" ref="AR42">SUMPRODUCT($B$162:$U$162,(B42:U42)/($B$11:$U$11))</f>
        <v>2750.4967094455014</v>
      </c>
      <c r="AS42">
        <f t="shared" si="0"/>
        <v>62.561997179758237</v>
      </c>
      <c r="AT42">
        <f t="shared" si="1"/>
        <v>1.0232751178420636</v>
      </c>
      <c r="AU42" cm="1">
        <f t="array" ref="AU42">SUMPRODUCT($X$162:$AQ$162,(X42:AQ42)/($X$11:$AQ$11))</f>
        <v>2695.425998748547</v>
      </c>
      <c r="AV42">
        <f t="shared" si="2"/>
        <v>19.507665264586194</v>
      </c>
      <c r="AW42">
        <f t="shared" si="3"/>
        <v>-19.507665264586194</v>
      </c>
      <c r="AX42">
        <f t="shared" si="4"/>
        <v>43.054331915172042</v>
      </c>
      <c r="AY42" s="17">
        <f>AX42/VLOOKUP(W42,EURUSD!$A$2:$B$61,2,FALSE)</f>
        <v>36.931147636963495</v>
      </c>
      <c r="BB42" s="3"/>
    </row>
    <row r="43" spans="1:54" x14ac:dyDescent="0.2">
      <c r="A43" s="3">
        <v>46031</v>
      </c>
      <c r="B43">
        <v>647.72</v>
      </c>
      <c r="C43">
        <v>211.93</v>
      </c>
      <c r="D43">
        <v>203.9</v>
      </c>
      <c r="E43">
        <v>139.19999999999999</v>
      </c>
      <c r="F43">
        <v>280.52</v>
      </c>
      <c r="G43">
        <v>95.18</v>
      </c>
      <c r="H43">
        <v>311.87</v>
      </c>
      <c r="I43">
        <v>124.66</v>
      </c>
      <c r="J43">
        <v>42.98</v>
      </c>
      <c r="K43">
        <v>386.99</v>
      </c>
      <c r="L43">
        <v>113.73</v>
      </c>
      <c r="M43">
        <v>67.400000000000006</v>
      </c>
      <c r="N43">
        <v>796.55</v>
      </c>
      <c r="O43">
        <v>238</v>
      </c>
      <c r="P43">
        <v>103.76</v>
      </c>
      <c r="Q43">
        <v>79.89</v>
      </c>
      <c r="R43">
        <v>181.5</v>
      </c>
      <c r="S43">
        <v>181.2</v>
      </c>
      <c r="T43">
        <v>173.13</v>
      </c>
      <c r="U43">
        <v>30.16</v>
      </c>
      <c r="V43" s="6"/>
      <c r="W43" s="3">
        <v>46031</v>
      </c>
      <c r="X43">
        <v>158.88999999999999</v>
      </c>
      <c r="Y43">
        <v>74.28</v>
      </c>
      <c r="Z43">
        <v>18.440000000000001</v>
      </c>
      <c r="AA43">
        <v>56.53</v>
      </c>
      <c r="AB43">
        <v>177.49</v>
      </c>
      <c r="AC43">
        <v>375.61</v>
      </c>
      <c r="AD43">
        <v>204.39</v>
      </c>
      <c r="AE43">
        <v>184.69</v>
      </c>
      <c r="AF43">
        <v>104.58</v>
      </c>
      <c r="AG43">
        <v>42.86</v>
      </c>
      <c r="AH43">
        <v>79.08</v>
      </c>
      <c r="AI43">
        <v>117.83</v>
      </c>
      <c r="AJ43">
        <v>34.450000000000003</v>
      </c>
      <c r="AK43">
        <v>328.18</v>
      </c>
      <c r="AL43">
        <v>95.95</v>
      </c>
      <c r="AM43">
        <v>129.88999999999999</v>
      </c>
      <c r="AN43">
        <v>75.22</v>
      </c>
      <c r="AO43">
        <v>34.299999999999997</v>
      </c>
      <c r="AP43">
        <v>499.1</v>
      </c>
      <c r="AQ43">
        <v>97.51</v>
      </c>
      <c r="AR43" cm="1">
        <f t="array" ref="AR43">SUMPRODUCT($B$162:$U$162,(B43:U43)/($B$11:$U$11))</f>
        <v>2764.4624362262921</v>
      </c>
      <c r="AS43">
        <f t="shared" si="0"/>
        <v>13.965726780790646</v>
      </c>
      <c r="AT43">
        <f t="shared" si="1"/>
        <v>1.0050775289906113</v>
      </c>
      <c r="AU43" cm="1">
        <f t="array" ref="AU43">SUMPRODUCT($X$162:$AQ$162,(X43:AQ43)/($X$11:$AQ$11))</f>
        <v>2696.0190993601882</v>
      </c>
      <c r="AV43">
        <f t="shared" si="2"/>
        <v>0.59310061164114813</v>
      </c>
      <c r="AW43">
        <f t="shared" si="3"/>
        <v>-0.59310061164114813</v>
      </c>
      <c r="AX43">
        <f t="shared" si="4"/>
        <v>13.372626169149498</v>
      </c>
      <c r="AY43" s="17">
        <f>AX43/VLOOKUP(W43,EURUSD!$A$2:$B$61,2,FALSE)</f>
        <v>11.491472174228322</v>
      </c>
      <c r="BB43" s="3"/>
    </row>
    <row r="44" spans="1:54" x14ac:dyDescent="0.2">
      <c r="A44" s="3">
        <v>46034</v>
      </c>
      <c r="B44">
        <v>658.65</v>
      </c>
      <c r="C44">
        <v>211.82</v>
      </c>
      <c r="D44">
        <v>209.04</v>
      </c>
      <c r="E44">
        <v>140.37</v>
      </c>
      <c r="F44">
        <v>282.3</v>
      </c>
      <c r="G44">
        <v>93.24</v>
      </c>
      <c r="H44">
        <v>310.08</v>
      </c>
      <c r="I44">
        <v>124.08</v>
      </c>
      <c r="J44">
        <v>42.94</v>
      </c>
      <c r="K44">
        <v>398.25</v>
      </c>
      <c r="L44">
        <v>113.02</v>
      </c>
      <c r="M44">
        <v>70.98</v>
      </c>
      <c r="N44">
        <v>768</v>
      </c>
      <c r="O44">
        <v>238.23</v>
      </c>
      <c r="P44">
        <v>101.81</v>
      </c>
      <c r="Q44">
        <v>81.12</v>
      </c>
      <c r="R44">
        <v>181.82</v>
      </c>
      <c r="S44">
        <v>185</v>
      </c>
      <c r="T44">
        <v>173.57</v>
      </c>
      <c r="U44">
        <v>30.12</v>
      </c>
      <c r="V44" s="6"/>
      <c r="W44" s="3">
        <v>46034</v>
      </c>
      <c r="X44">
        <v>161.12</v>
      </c>
      <c r="Y44">
        <v>74.33</v>
      </c>
      <c r="Z44">
        <v>18.34</v>
      </c>
      <c r="AA44">
        <v>58.71</v>
      </c>
      <c r="AB44">
        <v>179.41</v>
      </c>
      <c r="AC44">
        <v>359.59</v>
      </c>
      <c r="AD44">
        <v>209.72</v>
      </c>
      <c r="AE44">
        <v>184.83</v>
      </c>
      <c r="AF44">
        <v>104.52</v>
      </c>
      <c r="AG44">
        <v>42.72</v>
      </c>
      <c r="AH44">
        <v>78.16</v>
      </c>
      <c r="AI44">
        <v>116.84</v>
      </c>
      <c r="AJ44">
        <v>34.82</v>
      </c>
      <c r="AK44">
        <v>323.35000000000002</v>
      </c>
      <c r="AL44">
        <v>94.96</v>
      </c>
      <c r="AM44">
        <v>130.31</v>
      </c>
      <c r="AN44">
        <v>73.39</v>
      </c>
      <c r="AO44">
        <v>33.840000000000003</v>
      </c>
      <c r="AP44">
        <v>498.67</v>
      </c>
      <c r="AQ44">
        <v>95.5</v>
      </c>
      <c r="AR44" cm="1">
        <f t="array" ref="AR44">SUMPRODUCT($B$162:$U$162,(B44:U44)/($B$11:$U$11))</f>
        <v>2770.9200963942885</v>
      </c>
      <c r="AS44">
        <f t="shared" si="0"/>
        <v>6.4576601679964369</v>
      </c>
      <c r="AT44">
        <f t="shared" si="1"/>
        <v>1.0023359551149524</v>
      </c>
      <c r="AU44" cm="1">
        <f t="array" ref="AU44">SUMPRODUCT($X$162:$AQ$162,(X44:AQ44)/($X$11:$AQ$11))</f>
        <v>2695.0144966717207</v>
      </c>
      <c r="AV44">
        <f t="shared" si="2"/>
        <v>-1.0046026884674575</v>
      </c>
      <c r="AW44">
        <f t="shared" si="3"/>
        <v>1.0046026884674575</v>
      </c>
      <c r="AX44">
        <f t="shared" si="4"/>
        <v>7.4622628564638944</v>
      </c>
      <c r="AY44" s="17">
        <f>AX44/VLOOKUP(W44,EURUSD!$A$2:$B$61,2,FALSE)</f>
        <v>6.3960425614672953</v>
      </c>
      <c r="BB44" s="3"/>
    </row>
    <row r="45" spans="1:54" x14ac:dyDescent="0.2">
      <c r="A45" s="3">
        <v>46035</v>
      </c>
      <c r="B45">
        <v>668.63</v>
      </c>
      <c r="C45">
        <v>211.99</v>
      </c>
      <c r="D45">
        <v>211.9</v>
      </c>
      <c r="E45">
        <v>140.5</v>
      </c>
      <c r="F45">
        <v>281.41000000000003</v>
      </c>
      <c r="G45">
        <v>90.77</v>
      </c>
      <c r="H45">
        <v>321.83</v>
      </c>
      <c r="I45">
        <v>124.86</v>
      </c>
      <c r="J45">
        <v>42.68</v>
      </c>
      <c r="K45">
        <v>411.66</v>
      </c>
      <c r="L45">
        <v>115.37</v>
      </c>
      <c r="M45">
        <v>70.25</v>
      </c>
      <c r="N45">
        <v>758.91</v>
      </c>
      <c r="O45">
        <v>235.01</v>
      </c>
      <c r="P45">
        <v>101.71</v>
      </c>
      <c r="Q45">
        <v>81.64</v>
      </c>
      <c r="R45">
        <v>180.93</v>
      </c>
      <c r="S45">
        <v>188.04</v>
      </c>
      <c r="T45">
        <v>171.65</v>
      </c>
      <c r="U45">
        <v>28.6</v>
      </c>
      <c r="V45" s="6"/>
      <c r="W45" s="3">
        <v>46035</v>
      </c>
      <c r="X45">
        <v>160.69</v>
      </c>
      <c r="Y45">
        <v>76.06</v>
      </c>
      <c r="Z45">
        <v>18.510000000000002</v>
      </c>
      <c r="AA45">
        <v>59.34</v>
      </c>
      <c r="AB45">
        <v>178.96</v>
      </c>
      <c r="AC45">
        <v>358</v>
      </c>
      <c r="AD45">
        <v>213.65</v>
      </c>
      <c r="AE45">
        <v>184.38</v>
      </c>
      <c r="AF45">
        <v>102.77</v>
      </c>
      <c r="AG45">
        <v>43.31</v>
      </c>
      <c r="AH45">
        <v>77.510000000000005</v>
      </c>
      <c r="AI45">
        <v>116.4</v>
      </c>
      <c r="AJ45">
        <v>34.65</v>
      </c>
      <c r="AK45">
        <v>322.95999999999998</v>
      </c>
      <c r="AL45">
        <v>93.56</v>
      </c>
      <c r="AM45">
        <v>132.19999999999999</v>
      </c>
      <c r="AN45">
        <v>74.069999999999993</v>
      </c>
      <c r="AO45">
        <v>39.6</v>
      </c>
      <c r="AP45">
        <v>495.24</v>
      </c>
      <c r="AQ45">
        <v>96.46</v>
      </c>
      <c r="AR45" cm="1">
        <f t="array" ref="AR45">SUMPRODUCT($B$162:$U$162,(B45:U45)/($B$11:$U$11))</f>
        <v>2771.4956416246414</v>
      </c>
      <c r="AS45">
        <f t="shared" si="0"/>
        <v>0.57554523035287275</v>
      </c>
      <c r="AT45">
        <f t="shared" si="1"/>
        <v>1.0002077090678658</v>
      </c>
      <c r="AU45" cm="1">
        <f t="array" ref="AU45">SUMPRODUCT($X$162:$AQ$162,(X45:AQ45)/($X$11:$AQ$11))</f>
        <v>2716.738909657071</v>
      </c>
      <c r="AV45">
        <f t="shared" si="2"/>
        <v>21.724412985350227</v>
      </c>
      <c r="AW45">
        <f t="shared" si="3"/>
        <v>-21.724412985350227</v>
      </c>
      <c r="AX45">
        <f t="shared" si="4"/>
        <v>-21.148867754997354</v>
      </c>
      <c r="AY45" s="17">
        <f>AX45/VLOOKUP(W45,EURUSD!$A$2:$B$61,2,FALSE)</f>
        <v>-18.167569585943955</v>
      </c>
      <c r="BB45" s="3"/>
    </row>
    <row r="46" spans="1:54" x14ac:dyDescent="0.2">
      <c r="A46" s="3">
        <v>46036</v>
      </c>
      <c r="B46">
        <v>617.76</v>
      </c>
      <c r="C46">
        <v>221.4</v>
      </c>
      <c r="D46">
        <v>203.14</v>
      </c>
      <c r="E46">
        <v>144.72</v>
      </c>
      <c r="F46">
        <v>283.85000000000002</v>
      </c>
      <c r="G46">
        <v>91.29</v>
      </c>
      <c r="H46">
        <v>326.93</v>
      </c>
      <c r="I46">
        <v>126.38</v>
      </c>
      <c r="J46">
        <v>42.74</v>
      </c>
      <c r="K46">
        <v>415.39</v>
      </c>
      <c r="L46">
        <v>116.91</v>
      </c>
      <c r="M46">
        <v>69.7</v>
      </c>
      <c r="N46">
        <v>754.14</v>
      </c>
      <c r="O46">
        <v>238</v>
      </c>
      <c r="P46">
        <v>101.4</v>
      </c>
      <c r="Q46">
        <v>81.98</v>
      </c>
      <c r="R46">
        <v>188.88</v>
      </c>
      <c r="S46">
        <v>192.06</v>
      </c>
      <c r="T46">
        <v>173.52</v>
      </c>
      <c r="U46">
        <v>28.27</v>
      </c>
      <c r="V46" s="6"/>
      <c r="W46" s="3">
        <v>46036</v>
      </c>
      <c r="X46">
        <v>162.22</v>
      </c>
      <c r="Y46">
        <v>77.11</v>
      </c>
      <c r="Z46">
        <v>18.22</v>
      </c>
      <c r="AA46">
        <v>60.35</v>
      </c>
      <c r="AB46">
        <v>178.4</v>
      </c>
      <c r="AC46">
        <v>358.26</v>
      </c>
      <c r="AD46">
        <v>218.55</v>
      </c>
      <c r="AE46">
        <v>185.72</v>
      </c>
      <c r="AF46">
        <v>103.6</v>
      </c>
      <c r="AG46">
        <v>44.32</v>
      </c>
      <c r="AH46">
        <v>80.180000000000007</v>
      </c>
      <c r="AI46">
        <v>116.88</v>
      </c>
      <c r="AJ46">
        <v>34.409999999999997</v>
      </c>
      <c r="AK46">
        <v>319.68</v>
      </c>
      <c r="AL46">
        <v>89.25</v>
      </c>
      <c r="AM46">
        <v>133.94999999999999</v>
      </c>
      <c r="AN46">
        <v>74.680000000000007</v>
      </c>
      <c r="AO46">
        <v>40.58</v>
      </c>
      <c r="AP46">
        <v>493.15</v>
      </c>
      <c r="AQ46">
        <v>100.34</v>
      </c>
      <c r="AR46" cm="1">
        <f t="array" ref="AR46">SUMPRODUCT($B$162:$U$162,(B46:U46)/($B$11:$U$11))</f>
        <v>2784.9367942113558</v>
      </c>
      <c r="AS46">
        <f t="shared" si="0"/>
        <v>13.441152586714452</v>
      </c>
      <c r="AT46">
        <f t="shared" si="1"/>
        <v>1.0048497830502938</v>
      </c>
      <c r="AU46" cm="1">
        <f t="array" ref="AU46">SUMPRODUCT($X$162:$AQ$162,(X46:AQ46)/($X$11:$AQ$11))</f>
        <v>2741.108835137597</v>
      </c>
      <c r="AV46">
        <f t="shared" si="2"/>
        <v>24.369925480526035</v>
      </c>
      <c r="AW46">
        <f t="shared" si="3"/>
        <v>-24.369925480526035</v>
      </c>
      <c r="AX46">
        <f t="shared" si="4"/>
        <v>-10.928772893811583</v>
      </c>
      <c r="AY46" s="17">
        <f>AX46/VLOOKUP(W46,EURUSD!$A$2:$B$61,2,FALSE)</f>
        <v>-9.3873671996320081</v>
      </c>
      <c r="BB46" s="3"/>
    </row>
    <row r="47" spans="1:54" x14ac:dyDescent="0.2">
      <c r="A47" s="3">
        <v>46037</v>
      </c>
      <c r="B47">
        <v>606.99</v>
      </c>
      <c r="C47">
        <v>215.24</v>
      </c>
      <c r="D47">
        <v>205.01</v>
      </c>
      <c r="E47">
        <v>147.13</v>
      </c>
      <c r="F47">
        <v>283.07</v>
      </c>
      <c r="G47">
        <v>90.94</v>
      </c>
      <c r="H47">
        <v>330.94</v>
      </c>
      <c r="I47">
        <v>128.96</v>
      </c>
      <c r="J47">
        <v>43.33</v>
      </c>
      <c r="K47">
        <v>418.86</v>
      </c>
      <c r="L47">
        <v>115.65</v>
      </c>
      <c r="M47">
        <v>69.239999999999995</v>
      </c>
      <c r="N47">
        <v>741.92</v>
      </c>
      <c r="O47">
        <v>237.45</v>
      </c>
      <c r="P47">
        <v>103.07</v>
      </c>
      <c r="Q47">
        <v>82.19</v>
      </c>
      <c r="R47">
        <v>193.74</v>
      </c>
      <c r="S47">
        <v>191.99</v>
      </c>
      <c r="T47">
        <v>178.21</v>
      </c>
      <c r="U47">
        <v>29.42</v>
      </c>
      <c r="V47" s="6"/>
      <c r="W47" s="3">
        <v>46037</v>
      </c>
      <c r="X47">
        <v>163.76</v>
      </c>
      <c r="Y47">
        <v>79.180000000000007</v>
      </c>
      <c r="Z47">
        <v>18.47</v>
      </c>
      <c r="AA47">
        <v>59.96</v>
      </c>
      <c r="AB47">
        <v>177.07</v>
      </c>
      <c r="AC47">
        <v>357.37</v>
      </c>
      <c r="AD47">
        <v>219.57</v>
      </c>
      <c r="AE47">
        <v>182.31</v>
      </c>
      <c r="AF47">
        <v>103.16</v>
      </c>
      <c r="AG47">
        <v>43.17</v>
      </c>
      <c r="AH47">
        <v>80.84</v>
      </c>
      <c r="AI47">
        <v>117.37</v>
      </c>
      <c r="AJ47">
        <v>35.409999999999997</v>
      </c>
      <c r="AK47">
        <v>325.79000000000002</v>
      </c>
      <c r="AL47">
        <v>88.96</v>
      </c>
      <c r="AM47">
        <v>134.61000000000001</v>
      </c>
      <c r="AN47">
        <v>74.45</v>
      </c>
      <c r="AO47">
        <v>39.36</v>
      </c>
      <c r="AP47">
        <v>492.62</v>
      </c>
      <c r="AQ47">
        <v>98.93</v>
      </c>
      <c r="AR47" cm="1">
        <f t="array" ref="AR47">SUMPRODUCT($B$162:$U$162,(B47:U47)/($B$11:$U$11))</f>
        <v>2797.9706681988027</v>
      </c>
      <c r="AS47">
        <f t="shared" si="0"/>
        <v>13.033873987446896</v>
      </c>
      <c r="AT47">
        <f t="shared" si="1"/>
        <v>1.0046801327823807</v>
      </c>
      <c r="AU47" cm="1">
        <f t="array" ref="AU47">SUMPRODUCT($X$162:$AQ$162,(X47:AQ47)/($X$11:$AQ$11))</f>
        <v>2745.3948563821004</v>
      </c>
      <c r="AV47">
        <f t="shared" si="2"/>
        <v>4.2860212445034449</v>
      </c>
      <c r="AW47">
        <f t="shared" si="3"/>
        <v>-4.2860212445034449</v>
      </c>
      <c r="AX47">
        <f t="shared" si="4"/>
        <v>8.7478527429434507</v>
      </c>
      <c r="AY47" s="17">
        <f>AX47/VLOOKUP(W47,EURUSD!$A$2:$B$61,2,FALSE)</f>
        <v>7.5373537333650269</v>
      </c>
      <c r="BB47" s="3"/>
    </row>
    <row r="48" spans="1:54" x14ac:dyDescent="0.2">
      <c r="A48" s="3">
        <v>46038</v>
      </c>
      <c r="B48">
        <v>568.76</v>
      </c>
      <c r="C48">
        <v>212.61</v>
      </c>
      <c r="D48">
        <v>201.87</v>
      </c>
      <c r="E48">
        <v>148.87</v>
      </c>
      <c r="F48">
        <v>283.20999999999998</v>
      </c>
      <c r="G48">
        <v>90.65</v>
      </c>
      <c r="H48">
        <v>337.48</v>
      </c>
      <c r="I48">
        <v>126.79</v>
      </c>
      <c r="J48">
        <v>42.71</v>
      </c>
      <c r="K48">
        <v>425.9</v>
      </c>
      <c r="L48">
        <v>115.05</v>
      </c>
      <c r="M48">
        <v>69.540000000000006</v>
      </c>
      <c r="N48">
        <v>733.04</v>
      </c>
      <c r="O48">
        <v>234</v>
      </c>
      <c r="P48">
        <v>100.69</v>
      </c>
      <c r="Q48">
        <v>83.63</v>
      </c>
      <c r="R48">
        <v>191.4</v>
      </c>
      <c r="S48">
        <v>194.11</v>
      </c>
      <c r="T48">
        <v>175.65</v>
      </c>
      <c r="U48">
        <v>32.64</v>
      </c>
      <c r="V48" s="6"/>
      <c r="W48" s="3">
        <v>46038</v>
      </c>
      <c r="X48">
        <v>162.41</v>
      </c>
      <c r="Y48">
        <v>78.8</v>
      </c>
      <c r="Z48">
        <v>18.59</v>
      </c>
      <c r="AA48">
        <v>58.71</v>
      </c>
      <c r="AB48">
        <v>170.96</v>
      </c>
      <c r="AC48">
        <v>364.79</v>
      </c>
      <c r="AD48">
        <v>218.66</v>
      </c>
      <c r="AE48">
        <v>184.92</v>
      </c>
      <c r="AF48">
        <v>102.49</v>
      </c>
      <c r="AG48">
        <v>42.7</v>
      </c>
      <c r="AH48">
        <v>79.790000000000006</v>
      </c>
      <c r="AI48">
        <v>114.33</v>
      </c>
      <c r="AJ48">
        <v>34.979999999999997</v>
      </c>
      <c r="AK48">
        <v>325.88</v>
      </c>
      <c r="AL48">
        <v>88.38</v>
      </c>
      <c r="AM48">
        <v>135.51</v>
      </c>
      <c r="AN48">
        <v>74.7</v>
      </c>
      <c r="AO48">
        <v>41.83</v>
      </c>
      <c r="AP48">
        <v>493.29</v>
      </c>
      <c r="AQ48">
        <v>98.19</v>
      </c>
      <c r="AR48" cm="1">
        <f t="array" ref="AR48">SUMPRODUCT($B$162:$U$162,(B48:U48)/($B$11:$U$11))</f>
        <v>2792.7571782042564</v>
      </c>
      <c r="AS48">
        <f t="shared" si="0"/>
        <v>-5.2134899945463076</v>
      </c>
      <c r="AT48">
        <f t="shared" si="1"/>
        <v>0.99813668883173012</v>
      </c>
      <c r="AU48" cm="1">
        <f t="array" ref="AU48">SUMPRODUCT($X$162:$AQ$162,(X48:AQ48)/($X$11:$AQ$11))</f>
        <v>2740.115796991211</v>
      </c>
      <c r="AV48">
        <f t="shared" si="2"/>
        <v>-5.2790593908894152</v>
      </c>
      <c r="AW48">
        <f t="shared" si="3"/>
        <v>5.2790593908894152</v>
      </c>
      <c r="AX48">
        <f t="shared" si="4"/>
        <v>6.5569396343107655E-2</v>
      </c>
      <c r="AY48" s="17">
        <f>AX48/VLOOKUP(W48,EURUSD!$A$2:$B$61,2,FALSE)</f>
        <v>5.6539964079596154E-2</v>
      </c>
      <c r="BB48" s="3"/>
    </row>
    <row r="49" spans="1:54" x14ac:dyDescent="0.2">
      <c r="A49" s="3">
        <v>46042</v>
      </c>
      <c r="B49">
        <v>565.52</v>
      </c>
      <c r="C49">
        <v>206.48</v>
      </c>
      <c r="D49">
        <v>188.76</v>
      </c>
      <c r="E49">
        <v>145.53</v>
      </c>
      <c r="F49">
        <v>286.88</v>
      </c>
      <c r="G49">
        <v>91.8</v>
      </c>
      <c r="H49">
        <v>327.87</v>
      </c>
      <c r="I49">
        <v>122.52</v>
      </c>
      <c r="J49">
        <v>40.950000000000003</v>
      </c>
      <c r="K49">
        <v>415.58</v>
      </c>
      <c r="L49">
        <v>114.46</v>
      </c>
      <c r="M49">
        <v>70.73</v>
      </c>
      <c r="N49">
        <v>733.78</v>
      </c>
      <c r="O49">
        <v>232.75</v>
      </c>
      <c r="P49">
        <v>97.98</v>
      </c>
      <c r="Q49">
        <v>83.51</v>
      </c>
      <c r="R49">
        <v>191.27</v>
      </c>
      <c r="S49">
        <v>185.88</v>
      </c>
      <c r="T49">
        <v>170</v>
      </c>
      <c r="U49">
        <v>31.41</v>
      </c>
      <c r="V49" s="6"/>
      <c r="W49" s="3">
        <v>46042</v>
      </c>
      <c r="X49">
        <v>159.12</v>
      </c>
      <c r="Y49">
        <v>76.52</v>
      </c>
      <c r="Z49">
        <v>18.239999999999998</v>
      </c>
      <c r="AA49">
        <v>60.07</v>
      </c>
      <c r="AB49">
        <v>168.53</v>
      </c>
      <c r="AC49">
        <v>352.19</v>
      </c>
      <c r="AD49">
        <v>218.21</v>
      </c>
      <c r="AE49">
        <v>184.32</v>
      </c>
      <c r="AF49">
        <v>102.3</v>
      </c>
      <c r="AG49">
        <v>42.24</v>
      </c>
      <c r="AH49">
        <v>78.03</v>
      </c>
      <c r="AI49">
        <v>111.28</v>
      </c>
      <c r="AJ49">
        <v>33.6</v>
      </c>
      <c r="AK49">
        <v>313.83999999999997</v>
      </c>
      <c r="AL49">
        <v>86.66</v>
      </c>
      <c r="AM49">
        <v>135.61000000000001</v>
      </c>
      <c r="AN49">
        <v>73.17</v>
      </c>
      <c r="AO49">
        <v>43</v>
      </c>
      <c r="AP49">
        <v>485.39</v>
      </c>
      <c r="AQ49">
        <v>95.52</v>
      </c>
      <c r="AR49" cm="1">
        <f t="array" ref="AR49">SUMPRODUCT($B$162:$U$162,(B49:U49)/($B$11:$U$11))</f>
        <v>2746.847027298601</v>
      </c>
      <c r="AS49">
        <f t="shared" si="0"/>
        <v>-45.910150905655428</v>
      </c>
      <c r="AT49">
        <f t="shared" si="1"/>
        <v>0.98356099439508893</v>
      </c>
      <c r="AU49" cm="1">
        <f t="array" ref="AU49">SUMPRODUCT($X$162:$AQ$162,(X49:AQ49)/($X$11:$AQ$11))</f>
        <v>2703.1492777274666</v>
      </c>
      <c r="AV49">
        <f t="shared" si="2"/>
        <v>-36.966519263744431</v>
      </c>
      <c r="AW49">
        <f t="shared" si="3"/>
        <v>36.966519263744431</v>
      </c>
      <c r="AX49">
        <f t="shared" si="4"/>
        <v>-8.9436316419109971</v>
      </c>
      <c r="AY49" s="17">
        <f>AX49/VLOOKUP(W49,EURUSD!$A$2:$B$61,2,FALSE)</f>
        <v>-7.6284814414116315</v>
      </c>
      <c r="BB49" s="3"/>
    </row>
    <row r="50" spans="1:54" x14ac:dyDescent="0.2">
      <c r="A50" s="3">
        <v>46043</v>
      </c>
      <c r="B50">
        <v>532.55999999999995</v>
      </c>
      <c r="C50">
        <v>212.95</v>
      </c>
      <c r="D50">
        <v>189.84</v>
      </c>
      <c r="E50">
        <v>145.41999999999999</v>
      </c>
      <c r="F50">
        <v>279.89999999999998</v>
      </c>
      <c r="G50">
        <v>92.28</v>
      </c>
      <c r="H50">
        <v>346.23</v>
      </c>
      <c r="I50">
        <v>126.82</v>
      </c>
      <c r="J50">
        <v>41.93</v>
      </c>
      <c r="K50">
        <v>422.68</v>
      </c>
      <c r="L50">
        <v>117.87</v>
      </c>
      <c r="M50">
        <v>72.11</v>
      </c>
      <c r="N50">
        <v>749.33</v>
      </c>
      <c r="O50">
        <v>238.23</v>
      </c>
      <c r="P50">
        <v>101.94</v>
      </c>
      <c r="Q50">
        <v>83.85</v>
      </c>
      <c r="R50">
        <v>194.6</v>
      </c>
      <c r="S50">
        <v>186.13</v>
      </c>
      <c r="T50">
        <v>178.4</v>
      </c>
      <c r="U50">
        <v>32.24</v>
      </c>
      <c r="V50" s="6"/>
      <c r="W50" s="3">
        <v>46043</v>
      </c>
      <c r="X50">
        <v>162.51</v>
      </c>
      <c r="Y50">
        <v>76.930000000000007</v>
      </c>
      <c r="Z50">
        <v>18.68</v>
      </c>
      <c r="AA50">
        <v>60.58</v>
      </c>
      <c r="AB50">
        <v>165.33</v>
      </c>
      <c r="AC50">
        <v>359.61</v>
      </c>
      <c r="AD50">
        <v>218.01</v>
      </c>
      <c r="AE50">
        <v>185.17</v>
      </c>
      <c r="AF50">
        <v>102.38</v>
      </c>
      <c r="AG50">
        <v>43.51</v>
      </c>
      <c r="AH50">
        <v>78.58</v>
      </c>
      <c r="AI50">
        <v>114.13</v>
      </c>
      <c r="AJ50">
        <v>33.9</v>
      </c>
      <c r="AK50">
        <v>320.56</v>
      </c>
      <c r="AL50">
        <v>86.12</v>
      </c>
      <c r="AM50">
        <v>137.07</v>
      </c>
      <c r="AN50">
        <v>76.2</v>
      </c>
      <c r="AO50">
        <v>49.81</v>
      </c>
      <c r="AP50">
        <v>483.83</v>
      </c>
      <c r="AQ50">
        <v>97.15</v>
      </c>
      <c r="AR50" cm="1">
        <f t="array" ref="AR50">SUMPRODUCT($B$162:$U$162,(B50:U50)/($B$11:$U$11))</f>
        <v>2784.8442355695865</v>
      </c>
      <c r="AS50">
        <f t="shared" si="0"/>
        <v>37.997208270985539</v>
      </c>
      <c r="AT50">
        <f t="shared" si="1"/>
        <v>1.0138330267005637</v>
      </c>
      <c r="AU50" cm="1">
        <f t="array" ref="AU50">SUMPRODUCT($X$162:$AQ$162,(X50:AQ50)/($X$11:$AQ$11))</f>
        <v>2747.7897048224304</v>
      </c>
      <c r="AV50">
        <f t="shared" si="2"/>
        <v>44.640427094963798</v>
      </c>
      <c r="AW50">
        <f t="shared" si="3"/>
        <v>-44.640427094963798</v>
      </c>
      <c r="AX50">
        <f t="shared" si="4"/>
        <v>-6.643218823978259</v>
      </c>
      <c r="AY50" s="17">
        <f>AX50/VLOOKUP(W50,EURUSD!$A$2:$B$61,2,FALSE)</f>
        <v>-5.6867135969682074</v>
      </c>
      <c r="BB50" s="3"/>
    </row>
    <row r="51" spans="1:54" x14ac:dyDescent="0.2">
      <c r="A51" s="3">
        <v>46044</v>
      </c>
      <c r="B51">
        <v>521.94000000000005</v>
      </c>
      <c r="C51">
        <v>219.05</v>
      </c>
      <c r="D51">
        <v>194.66</v>
      </c>
      <c r="E51">
        <v>143.76</v>
      </c>
      <c r="F51">
        <v>285.35000000000002</v>
      </c>
      <c r="G51">
        <v>92.51</v>
      </c>
      <c r="H51">
        <v>345.78</v>
      </c>
      <c r="I51">
        <v>125.25</v>
      </c>
      <c r="J51">
        <v>41.78</v>
      </c>
      <c r="K51">
        <v>424.14</v>
      </c>
      <c r="L51">
        <v>119.49</v>
      </c>
      <c r="M51">
        <v>73.92</v>
      </c>
      <c r="N51">
        <v>755.51</v>
      </c>
      <c r="O51">
        <v>237.42</v>
      </c>
      <c r="P51">
        <v>101.62</v>
      </c>
      <c r="Q51">
        <v>85.07</v>
      </c>
      <c r="R51">
        <v>198.75</v>
      </c>
      <c r="S51">
        <v>185.29</v>
      </c>
      <c r="T51">
        <v>178.25</v>
      </c>
      <c r="U51">
        <v>32.450000000000003</v>
      </c>
      <c r="V51" s="6"/>
      <c r="W51" s="3">
        <v>46044</v>
      </c>
      <c r="X51">
        <v>160.80000000000001</v>
      </c>
      <c r="Y51">
        <v>76.84</v>
      </c>
      <c r="Z51">
        <v>18.809999999999999</v>
      </c>
      <c r="AA51">
        <v>58.85</v>
      </c>
      <c r="AB51">
        <v>165.9</v>
      </c>
      <c r="AC51">
        <v>368.02</v>
      </c>
      <c r="AD51">
        <v>218.49</v>
      </c>
      <c r="AE51">
        <v>185.1</v>
      </c>
      <c r="AF51">
        <v>102.4</v>
      </c>
      <c r="AG51">
        <v>43.15</v>
      </c>
      <c r="AH51">
        <v>79.239999999999995</v>
      </c>
      <c r="AI51">
        <v>115.06</v>
      </c>
      <c r="AJ51">
        <v>34.42</v>
      </c>
      <c r="AK51">
        <v>321.67</v>
      </c>
      <c r="AL51">
        <v>88.04</v>
      </c>
      <c r="AM51">
        <v>135.19</v>
      </c>
      <c r="AN51">
        <v>75.47</v>
      </c>
      <c r="AO51">
        <v>51.87</v>
      </c>
      <c r="AP51">
        <v>484.49</v>
      </c>
      <c r="AQ51">
        <v>96.88</v>
      </c>
      <c r="AR51" cm="1">
        <f t="array" ref="AR51">SUMPRODUCT($B$162:$U$162,(B51:U51)/($B$11:$U$11))</f>
        <v>2797.2979162731463</v>
      </c>
      <c r="AS51">
        <f t="shared" si="0"/>
        <v>12.453680703559712</v>
      </c>
      <c r="AT51">
        <f t="shared" si="1"/>
        <v>1.0044719487519245</v>
      </c>
      <c r="AU51" cm="1">
        <f t="array" ref="AU51">SUMPRODUCT($X$162:$AQ$162,(X51:AQ51)/($X$11:$AQ$11))</f>
        <v>2754.0796033605175</v>
      </c>
      <c r="AV51">
        <f t="shared" si="2"/>
        <v>6.2898985380870727</v>
      </c>
      <c r="AW51">
        <f t="shared" si="3"/>
        <v>-6.2898985380870727</v>
      </c>
      <c r="AX51">
        <f t="shared" si="4"/>
        <v>6.1637821654726395</v>
      </c>
      <c r="AY51" s="17">
        <f>AX51/VLOOKUP(W51,EURUSD!$A$2:$B$61,2,FALSE)</f>
        <v>5.2439868687022626</v>
      </c>
      <c r="BB51" s="3"/>
    </row>
    <row r="52" spans="1:54" x14ac:dyDescent="0.2">
      <c r="A52" s="3">
        <v>46045</v>
      </c>
      <c r="B52">
        <v>524.41</v>
      </c>
      <c r="C52">
        <v>218.21</v>
      </c>
      <c r="D52">
        <v>191.07</v>
      </c>
      <c r="E52">
        <v>141.52000000000001</v>
      </c>
      <c r="F52">
        <v>275.85000000000002</v>
      </c>
      <c r="G52">
        <v>92.96</v>
      </c>
      <c r="H52">
        <v>346.94</v>
      </c>
      <c r="I52">
        <v>122.36</v>
      </c>
      <c r="J52">
        <v>43.8</v>
      </c>
      <c r="K52">
        <v>418.58</v>
      </c>
      <c r="L52">
        <v>117.69</v>
      </c>
      <c r="M52">
        <v>72.86</v>
      </c>
      <c r="N52">
        <v>753.55</v>
      </c>
      <c r="O52">
        <v>233.39</v>
      </c>
      <c r="P52">
        <v>99.98</v>
      </c>
      <c r="Q52">
        <v>84.81</v>
      </c>
      <c r="R52">
        <v>201.89</v>
      </c>
      <c r="S52">
        <v>187.16</v>
      </c>
      <c r="T52">
        <v>174.3</v>
      </c>
      <c r="U52">
        <v>31.7</v>
      </c>
      <c r="V52" s="6"/>
      <c r="W52" s="3">
        <v>46045</v>
      </c>
      <c r="X52">
        <v>159.21</v>
      </c>
      <c r="Y52">
        <v>76.209999999999994</v>
      </c>
      <c r="Z52">
        <v>18.7</v>
      </c>
      <c r="AA52">
        <v>60.41</v>
      </c>
      <c r="AB52">
        <v>169.6</v>
      </c>
      <c r="AC52">
        <v>361.69</v>
      </c>
      <c r="AD52">
        <v>220.14</v>
      </c>
      <c r="AE52">
        <v>184.73</v>
      </c>
      <c r="AF52">
        <v>101.86</v>
      </c>
      <c r="AG52">
        <v>44.1</v>
      </c>
      <c r="AH52">
        <v>79.790000000000006</v>
      </c>
      <c r="AI52">
        <v>113.55</v>
      </c>
      <c r="AJ52">
        <v>34.03</v>
      </c>
      <c r="AK52">
        <v>319.7</v>
      </c>
      <c r="AL52">
        <v>86.96</v>
      </c>
      <c r="AM52">
        <v>134.33000000000001</v>
      </c>
      <c r="AN52">
        <v>74.709999999999994</v>
      </c>
      <c r="AO52">
        <v>48.71</v>
      </c>
      <c r="AP52">
        <v>478.97</v>
      </c>
      <c r="AQ52">
        <v>98.35</v>
      </c>
      <c r="AR52" cm="1">
        <f t="array" ref="AR52">SUMPRODUCT($B$162:$U$162,(B52:U52)/($B$11:$U$11))</f>
        <v>2785.81538511079</v>
      </c>
      <c r="AS52">
        <f t="shared" si="0"/>
        <v>-11.482531162356281</v>
      </c>
      <c r="AT52">
        <f t="shared" si="1"/>
        <v>0.99589513469568003</v>
      </c>
      <c r="AU52" cm="1">
        <f t="array" ref="AU52">SUMPRODUCT($X$162:$AQ$162,(X52:AQ52)/($X$11:$AQ$11))</f>
        <v>2738.9960807749071</v>
      </c>
      <c r="AV52">
        <f t="shared" si="2"/>
        <v>-15.083522585610353</v>
      </c>
      <c r="AW52">
        <f t="shared" si="3"/>
        <v>15.083522585610353</v>
      </c>
      <c r="AX52">
        <f t="shared" si="4"/>
        <v>3.6009914232540723</v>
      </c>
      <c r="AY52" s="17">
        <f>AX52/VLOOKUP(W52,EURUSD!$A$2:$B$61,2,FALSE)</f>
        <v>3.0449783724455202</v>
      </c>
      <c r="BB52" s="3"/>
    </row>
    <row r="53" spans="1:54" x14ac:dyDescent="0.2">
      <c r="A53" s="3">
        <v>46048</v>
      </c>
      <c r="B53">
        <v>535.44000000000005</v>
      </c>
      <c r="C53">
        <v>220.44</v>
      </c>
      <c r="D53">
        <v>192.79</v>
      </c>
      <c r="E53">
        <v>140.09</v>
      </c>
      <c r="F53">
        <v>280.55</v>
      </c>
      <c r="G53">
        <v>93.7</v>
      </c>
      <c r="H53">
        <v>341.74</v>
      </c>
      <c r="I53">
        <v>119.19</v>
      </c>
      <c r="J53">
        <v>43.38</v>
      </c>
      <c r="K53">
        <v>413.56</v>
      </c>
      <c r="L53">
        <v>116.39</v>
      </c>
      <c r="M53">
        <v>73.34</v>
      </c>
      <c r="N53">
        <v>762.65</v>
      </c>
      <c r="O53">
        <v>233.87</v>
      </c>
      <c r="P53">
        <v>101.3</v>
      </c>
      <c r="Q53">
        <v>85.47</v>
      </c>
      <c r="R53">
        <v>201.05</v>
      </c>
      <c r="S53">
        <v>187.67</v>
      </c>
      <c r="T53">
        <v>173.99</v>
      </c>
      <c r="U53">
        <v>30.8</v>
      </c>
      <c r="V53" s="6"/>
      <c r="W53" s="3">
        <v>46048</v>
      </c>
      <c r="X53">
        <v>158.84</v>
      </c>
      <c r="Y53">
        <v>75.63</v>
      </c>
      <c r="Z53">
        <v>18.73</v>
      </c>
      <c r="AA53">
        <v>61.17</v>
      </c>
      <c r="AB53">
        <v>167.47</v>
      </c>
      <c r="AC53">
        <v>363.25</v>
      </c>
      <c r="AD53">
        <v>221.49</v>
      </c>
      <c r="AE53">
        <v>185.33</v>
      </c>
      <c r="AF53">
        <v>102.68</v>
      </c>
      <c r="AG53">
        <v>43.92</v>
      </c>
      <c r="AH53">
        <v>80.36</v>
      </c>
      <c r="AI53">
        <v>114.08</v>
      </c>
      <c r="AJ53">
        <v>34.1</v>
      </c>
      <c r="AK53">
        <v>316.7</v>
      </c>
      <c r="AL53">
        <v>88.05</v>
      </c>
      <c r="AM53">
        <v>135.53</v>
      </c>
      <c r="AN53">
        <v>74.790000000000006</v>
      </c>
      <c r="AO53">
        <v>47.99</v>
      </c>
      <c r="AP53">
        <v>483.47</v>
      </c>
      <c r="AQ53">
        <v>98.45</v>
      </c>
      <c r="AR53" cm="1">
        <f t="array" ref="AR53">SUMPRODUCT($B$162:$U$162,(B53:U53)/($B$11:$U$11))</f>
        <v>2786.2472217224149</v>
      </c>
      <c r="AS53">
        <f t="shared" si="0"/>
        <v>0.43183661162493081</v>
      </c>
      <c r="AT53">
        <f t="shared" si="1"/>
        <v>1.0001550126451066</v>
      </c>
      <c r="AU53" cm="1">
        <f t="array" ref="AU53">SUMPRODUCT($X$162:$AQ$162,(X53:AQ53)/($X$11:$AQ$11))</f>
        <v>2746.4933047118093</v>
      </c>
      <c r="AV53">
        <f t="shared" si="2"/>
        <v>7.4972239369021736</v>
      </c>
      <c r="AW53">
        <f t="shared" si="3"/>
        <v>-7.4972239369021736</v>
      </c>
      <c r="AX53">
        <f t="shared" si="4"/>
        <v>-7.0653873252772428</v>
      </c>
      <c r="AY53" s="17">
        <f>AX53/VLOOKUP(W53,EURUSD!$A$2:$B$61,2,FALSE)</f>
        <v>-5.9477963846091786</v>
      </c>
      <c r="BB53" s="3"/>
    </row>
    <row r="54" spans="1:54" x14ac:dyDescent="0.2">
      <c r="A54" s="3">
        <v>46049</v>
      </c>
      <c r="B54">
        <v>543.55999999999995</v>
      </c>
      <c r="C54">
        <v>218.04</v>
      </c>
      <c r="D54">
        <v>186.39</v>
      </c>
      <c r="E54">
        <v>139.79</v>
      </c>
      <c r="F54">
        <v>272.5</v>
      </c>
      <c r="G54">
        <v>93.46</v>
      </c>
      <c r="H54">
        <v>345.2</v>
      </c>
      <c r="I54">
        <v>117.29</v>
      </c>
      <c r="J54">
        <v>42.96</v>
      </c>
      <c r="K54">
        <v>422.79</v>
      </c>
      <c r="L54">
        <v>116.44</v>
      </c>
      <c r="M54">
        <v>73.67</v>
      </c>
      <c r="N54">
        <v>771.25</v>
      </c>
      <c r="O54">
        <v>237.05</v>
      </c>
      <c r="P54">
        <v>100.16</v>
      </c>
      <c r="Q54">
        <v>87.15</v>
      </c>
      <c r="R54">
        <v>184.12</v>
      </c>
      <c r="S54">
        <v>186.79</v>
      </c>
      <c r="T54">
        <v>174.44</v>
      </c>
      <c r="U54">
        <v>31.2</v>
      </c>
      <c r="V54" s="6"/>
      <c r="W54" s="3">
        <v>46049</v>
      </c>
      <c r="X54">
        <v>158.38</v>
      </c>
      <c r="Y54">
        <v>83.92</v>
      </c>
      <c r="Z54">
        <v>18.579999999999998</v>
      </c>
      <c r="AA54">
        <v>62.87</v>
      </c>
      <c r="AB54">
        <v>165.7</v>
      </c>
      <c r="AC54">
        <v>359.45</v>
      </c>
      <c r="AD54">
        <v>224.44</v>
      </c>
      <c r="AE54">
        <v>184.56</v>
      </c>
      <c r="AF54">
        <v>102.3</v>
      </c>
      <c r="AG54">
        <v>44.55</v>
      </c>
      <c r="AH54">
        <v>78.03</v>
      </c>
      <c r="AI54">
        <v>113.77</v>
      </c>
      <c r="AJ54">
        <v>33.479999999999997</v>
      </c>
      <c r="AK54">
        <v>313.95</v>
      </c>
      <c r="AL54">
        <v>88.71</v>
      </c>
      <c r="AM54">
        <v>136.68</v>
      </c>
      <c r="AN54">
        <v>75.16</v>
      </c>
      <c r="AO54">
        <v>45.45</v>
      </c>
      <c r="AP54">
        <v>474.67</v>
      </c>
      <c r="AQ54">
        <v>99.87</v>
      </c>
      <c r="AR54" cm="1">
        <f t="array" ref="AR54">SUMPRODUCT($B$162:$U$162,(B54:U54)/($B$11:$U$11))</f>
        <v>2777.7048624892409</v>
      </c>
      <c r="AS54">
        <f t="shared" si="0"/>
        <v>-8.542359233174011</v>
      </c>
      <c r="AT54">
        <f t="shared" si="1"/>
        <v>0.9969340986088473</v>
      </c>
      <c r="AU54" cm="1">
        <f t="array" ref="AU54">SUMPRODUCT($X$162:$AQ$162,(X54:AQ54)/($X$11:$AQ$11))</f>
        <v>2747.8582596585284</v>
      </c>
      <c r="AV54">
        <f t="shared" si="2"/>
        <v>1.3649549467190809</v>
      </c>
      <c r="AW54">
        <f t="shared" si="3"/>
        <v>-1.3649549467190809</v>
      </c>
      <c r="AX54">
        <f t="shared" si="4"/>
        <v>-9.9073141798930919</v>
      </c>
      <c r="AY54" s="17">
        <f>AX54/VLOOKUP(W54,EURUSD!$A$2:$B$61,2,FALSE)</f>
        <v>-8.2279828750876938</v>
      </c>
      <c r="BB54" s="3"/>
    </row>
    <row r="55" spans="1:54" x14ac:dyDescent="0.2">
      <c r="A55" s="3">
        <v>46050</v>
      </c>
      <c r="B55">
        <v>542.36</v>
      </c>
      <c r="C55">
        <v>218.35</v>
      </c>
      <c r="D55">
        <v>180.35</v>
      </c>
      <c r="E55">
        <v>137.16</v>
      </c>
      <c r="F55">
        <v>273.52999999999997</v>
      </c>
      <c r="G55">
        <v>94.17</v>
      </c>
      <c r="H55">
        <v>354.78</v>
      </c>
      <c r="I55">
        <v>117.09</v>
      </c>
      <c r="J55">
        <v>42.41</v>
      </c>
      <c r="K55">
        <v>425.39</v>
      </c>
      <c r="L55">
        <v>114.62</v>
      </c>
      <c r="M55">
        <v>73.36</v>
      </c>
      <c r="N55">
        <v>751.13</v>
      </c>
      <c r="O55">
        <v>237.29</v>
      </c>
      <c r="P55">
        <v>97.62</v>
      </c>
      <c r="Q55">
        <v>87.57</v>
      </c>
      <c r="R55">
        <v>187</v>
      </c>
      <c r="S55">
        <v>184.16</v>
      </c>
      <c r="T55">
        <v>172.72</v>
      </c>
      <c r="U55">
        <v>31.21</v>
      </c>
      <c r="V55" s="6"/>
      <c r="W55" s="3">
        <v>46050</v>
      </c>
      <c r="X55">
        <v>160.07</v>
      </c>
      <c r="Y55">
        <v>83.51</v>
      </c>
      <c r="Z55">
        <v>18.440000000000001</v>
      </c>
      <c r="AA55">
        <v>63.63</v>
      </c>
      <c r="AB55">
        <v>157.35</v>
      </c>
      <c r="AC55">
        <v>356.99</v>
      </c>
      <c r="AD55">
        <v>227.72</v>
      </c>
      <c r="AE55">
        <v>183.76</v>
      </c>
      <c r="AF55">
        <v>102.81</v>
      </c>
      <c r="AG55">
        <v>44.83</v>
      </c>
      <c r="AH55">
        <v>76.540000000000006</v>
      </c>
      <c r="AI55">
        <v>112.88</v>
      </c>
      <c r="AJ55">
        <v>32.75</v>
      </c>
      <c r="AK55">
        <v>312.07</v>
      </c>
      <c r="AL55">
        <v>88.03</v>
      </c>
      <c r="AM55">
        <v>136.56</v>
      </c>
      <c r="AN55">
        <v>80.28</v>
      </c>
      <c r="AO55">
        <v>45.3</v>
      </c>
      <c r="AP55">
        <v>473.49</v>
      </c>
      <c r="AQ55">
        <v>101.39</v>
      </c>
      <c r="AR55" cm="1">
        <f t="array" ref="AR55">SUMPRODUCT($B$162:$U$162,(B55:U55)/($B$11:$U$11))</f>
        <v>2762.068723533529</v>
      </c>
      <c r="AS55">
        <f t="shared" si="0"/>
        <v>-15.636138955711886</v>
      </c>
      <c r="AT55">
        <f t="shared" si="1"/>
        <v>0.9943708422133446</v>
      </c>
      <c r="AU55" cm="1">
        <f t="array" ref="AU55">SUMPRODUCT($X$162:$AQ$162,(X55:AQ55)/($X$11:$AQ$11))</f>
        <v>2754.0467098040026</v>
      </c>
      <c r="AV55">
        <f t="shared" si="2"/>
        <v>6.1884501454742349</v>
      </c>
      <c r="AW55">
        <f t="shared" si="3"/>
        <v>-6.1884501454742349</v>
      </c>
      <c r="AX55">
        <f t="shared" si="4"/>
        <v>-21.82458910118612</v>
      </c>
      <c r="AY55" s="17">
        <f>AX55/VLOOKUP(W55,EURUSD!$A$2:$B$61,2,FALSE)</f>
        <v>-18.260198377833099</v>
      </c>
      <c r="BB55" s="3"/>
    </row>
    <row r="56" spans="1:54" x14ac:dyDescent="0.2">
      <c r="A56" s="3">
        <v>46051</v>
      </c>
      <c r="B56">
        <v>569.24</v>
      </c>
      <c r="C56">
        <v>208.92</v>
      </c>
      <c r="D56">
        <v>172.54</v>
      </c>
      <c r="E56">
        <v>138.87</v>
      </c>
      <c r="F56">
        <v>282.10000000000002</v>
      </c>
      <c r="G56">
        <v>95.72</v>
      </c>
      <c r="H56">
        <v>353.21</v>
      </c>
      <c r="I56">
        <v>115.23</v>
      </c>
      <c r="J56">
        <v>42.12</v>
      </c>
      <c r="K56">
        <v>427.83</v>
      </c>
      <c r="L56">
        <v>115.21</v>
      </c>
      <c r="M56">
        <v>74</v>
      </c>
      <c r="N56">
        <v>749.44</v>
      </c>
      <c r="O56">
        <v>238.54</v>
      </c>
      <c r="P56">
        <v>99.9</v>
      </c>
      <c r="Q56">
        <v>88.18</v>
      </c>
      <c r="R56">
        <v>184.93</v>
      </c>
      <c r="S56">
        <v>187.77</v>
      </c>
      <c r="T56">
        <v>172.59</v>
      </c>
      <c r="U56">
        <v>30.12</v>
      </c>
      <c r="V56" s="6"/>
      <c r="W56" s="3">
        <v>46051</v>
      </c>
      <c r="X56">
        <v>161.5</v>
      </c>
      <c r="Y56">
        <v>84.11</v>
      </c>
      <c r="Z56">
        <v>18.66</v>
      </c>
      <c r="AA56">
        <v>65.13</v>
      </c>
      <c r="AB56">
        <v>151.86000000000001</v>
      </c>
      <c r="AC56">
        <v>358.5</v>
      </c>
      <c r="AD56">
        <v>227.29</v>
      </c>
      <c r="AE56">
        <v>189.8</v>
      </c>
      <c r="AF56">
        <v>104.68</v>
      </c>
      <c r="AG56">
        <v>45.42</v>
      </c>
      <c r="AH56">
        <v>75.77</v>
      </c>
      <c r="AI56">
        <v>108.91</v>
      </c>
      <c r="AJ56">
        <v>33.340000000000003</v>
      </c>
      <c r="AK56">
        <v>319.77</v>
      </c>
      <c r="AL56">
        <v>90.64</v>
      </c>
      <c r="AM56">
        <v>134.44</v>
      </c>
      <c r="AN56">
        <v>79.36</v>
      </c>
      <c r="AO56">
        <v>46.86</v>
      </c>
      <c r="AP56">
        <v>476.79</v>
      </c>
      <c r="AQ56">
        <v>102.8</v>
      </c>
      <c r="AR56" cm="1">
        <f t="array" ref="AR56">SUMPRODUCT($B$162:$U$162,(B56:U56)/($B$11:$U$11))</f>
        <v>2774.6412623975621</v>
      </c>
      <c r="AS56">
        <f t="shared" si="0"/>
        <v>12.572538864033049</v>
      </c>
      <c r="AT56">
        <f t="shared" si="1"/>
        <v>1.0045518559175997</v>
      </c>
      <c r="AU56" cm="1">
        <f t="array" ref="AU56">SUMPRODUCT($X$162:$AQ$162,(X56:AQ56)/($X$11:$AQ$11))</f>
        <v>2771.0655533672057</v>
      </c>
      <c r="AV56">
        <f t="shared" si="2"/>
        <v>17.018843563203063</v>
      </c>
      <c r="AW56">
        <f t="shared" si="3"/>
        <v>-17.018843563203063</v>
      </c>
      <c r="AX56">
        <f t="shared" si="4"/>
        <v>-4.4463046991700139</v>
      </c>
      <c r="AY56" s="17">
        <f>AX56/VLOOKUP(W56,EURUSD!$A$2:$B$61,2,FALSE)</f>
        <v>-3.7148506133929433</v>
      </c>
      <c r="BB56" s="3"/>
    </row>
    <row r="57" spans="1:54" x14ac:dyDescent="0.2">
      <c r="A57" s="3">
        <v>46052</v>
      </c>
      <c r="B57">
        <v>473.11</v>
      </c>
      <c r="C57">
        <v>208.6</v>
      </c>
      <c r="D57">
        <v>174.5</v>
      </c>
      <c r="E57">
        <v>137.97</v>
      </c>
      <c r="F57">
        <v>283.01</v>
      </c>
      <c r="G57">
        <v>96.04</v>
      </c>
      <c r="H57">
        <v>348.36</v>
      </c>
      <c r="I57">
        <v>114.4</v>
      </c>
      <c r="J57">
        <v>41.63</v>
      </c>
      <c r="K57">
        <v>420.51</v>
      </c>
      <c r="L57">
        <v>115.28</v>
      </c>
      <c r="M57">
        <v>73.040000000000006</v>
      </c>
      <c r="N57">
        <v>741.45</v>
      </c>
      <c r="O57">
        <v>238.13</v>
      </c>
      <c r="P57">
        <v>119.34</v>
      </c>
      <c r="Q57">
        <v>87.9</v>
      </c>
      <c r="R57">
        <v>179.59</v>
      </c>
      <c r="S57">
        <v>184.11</v>
      </c>
      <c r="T57">
        <v>173.2</v>
      </c>
      <c r="U57">
        <v>29.11</v>
      </c>
      <c r="V57" s="6"/>
      <c r="W57" s="3">
        <v>46052</v>
      </c>
      <c r="X57">
        <v>160.54</v>
      </c>
      <c r="Y57">
        <v>83.85</v>
      </c>
      <c r="Z57">
        <v>18.53</v>
      </c>
      <c r="AA57">
        <v>60.23</v>
      </c>
      <c r="AB57">
        <v>146.59</v>
      </c>
      <c r="AC57">
        <v>352.17</v>
      </c>
      <c r="AD57">
        <v>227.25</v>
      </c>
      <c r="AE57">
        <v>191.31</v>
      </c>
      <c r="AF57">
        <v>105.57</v>
      </c>
      <c r="AG57">
        <v>45.39</v>
      </c>
      <c r="AH57">
        <v>77.040000000000006</v>
      </c>
      <c r="AI57">
        <v>107.45</v>
      </c>
      <c r="AJ57">
        <v>33.54</v>
      </c>
      <c r="AK57">
        <v>315.3</v>
      </c>
      <c r="AL57">
        <v>90.49</v>
      </c>
      <c r="AM57">
        <v>134.38</v>
      </c>
      <c r="AN57">
        <v>75.92</v>
      </c>
      <c r="AO57">
        <v>44.07</v>
      </c>
      <c r="AP57">
        <v>480.53</v>
      </c>
      <c r="AQ57">
        <v>104.23</v>
      </c>
      <c r="AR57" cm="1">
        <f t="array" ref="AR57">SUMPRODUCT($B$162:$U$162,(B57:U57)/($B$11:$U$11))</f>
        <v>2768.7535926047221</v>
      </c>
      <c r="AS57">
        <f t="shared" si="0"/>
        <v>-5.8876697928399153</v>
      </c>
      <c r="AT57">
        <f t="shared" si="1"/>
        <v>0.99787804287616177</v>
      </c>
      <c r="AU57" cm="1">
        <f t="array" ref="AU57">SUMPRODUCT($X$162:$AQ$162,(X57:AQ57)/($X$11:$AQ$11))</f>
        <v>2750.5496091775208</v>
      </c>
      <c r="AV57">
        <f t="shared" si="2"/>
        <v>-20.515944189684888</v>
      </c>
      <c r="AW57">
        <f t="shared" si="3"/>
        <v>20.515944189684888</v>
      </c>
      <c r="AX57">
        <f t="shared" si="4"/>
        <v>14.628274396844972</v>
      </c>
      <c r="AY57" s="17">
        <f>AX57/VLOOKUP(W57,EURUSD!$A$2:$B$61,2,FALSE)</f>
        <v>12.346619173569355</v>
      </c>
      <c r="BB57" s="3"/>
    </row>
    <row r="58" spans="1:54" x14ac:dyDescent="0.2">
      <c r="A58" s="3"/>
      <c r="V58" s="6"/>
      <c r="W58" s="3"/>
      <c r="AR58" cm="1">
        <f t="array" ref="AR58">SUMPRODUCT($B$162:$U$162,(B58:U58)/($B$11:$U$11))</f>
        <v>0</v>
      </c>
      <c r="AS58">
        <f t="shared" si="0"/>
        <v>-2768.7535926047221</v>
      </c>
      <c r="AT58">
        <f t="shared" si="1"/>
        <v>0</v>
      </c>
      <c r="AU58" cm="1">
        <f t="array" ref="AU58">SUMPRODUCT($X$162:$AQ$162,(X58:AQ58)/($X$11:$AQ$11))</f>
        <v>0</v>
      </c>
      <c r="AV58">
        <f t="shared" ref="AV58:AV76" si="5">AU58-AU57</f>
        <v>-2750.5496091775208</v>
      </c>
      <c r="AW58">
        <f t="shared" si="3"/>
        <v>2750.5496091775208</v>
      </c>
      <c r="AX58">
        <f t="shared" si="4"/>
        <v>-18.203983427201365</v>
      </c>
      <c r="AY58" s="17" t="e">
        <f>AX58/VLOOKUP(W58,EURUSD!$A$2:$B$61,2,FALSE)</f>
        <v>#N/A</v>
      </c>
      <c r="BB58" s="3"/>
    </row>
    <row r="59" spans="1:54" x14ac:dyDescent="0.2">
      <c r="A59" s="3"/>
      <c r="V59" s="6"/>
      <c r="W59" s="3"/>
      <c r="AR59" cm="1">
        <f t="array" ref="AR59">SUMPRODUCT($B$162:$U$162,(B59:U59)/($B$11:$U$11))</f>
        <v>0</v>
      </c>
      <c r="AS59">
        <f t="shared" si="0"/>
        <v>0</v>
      </c>
      <c r="AT59" t="e">
        <f t="shared" si="1"/>
        <v>#DIV/0!</v>
      </c>
      <c r="AU59" cm="1">
        <f t="array" ref="AU59">SUMPRODUCT($X$162:$AQ$162,(X59:AQ59)/($X$11:$AQ$11))</f>
        <v>0</v>
      </c>
      <c r="AV59">
        <f t="shared" si="5"/>
        <v>0</v>
      </c>
      <c r="AW59">
        <f t="shared" si="3"/>
        <v>0</v>
      </c>
      <c r="AX59">
        <f t="shared" si="4"/>
        <v>0</v>
      </c>
      <c r="BB59" s="3"/>
    </row>
    <row r="60" spans="1:54" x14ac:dyDescent="0.2">
      <c r="A60" s="3"/>
      <c r="V60" s="6"/>
      <c r="W60" s="3"/>
      <c r="AR60" cm="1">
        <f t="array" ref="AR60">SUMPRODUCT($B$162:$U$162,(B60:U60)/($B$11:$U$11))</f>
        <v>0</v>
      </c>
      <c r="AS60">
        <f t="shared" si="0"/>
        <v>0</v>
      </c>
      <c r="AT60" t="e">
        <f t="shared" si="1"/>
        <v>#DIV/0!</v>
      </c>
      <c r="AU60" cm="1">
        <f t="array" ref="AU60">SUMPRODUCT($X$162:$AQ$162,(X60:AQ60)/($X$11:$AQ$11))</f>
        <v>0</v>
      </c>
      <c r="AV60">
        <f t="shared" si="5"/>
        <v>0</v>
      </c>
      <c r="AW60">
        <f t="shared" si="3"/>
        <v>0</v>
      </c>
      <c r="AX60">
        <f t="shared" si="4"/>
        <v>0</v>
      </c>
      <c r="BB60" s="3"/>
    </row>
    <row r="61" spans="1:54" x14ac:dyDescent="0.2">
      <c r="A61" s="3"/>
      <c r="V61" s="6"/>
      <c r="W61" s="3"/>
      <c r="AR61" cm="1">
        <f t="array" ref="AR61">SUMPRODUCT($B$162:$U$162,(B61:U61)/($B$11:$U$11))</f>
        <v>0</v>
      </c>
      <c r="AS61">
        <f t="shared" si="0"/>
        <v>0</v>
      </c>
      <c r="AT61" t="e">
        <f t="shared" si="1"/>
        <v>#DIV/0!</v>
      </c>
      <c r="AU61" cm="1">
        <f t="array" ref="AU61">SUMPRODUCT($X$162:$AQ$162,(X61:AQ61)/($X$11:$AQ$11))</f>
        <v>0</v>
      </c>
      <c r="AV61">
        <f t="shared" si="5"/>
        <v>0</v>
      </c>
      <c r="AW61">
        <f t="shared" si="3"/>
        <v>0</v>
      </c>
      <c r="AX61">
        <f t="shared" si="4"/>
        <v>0</v>
      </c>
      <c r="BB61" s="3"/>
    </row>
    <row r="62" spans="1:54" x14ac:dyDescent="0.2">
      <c r="A62" s="3"/>
      <c r="V62" s="6"/>
      <c r="W62" s="3"/>
      <c r="AR62" cm="1">
        <f t="array" ref="AR62">SUMPRODUCT($B$162:$U$162,(B62:U62)/($B$11:$U$11))</f>
        <v>0</v>
      </c>
      <c r="AS62">
        <f t="shared" si="0"/>
        <v>0</v>
      </c>
      <c r="AT62" t="e">
        <f t="shared" si="1"/>
        <v>#DIV/0!</v>
      </c>
      <c r="AU62" cm="1">
        <f t="array" ref="AU62">SUMPRODUCT($X$162:$AQ$162,(X62:AQ62)/($X$11:$AQ$11))</f>
        <v>0</v>
      </c>
      <c r="AV62">
        <f t="shared" si="5"/>
        <v>0</v>
      </c>
      <c r="AW62">
        <f t="shared" si="3"/>
        <v>0</v>
      </c>
      <c r="AX62">
        <f t="shared" si="4"/>
        <v>0</v>
      </c>
      <c r="BB62" s="3"/>
    </row>
    <row r="63" spans="1:54" x14ac:dyDescent="0.2">
      <c r="A63" s="3"/>
      <c r="V63" s="6"/>
      <c r="W63" s="3"/>
      <c r="AR63" cm="1">
        <f t="array" ref="AR63">SUMPRODUCT($B$162:$U$162,(B63:U63)/($B$11:$U$11))</f>
        <v>0</v>
      </c>
      <c r="AS63">
        <f t="shared" si="0"/>
        <v>0</v>
      </c>
      <c r="AT63" t="e">
        <f t="shared" si="1"/>
        <v>#DIV/0!</v>
      </c>
      <c r="AU63" cm="1">
        <f t="array" ref="AU63">SUMPRODUCT($X$162:$AQ$162,(X63:AQ63)/($X$11:$AQ$11))</f>
        <v>0</v>
      </c>
      <c r="AV63">
        <f t="shared" si="5"/>
        <v>0</v>
      </c>
      <c r="AW63">
        <f t="shared" si="3"/>
        <v>0</v>
      </c>
      <c r="AX63">
        <f t="shared" si="4"/>
        <v>0</v>
      </c>
      <c r="BB63" s="3"/>
    </row>
    <row r="64" spans="1:54" x14ac:dyDescent="0.2">
      <c r="A64" s="3"/>
      <c r="V64" s="6"/>
      <c r="W64" s="3"/>
      <c r="AR64" cm="1">
        <f t="array" ref="AR64">SUMPRODUCT($B$162:$U$162,(B64:U64)/($B$11:$U$11))</f>
        <v>0</v>
      </c>
      <c r="AS64">
        <f t="shared" si="0"/>
        <v>0</v>
      </c>
      <c r="AT64" t="e">
        <f t="shared" si="1"/>
        <v>#DIV/0!</v>
      </c>
      <c r="AU64" cm="1">
        <f t="array" ref="AU64">SUMPRODUCT($X$162:$AQ$162,(X64:AQ64)/($X$11:$AQ$11))</f>
        <v>0</v>
      </c>
      <c r="AV64">
        <f t="shared" si="5"/>
        <v>0</v>
      </c>
      <c r="AW64">
        <f t="shared" si="3"/>
        <v>0</v>
      </c>
      <c r="AX64">
        <f t="shared" si="4"/>
        <v>0</v>
      </c>
      <c r="BB64" s="3"/>
    </row>
    <row r="65" spans="1:54" x14ac:dyDescent="0.2">
      <c r="A65" s="3"/>
      <c r="V65" s="6"/>
      <c r="W65" s="3"/>
      <c r="AR65" cm="1">
        <f t="array" ref="AR65">SUMPRODUCT($B$162:$U$162,(B65:U65)/($B$11:$U$11))</f>
        <v>0</v>
      </c>
      <c r="AS65">
        <f t="shared" si="0"/>
        <v>0</v>
      </c>
      <c r="AT65" t="e">
        <f t="shared" si="1"/>
        <v>#DIV/0!</v>
      </c>
      <c r="AU65" cm="1">
        <f t="array" ref="AU65">SUMPRODUCT($X$162:$AQ$162,(X65:AQ65)/($X$11:$AQ$11))</f>
        <v>0</v>
      </c>
      <c r="AV65">
        <f t="shared" si="5"/>
        <v>0</v>
      </c>
      <c r="AW65">
        <f t="shared" si="3"/>
        <v>0</v>
      </c>
      <c r="AX65">
        <f t="shared" si="4"/>
        <v>0</v>
      </c>
      <c r="BB65" s="3"/>
    </row>
    <row r="66" spans="1:54" x14ac:dyDescent="0.2">
      <c r="A66" s="3"/>
      <c r="V66" s="6"/>
      <c r="W66" s="3"/>
      <c r="AR66" cm="1">
        <f t="array" ref="AR66">SUMPRODUCT($B$162:$U$162,(B66:U66)/($B$11:$U$11))</f>
        <v>0</v>
      </c>
      <c r="AS66">
        <f t="shared" si="0"/>
        <v>0</v>
      </c>
      <c r="AT66" t="e">
        <f t="shared" si="1"/>
        <v>#DIV/0!</v>
      </c>
      <c r="AU66" cm="1">
        <f t="array" ref="AU66">SUMPRODUCT($X$162:$AQ$162,(X66:AQ66)/($X$11:$AQ$11))</f>
        <v>0</v>
      </c>
      <c r="AV66">
        <f t="shared" si="5"/>
        <v>0</v>
      </c>
      <c r="AW66">
        <f t="shared" si="3"/>
        <v>0</v>
      </c>
      <c r="AX66">
        <f t="shared" si="4"/>
        <v>0</v>
      </c>
      <c r="BB66" s="3"/>
    </row>
    <row r="67" spans="1:54" x14ac:dyDescent="0.2">
      <c r="A67" s="3"/>
      <c r="V67" s="6"/>
      <c r="W67" s="3"/>
      <c r="AR67" cm="1">
        <f t="array" ref="AR67">SUMPRODUCT($B$162:$U$162,(B67:U67)/($B$11:$U$11))</f>
        <v>0</v>
      </c>
      <c r="AS67">
        <f t="shared" si="0"/>
        <v>0</v>
      </c>
      <c r="AT67" t="e">
        <f t="shared" si="1"/>
        <v>#DIV/0!</v>
      </c>
      <c r="AU67" cm="1">
        <f t="array" ref="AU67">SUMPRODUCT($X$162:$AQ$162,(X67:AQ67)/($X$11:$AQ$11))</f>
        <v>0</v>
      </c>
      <c r="AV67">
        <f t="shared" si="5"/>
        <v>0</v>
      </c>
      <c r="AW67">
        <f t="shared" si="3"/>
        <v>0</v>
      </c>
      <c r="AX67">
        <f t="shared" si="4"/>
        <v>0</v>
      </c>
      <c r="BB67" s="3"/>
    </row>
    <row r="68" spans="1:54" x14ac:dyDescent="0.2">
      <c r="A68" s="3"/>
      <c r="V68" s="6"/>
      <c r="W68" s="3"/>
      <c r="AR68" cm="1">
        <f t="array" ref="AR68">SUMPRODUCT($B$162:$U$162,(B68:U68)/($B$11:$U$11))</f>
        <v>0</v>
      </c>
      <c r="AS68">
        <f t="shared" si="0"/>
        <v>0</v>
      </c>
      <c r="AT68" t="e">
        <f t="shared" si="1"/>
        <v>#DIV/0!</v>
      </c>
      <c r="AU68" cm="1">
        <f t="array" ref="AU68">SUMPRODUCT($X$162:$AQ$162,(X68:AQ68)/($X$11:$AQ$11))</f>
        <v>0</v>
      </c>
      <c r="AV68">
        <f t="shared" si="5"/>
        <v>0</v>
      </c>
      <c r="AW68">
        <f t="shared" si="3"/>
        <v>0</v>
      </c>
      <c r="AX68">
        <f t="shared" si="4"/>
        <v>0</v>
      </c>
      <c r="BB68" s="3"/>
    </row>
    <row r="69" spans="1:54" x14ac:dyDescent="0.2">
      <c r="A69" s="3"/>
      <c r="V69" s="6"/>
      <c r="W69" s="3"/>
      <c r="AR69" cm="1">
        <f t="array" ref="AR69">SUMPRODUCT($B$162:$U$162,(B69:U69)/($B$11:$U$11))</f>
        <v>0</v>
      </c>
      <c r="AS69">
        <f t="shared" si="0"/>
        <v>0</v>
      </c>
      <c r="AT69" t="e">
        <f t="shared" si="1"/>
        <v>#DIV/0!</v>
      </c>
      <c r="AU69" cm="1">
        <f t="array" ref="AU69">SUMPRODUCT($X$162:$AQ$162,(X69:AQ69)/($X$11:$AQ$11))</f>
        <v>0</v>
      </c>
      <c r="AV69">
        <f t="shared" si="5"/>
        <v>0</v>
      </c>
      <c r="AW69">
        <f t="shared" si="3"/>
        <v>0</v>
      </c>
      <c r="AX69">
        <f t="shared" si="4"/>
        <v>0</v>
      </c>
      <c r="BB69" s="3"/>
    </row>
    <row r="70" spans="1:54" x14ac:dyDescent="0.2">
      <c r="A70" s="3"/>
      <c r="V70" s="6"/>
      <c r="W70" s="3"/>
      <c r="AR70" cm="1">
        <f t="array" ref="AR70">SUMPRODUCT($B$162:$U$162,(B70:U70)/($B$11:$U$11))</f>
        <v>0</v>
      </c>
      <c r="AS70">
        <f t="shared" si="0"/>
        <v>0</v>
      </c>
      <c r="AT70" t="e">
        <f t="shared" si="1"/>
        <v>#DIV/0!</v>
      </c>
      <c r="AU70" cm="1">
        <f t="array" ref="AU70">SUMPRODUCT($X$162:$AQ$162,(X70:AQ70)/($X$11:$AQ$11))</f>
        <v>0</v>
      </c>
      <c r="AV70">
        <f t="shared" si="5"/>
        <v>0</v>
      </c>
      <c r="AW70">
        <f t="shared" si="3"/>
        <v>0</v>
      </c>
      <c r="AX70">
        <f t="shared" si="4"/>
        <v>0</v>
      </c>
      <c r="BB70" s="3"/>
    </row>
    <row r="71" spans="1:54" x14ac:dyDescent="0.2">
      <c r="A71" s="3"/>
      <c r="V71" s="6"/>
      <c r="W71" s="3"/>
      <c r="AR71" cm="1">
        <f t="array" ref="AR71">SUMPRODUCT($B$162:$U$162,(B71:U71)/($B$11:$U$11))</f>
        <v>0</v>
      </c>
      <c r="AS71">
        <f t="shared" si="0"/>
        <v>0</v>
      </c>
      <c r="AT71" t="e">
        <f t="shared" si="1"/>
        <v>#DIV/0!</v>
      </c>
      <c r="AU71" cm="1">
        <f t="array" ref="AU71">SUMPRODUCT($X$162:$AQ$162,(X71:AQ71)/($X$11:$AQ$11))</f>
        <v>0</v>
      </c>
      <c r="AV71">
        <f t="shared" si="5"/>
        <v>0</v>
      </c>
      <c r="AW71">
        <f t="shared" si="3"/>
        <v>0</v>
      </c>
      <c r="AX71">
        <f t="shared" si="4"/>
        <v>0</v>
      </c>
    </row>
    <row r="72" spans="1:54" x14ac:dyDescent="0.2">
      <c r="A72" s="3"/>
      <c r="V72" s="6"/>
      <c r="W72" s="3"/>
      <c r="AR72" cm="1">
        <f t="array" ref="AR72">SUMPRODUCT($B$162:$U$162,(B72:U72)/($B$11:$U$11))</f>
        <v>0</v>
      </c>
      <c r="AS72">
        <f t="shared" si="0"/>
        <v>0</v>
      </c>
      <c r="AT72" t="e">
        <f t="shared" si="1"/>
        <v>#DIV/0!</v>
      </c>
      <c r="AU72" cm="1">
        <f t="array" ref="AU72">SUMPRODUCT($X$162:$AQ$162,(X72:AQ72)/($X$11:$AQ$11))</f>
        <v>0</v>
      </c>
      <c r="AV72">
        <f t="shared" si="5"/>
        <v>0</v>
      </c>
      <c r="AW72">
        <f t="shared" si="3"/>
        <v>0</v>
      </c>
      <c r="AX72">
        <f t="shared" si="4"/>
        <v>0</v>
      </c>
    </row>
    <row r="73" spans="1:54" x14ac:dyDescent="0.2">
      <c r="A73" s="3"/>
      <c r="V73" s="6"/>
      <c r="W73" s="3"/>
      <c r="AR73" cm="1">
        <f t="array" ref="AR73">SUMPRODUCT($B$162:$U$162,(B73:U73)/($B$11:$U$11))</f>
        <v>0</v>
      </c>
      <c r="AS73">
        <f t="shared" si="0"/>
        <v>0</v>
      </c>
      <c r="AT73" t="e">
        <f t="shared" si="1"/>
        <v>#DIV/0!</v>
      </c>
      <c r="AU73" cm="1">
        <f t="array" ref="AU73">SUMPRODUCT($X$162:$AQ$162,(X73:AQ73)/($X$11:$AQ$11))</f>
        <v>0</v>
      </c>
      <c r="AV73">
        <f t="shared" si="5"/>
        <v>0</v>
      </c>
      <c r="AW73">
        <f t="shared" si="3"/>
        <v>0</v>
      </c>
      <c r="AX73">
        <f t="shared" si="4"/>
        <v>0</v>
      </c>
    </row>
    <row r="74" spans="1:54" x14ac:dyDescent="0.2">
      <c r="A74" s="3"/>
      <c r="V74" s="6"/>
      <c r="W74" s="3"/>
      <c r="AR74" cm="1">
        <f t="array" ref="AR74">SUMPRODUCT($B$162:$U$162,(B74:U74)/($B$11:$U$11))</f>
        <v>0</v>
      </c>
      <c r="AS74">
        <f t="shared" si="0"/>
        <v>0</v>
      </c>
      <c r="AT74" t="e">
        <f t="shared" si="1"/>
        <v>#DIV/0!</v>
      </c>
      <c r="AU74" cm="1">
        <f t="array" ref="AU74">SUMPRODUCT($X$162:$AQ$162,(X74:AQ74)/($X$11:$AQ$11))</f>
        <v>0</v>
      </c>
      <c r="AV74">
        <f t="shared" si="5"/>
        <v>0</v>
      </c>
      <c r="AW74">
        <f t="shared" si="3"/>
        <v>0</v>
      </c>
      <c r="AX74">
        <f t="shared" si="4"/>
        <v>0</v>
      </c>
    </row>
    <row r="75" spans="1:54" x14ac:dyDescent="0.2">
      <c r="A75" s="3"/>
      <c r="V75" s="6"/>
      <c r="W75" s="3"/>
      <c r="AR75" cm="1">
        <f t="array" ref="AR75">SUMPRODUCT($B$162:$U$162,(B75:U75)/($B$11:$U$11))</f>
        <v>0</v>
      </c>
      <c r="AS75">
        <f t="shared" si="0"/>
        <v>0</v>
      </c>
      <c r="AT75" t="e">
        <f t="shared" si="1"/>
        <v>#DIV/0!</v>
      </c>
      <c r="AU75" cm="1">
        <f t="array" ref="AU75">SUMPRODUCT($X$162:$AQ$162,(X75:AQ75)/($X$11:$AQ$11))</f>
        <v>0</v>
      </c>
      <c r="AV75">
        <f t="shared" si="5"/>
        <v>0</v>
      </c>
      <c r="AW75">
        <f t="shared" si="3"/>
        <v>0</v>
      </c>
      <c r="AX75">
        <f t="shared" si="4"/>
        <v>0</v>
      </c>
    </row>
    <row r="76" spans="1:54" x14ac:dyDescent="0.2">
      <c r="A76" s="3"/>
      <c r="V76" s="6"/>
      <c r="W76" s="3"/>
      <c r="AR76" cm="1">
        <f t="array" ref="AR76">SUMPRODUCT($B$162:$U$162,(B76:U76)/($B$11:$U$11))</f>
        <v>0</v>
      </c>
      <c r="AS76">
        <f t="shared" si="0"/>
        <v>0</v>
      </c>
      <c r="AT76" t="e">
        <f t="shared" si="1"/>
        <v>#DIV/0!</v>
      </c>
      <c r="AU76" cm="1">
        <f t="array" ref="AU76">SUMPRODUCT($X$162:$AQ$162,(X76:AQ76)/($X$11:$AQ$11))</f>
        <v>0</v>
      </c>
      <c r="AV76">
        <f t="shared" si="5"/>
        <v>0</v>
      </c>
      <c r="AW76">
        <f t="shared" si="3"/>
        <v>0</v>
      </c>
      <c r="AX76">
        <f t="shared" si="4"/>
        <v>0</v>
      </c>
    </row>
    <row r="77" spans="1:54" x14ac:dyDescent="0.2">
      <c r="A77" s="3"/>
      <c r="V77" s="6"/>
      <c r="W77" s="3"/>
      <c r="AR77" cm="1">
        <f t="array" ref="AR77">SUMPRODUCT($B$162:$U$162,(B77:U77)/($B$11:$U$11))</f>
        <v>0</v>
      </c>
      <c r="AS77">
        <f t="shared" ref="AS77:AS140" si="6">AR77-AR76</f>
        <v>0</v>
      </c>
      <c r="AT77" t="e">
        <f t="shared" ref="AT77:AT140" si="7">AR77/AR76</f>
        <v>#DIV/0!</v>
      </c>
      <c r="AU77" cm="1">
        <f t="array" ref="AU77">SUMPRODUCT($X$162:$AQ$162,(X77:AQ77)/($X$11:$AQ$11))</f>
        <v>0</v>
      </c>
      <c r="AV77">
        <f t="shared" ref="AV77:AV140" si="8">AU77-AU76</f>
        <v>0</v>
      </c>
      <c r="AW77">
        <f t="shared" ref="AW77:AW140" si="9">IF(AV77&gt;0, -AV77, ABS(AV77))</f>
        <v>0</v>
      </c>
      <c r="AX77">
        <f t="shared" ref="AX77:AX140" si="10">AS77+AW77</f>
        <v>0</v>
      </c>
    </row>
    <row r="78" spans="1:54" x14ac:dyDescent="0.2">
      <c r="A78" s="3"/>
      <c r="V78" s="6"/>
      <c r="W78" s="3"/>
      <c r="AR78" cm="1">
        <f t="array" ref="AR78">SUMPRODUCT($B$162:$U$162,(B78:U78)/($B$11:$U$11))</f>
        <v>0</v>
      </c>
      <c r="AS78">
        <f t="shared" si="6"/>
        <v>0</v>
      </c>
      <c r="AT78" t="e">
        <f t="shared" si="7"/>
        <v>#DIV/0!</v>
      </c>
      <c r="AU78" cm="1">
        <f t="array" ref="AU78">SUMPRODUCT($X$162:$AQ$162,(X78:AQ78)/($X$11:$AQ$11))</f>
        <v>0</v>
      </c>
      <c r="AV78">
        <f t="shared" si="8"/>
        <v>0</v>
      </c>
      <c r="AW78">
        <f t="shared" si="9"/>
        <v>0</v>
      </c>
      <c r="AX78">
        <f t="shared" si="10"/>
        <v>0</v>
      </c>
    </row>
    <row r="79" spans="1:54" x14ac:dyDescent="0.2">
      <c r="A79" s="3"/>
      <c r="V79" s="6"/>
      <c r="W79" s="3"/>
      <c r="AR79" cm="1">
        <f t="array" ref="AR79">SUMPRODUCT($B$162:$U$162,(B79:U79)/($B$11:$U$11))</f>
        <v>0</v>
      </c>
      <c r="AS79">
        <f t="shared" si="6"/>
        <v>0</v>
      </c>
      <c r="AT79" t="e">
        <f t="shared" si="7"/>
        <v>#DIV/0!</v>
      </c>
      <c r="AU79" cm="1">
        <f t="array" ref="AU79">SUMPRODUCT($X$162:$AQ$162,(X79:AQ79)/($X$11:$AQ$11))</f>
        <v>0</v>
      </c>
      <c r="AV79">
        <f t="shared" si="8"/>
        <v>0</v>
      </c>
      <c r="AW79">
        <f t="shared" si="9"/>
        <v>0</v>
      </c>
      <c r="AX79">
        <f t="shared" si="10"/>
        <v>0</v>
      </c>
    </row>
    <row r="80" spans="1:54" x14ac:dyDescent="0.2">
      <c r="A80" s="3"/>
      <c r="V80" s="6"/>
      <c r="W80" s="3"/>
      <c r="AR80" cm="1">
        <f t="array" ref="AR80">SUMPRODUCT($B$162:$U$162,(B80:U80)/($B$11:$U$11))</f>
        <v>0</v>
      </c>
      <c r="AS80">
        <f t="shared" si="6"/>
        <v>0</v>
      </c>
      <c r="AT80" t="e">
        <f t="shared" si="7"/>
        <v>#DIV/0!</v>
      </c>
      <c r="AU80" cm="1">
        <f t="array" ref="AU80">SUMPRODUCT($X$162:$AQ$162,(X80:AQ80)/($X$11:$AQ$11))</f>
        <v>0</v>
      </c>
      <c r="AV80">
        <f t="shared" si="8"/>
        <v>0</v>
      </c>
      <c r="AW80">
        <f t="shared" si="9"/>
        <v>0</v>
      </c>
      <c r="AX80">
        <f t="shared" si="10"/>
        <v>0</v>
      </c>
    </row>
    <row r="81" spans="1:50" x14ac:dyDescent="0.2">
      <c r="A81" s="3"/>
      <c r="V81" s="6"/>
      <c r="W81" s="3"/>
      <c r="AR81" cm="1">
        <f t="array" ref="AR81">SUMPRODUCT($B$162:$U$162,(B81:U81)/($B$11:$U$11))</f>
        <v>0</v>
      </c>
      <c r="AS81">
        <f t="shared" si="6"/>
        <v>0</v>
      </c>
      <c r="AT81" t="e">
        <f t="shared" si="7"/>
        <v>#DIV/0!</v>
      </c>
      <c r="AU81" cm="1">
        <f t="array" ref="AU81">SUMPRODUCT($X$162:$AQ$162,(X81:AQ81)/($X$11:$AQ$11))</f>
        <v>0</v>
      </c>
      <c r="AV81">
        <f t="shared" si="8"/>
        <v>0</v>
      </c>
      <c r="AW81">
        <f t="shared" si="9"/>
        <v>0</v>
      </c>
      <c r="AX81">
        <f t="shared" si="10"/>
        <v>0</v>
      </c>
    </row>
    <row r="82" spans="1:50" x14ac:dyDescent="0.2">
      <c r="A82" s="3"/>
      <c r="V82" s="6"/>
      <c r="W82" s="3"/>
      <c r="AR82" cm="1">
        <f t="array" ref="AR82">SUMPRODUCT($B$162:$U$162,(B82:U82)/($B$11:$U$11))</f>
        <v>0</v>
      </c>
      <c r="AS82">
        <f t="shared" si="6"/>
        <v>0</v>
      </c>
      <c r="AT82" t="e">
        <f t="shared" si="7"/>
        <v>#DIV/0!</v>
      </c>
      <c r="AU82" cm="1">
        <f t="array" ref="AU82">SUMPRODUCT($X$162:$AQ$162,(X82:AQ82)/($X$11:$AQ$11))</f>
        <v>0</v>
      </c>
      <c r="AV82">
        <f t="shared" si="8"/>
        <v>0</v>
      </c>
      <c r="AW82">
        <f t="shared" si="9"/>
        <v>0</v>
      </c>
      <c r="AX82">
        <f t="shared" si="10"/>
        <v>0</v>
      </c>
    </row>
    <row r="83" spans="1:50" x14ac:dyDescent="0.2">
      <c r="A83" s="3"/>
      <c r="V83" s="6"/>
      <c r="W83" s="3"/>
      <c r="AR83" cm="1">
        <f t="array" ref="AR83">SUMPRODUCT($B$162:$U$162,(B83:U83)/($B$11:$U$11))</f>
        <v>0</v>
      </c>
      <c r="AS83">
        <f t="shared" si="6"/>
        <v>0</v>
      </c>
      <c r="AT83" t="e">
        <f t="shared" si="7"/>
        <v>#DIV/0!</v>
      </c>
      <c r="AU83" cm="1">
        <f t="array" ref="AU83">SUMPRODUCT($X$162:$AQ$162,(X83:AQ83)/($X$11:$AQ$11))</f>
        <v>0</v>
      </c>
      <c r="AV83">
        <f t="shared" si="8"/>
        <v>0</v>
      </c>
      <c r="AW83">
        <f t="shared" si="9"/>
        <v>0</v>
      </c>
      <c r="AX83">
        <f t="shared" si="10"/>
        <v>0</v>
      </c>
    </row>
    <row r="84" spans="1:50" x14ac:dyDescent="0.2">
      <c r="A84" s="3"/>
      <c r="V84" s="6"/>
      <c r="W84" s="3"/>
      <c r="AR84" cm="1">
        <f t="array" ref="AR84">SUMPRODUCT($B$162:$U$162,(B84:U84)/($B$11:$U$11))</f>
        <v>0</v>
      </c>
      <c r="AS84">
        <f t="shared" si="6"/>
        <v>0</v>
      </c>
      <c r="AT84" t="e">
        <f t="shared" si="7"/>
        <v>#DIV/0!</v>
      </c>
      <c r="AU84" cm="1">
        <f t="array" ref="AU84">SUMPRODUCT($X$162:$AQ$162,(X84:AQ84)/($X$11:$AQ$11))</f>
        <v>0</v>
      </c>
      <c r="AV84">
        <f t="shared" si="8"/>
        <v>0</v>
      </c>
      <c r="AW84">
        <f t="shared" si="9"/>
        <v>0</v>
      </c>
      <c r="AX84">
        <f t="shared" si="10"/>
        <v>0</v>
      </c>
    </row>
    <row r="85" spans="1:50" x14ac:dyDescent="0.2">
      <c r="A85" s="3"/>
      <c r="V85" s="6"/>
      <c r="W85" s="3"/>
      <c r="AR85" cm="1">
        <f t="array" ref="AR85">SUMPRODUCT($B$162:$U$162,(B85:U85)/($B$11:$U$11))</f>
        <v>0</v>
      </c>
      <c r="AS85">
        <f t="shared" si="6"/>
        <v>0</v>
      </c>
      <c r="AT85" t="e">
        <f t="shared" si="7"/>
        <v>#DIV/0!</v>
      </c>
      <c r="AU85" cm="1">
        <f t="array" ref="AU85">SUMPRODUCT($X$162:$AQ$162,(X85:AQ85)/($X$11:$AQ$11))</f>
        <v>0</v>
      </c>
      <c r="AV85">
        <f t="shared" si="8"/>
        <v>0</v>
      </c>
      <c r="AW85">
        <f t="shared" si="9"/>
        <v>0</v>
      </c>
      <c r="AX85">
        <f t="shared" si="10"/>
        <v>0</v>
      </c>
    </row>
    <row r="86" spans="1:50" x14ac:dyDescent="0.2">
      <c r="A86" s="3"/>
      <c r="V86" s="6"/>
      <c r="W86" s="3"/>
      <c r="AR86" cm="1">
        <f t="array" ref="AR86">SUMPRODUCT($B$162:$U$162,(B86:U86)/($B$11:$U$11))</f>
        <v>0</v>
      </c>
      <c r="AS86">
        <f t="shared" si="6"/>
        <v>0</v>
      </c>
      <c r="AT86" t="e">
        <f t="shared" si="7"/>
        <v>#DIV/0!</v>
      </c>
      <c r="AU86" cm="1">
        <f t="array" ref="AU86">SUMPRODUCT($X$162:$AQ$162,(X86:AQ86)/($X$11:$AQ$11))</f>
        <v>0</v>
      </c>
      <c r="AV86">
        <f t="shared" si="8"/>
        <v>0</v>
      </c>
      <c r="AW86">
        <f t="shared" si="9"/>
        <v>0</v>
      </c>
      <c r="AX86">
        <f t="shared" si="10"/>
        <v>0</v>
      </c>
    </row>
    <row r="87" spans="1:50" x14ac:dyDescent="0.2">
      <c r="A87" s="3"/>
      <c r="V87" s="6"/>
      <c r="W87" s="3"/>
      <c r="AR87" cm="1">
        <f t="array" ref="AR87">SUMPRODUCT($B$162:$U$162,(B87:U87)/($B$11:$U$11))</f>
        <v>0</v>
      </c>
      <c r="AS87">
        <f t="shared" si="6"/>
        <v>0</v>
      </c>
      <c r="AT87" t="e">
        <f t="shared" si="7"/>
        <v>#DIV/0!</v>
      </c>
      <c r="AU87" cm="1">
        <f t="array" ref="AU87">SUMPRODUCT($X$162:$AQ$162,(X87:AQ87)/($X$11:$AQ$11))</f>
        <v>0</v>
      </c>
      <c r="AV87">
        <f t="shared" si="8"/>
        <v>0</v>
      </c>
      <c r="AW87">
        <f t="shared" si="9"/>
        <v>0</v>
      </c>
      <c r="AX87">
        <f t="shared" si="10"/>
        <v>0</v>
      </c>
    </row>
    <row r="88" spans="1:50" x14ac:dyDescent="0.2">
      <c r="A88" s="3"/>
      <c r="V88" s="6"/>
      <c r="W88" s="3"/>
      <c r="AR88" cm="1">
        <f t="array" ref="AR88">SUMPRODUCT($B$162:$U$162,(B88:U88)/($B$11:$U$11))</f>
        <v>0</v>
      </c>
      <c r="AS88">
        <f t="shared" si="6"/>
        <v>0</v>
      </c>
      <c r="AT88" t="e">
        <f t="shared" si="7"/>
        <v>#DIV/0!</v>
      </c>
      <c r="AU88" cm="1">
        <f t="array" ref="AU88">SUMPRODUCT($X$162:$AQ$162,(X88:AQ88)/($X$11:$AQ$11))</f>
        <v>0</v>
      </c>
      <c r="AV88">
        <f t="shared" si="8"/>
        <v>0</v>
      </c>
      <c r="AW88">
        <f t="shared" si="9"/>
        <v>0</v>
      </c>
      <c r="AX88">
        <f t="shared" si="10"/>
        <v>0</v>
      </c>
    </row>
    <row r="89" spans="1:50" x14ac:dyDescent="0.2">
      <c r="A89" s="3"/>
      <c r="V89" s="6"/>
      <c r="W89" s="3"/>
      <c r="AR89" cm="1">
        <f t="array" ref="AR89">SUMPRODUCT($B$162:$U$162,(B89:U89)/($B$11:$U$11))</f>
        <v>0</v>
      </c>
      <c r="AS89">
        <f t="shared" si="6"/>
        <v>0</v>
      </c>
      <c r="AT89" t="e">
        <f t="shared" si="7"/>
        <v>#DIV/0!</v>
      </c>
      <c r="AU89" cm="1">
        <f t="array" ref="AU89">SUMPRODUCT($X$162:$AQ$162,(X89:AQ89)/($X$11:$AQ$11))</f>
        <v>0</v>
      </c>
      <c r="AV89">
        <f t="shared" si="8"/>
        <v>0</v>
      </c>
      <c r="AW89">
        <f t="shared" si="9"/>
        <v>0</v>
      </c>
      <c r="AX89">
        <f t="shared" si="10"/>
        <v>0</v>
      </c>
    </row>
    <row r="90" spans="1:50" x14ac:dyDescent="0.2">
      <c r="A90" s="3"/>
      <c r="V90" s="6"/>
      <c r="W90" s="3"/>
      <c r="AR90" cm="1">
        <f t="array" ref="AR90">SUMPRODUCT($B$162:$U$162,(B90:U90)/($B$11:$U$11))</f>
        <v>0</v>
      </c>
      <c r="AS90">
        <f t="shared" si="6"/>
        <v>0</v>
      </c>
      <c r="AT90" t="e">
        <f t="shared" si="7"/>
        <v>#DIV/0!</v>
      </c>
      <c r="AU90" cm="1">
        <f t="array" ref="AU90">SUMPRODUCT($X$162:$AQ$162,(X90:AQ90)/($X$11:$AQ$11))</f>
        <v>0</v>
      </c>
      <c r="AV90">
        <f t="shared" si="8"/>
        <v>0</v>
      </c>
      <c r="AW90">
        <f t="shared" si="9"/>
        <v>0</v>
      </c>
      <c r="AX90">
        <f t="shared" si="10"/>
        <v>0</v>
      </c>
    </row>
    <row r="91" spans="1:50" x14ac:dyDescent="0.2">
      <c r="A91" s="3"/>
      <c r="V91" s="6"/>
      <c r="W91" s="3"/>
      <c r="AR91" cm="1">
        <f t="array" ref="AR91">SUMPRODUCT($B$162:$U$162,(B91:U91)/($B$11:$U$11))</f>
        <v>0</v>
      </c>
      <c r="AS91">
        <f t="shared" si="6"/>
        <v>0</v>
      </c>
      <c r="AT91" t="e">
        <f t="shared" si="7"/>
        <v>#DIV/0!</v>
      </c>
      <c r="AU91" cm="1">
        <f t="array" ref="AU91">SUMPRODUCT($X$162:$AQ$162,(X91:AQ91)/($X$11:$AQ$11))</f>
        <v>0</v>
      </c>
      <c r="AV91">
        <f t="shared" si="8"/>
        <v>0</v>
      </c>
      <c r="AW91">
        <f t="shared" si="9"/>
        <v>0</v>
      </c>
      <c r="AX91">
        <f t="shared" si="10"/>
        <v>0</v>
      </c>
    </row>
    <row r="92" spans="1:50" x14ac:dyDescent="0.2">
      <c r="A92" s="3"/>
      <c r="V92" s="6"/>
      <c r="W92" s="3"/>
      <c r="AR92" cm="1">
        <f t="array" ref="AR92">SUMPRODUCT($B$162:$U$162,(B92:U92)/($B$11:$U$11))</f>
        <v>0</v>
      </c>
      <c r="AS92">
        <f t="shared" si="6"/>
        <v>0</v>
      </c>
      <c r="AT92" t="e">
        <f t="shared" si="7"/>
        <v>#DIV/0!</v>
      </c>
      <c r="AU92" cm="1">
        <f t="array" ref="AU92">SUMPRODUCT($X$162:$AQ$162,(X92:AQ92)/($X$11:$AQ$11))</f>
        <v>0</v>
      </c>
      <c r="AV92">
        <f t="shared" si="8"/>
        <v>0</v>
      </c>
      <c r="AW92">
        <f t="shared" si="9"/>
        <v>0</v>
      </c>
      <c r="AX92">
        <f t="shared" si="10"/>
        <v>0</v>
      </c>
    </row>
    <row r="93" spans="1:50" x14ac:dyDescent="0.2">
      <c r="A93" s="3"/>
      <c r="V93" s="6"/>
      <c r="W93" s="3"/>
      <c r="AR93" cm="1">
        <f t="array" ref="AR93">SUMPRODUCT($B$162:$U$162,(B93:U93)/($B$11:$U$11))</f>
        <v>0</v>
      </c>
      <c r="AS93">
        <f t="shared" si="6"/>
        <v>0</v>
      </c>
      <c r="AT93" t="e">
        <f t="shared" si="7"/>
        <v>#DIV/0!</v>
      </c>
      <c r="AU93" cm="1">
        <f t="array" ref="AU93">SUMPRODUCT($X$162:$AQ$162,(X93:AQ93)/($X$11:$AQ$11))</f>
        <v>0</v>
      </c>
      <c r="AV93">
        <f t="shared" si="8"/>
        <v>0</v>
      </c>
      <c r="AW93">
        <f t="shared" si="9"/>
        <v>0</v>
      </c>
      <c r="AX93">
        <f t="shared" si="10"/>
        <v>0</v>
      </c>
    </row>
    <row r="94" spans="1:50" x14ac:dyDescent="0.2">
      <c r="A94" s="3"/>
      <c r="V94" s="6"/>
      <c r="W94" s="3"/>
      <c r="AR94" cm="1">
        <f t="array" ref="AR94">SUMPRODUCT($B$162:$U$162,(B94:U94)/($B$11:$U$11))</f>
        <v>0</v>
      </c>
      <c r="AS94">
        <f t="shared" si="6"/>
        <v>0</v>
      </c>
      <c r="AT94" t="e">
        <f t="shared" si="7"/>
        <v>#DIV/0!</v>
      </c>
      <c r="AU94" cm="1">
        <f t="array" ref="AU94">SUMPRODUCT($X$162:$AQ$162,(X94:AQ94)/($X$11:$AQ$11))</f>
        <v>0</v>
      </c>
      <c r="AV94">
        <f t="shared" si="8"/>
        <v>0</v>
      </c>
      <c r="AW94">
        <f t="shared" si="9"/>
        <v>0</v>
      </c>
      <c r="AX94">
        <f t="shared" si="10"/>
        <v>0</v>
      </c>
    </row>
    <row r="95" spans="1:50" x14ac:dyDescent="0.2">
      <c r="A95" s="3"/>
      <c r="V95" s="6"/>
      <c r="W95" s="3"/>
      <c r="AR95" cm="1">
        <f t="array" ref="AR95">SUMPRODUCT($B$162:$U$162,(B95:U95)/($B$11:$U$11))</f>
        <v>0</v>
      </c>
      <c r="AS95">
        <f t="shared" si="6"/>
        <v>0</v>
      </c>
      <c r="AT95" t="e">
        <f t="shared" si="7"/>
        <v>#DIV/0!</v>
      </c>
      <c r="AU95" cm="1">
        <f t="array" ref="AU95">SUMPRODUCT($X$162:$AQ$162,(X95:AQ95)/($X$11:$AQ$11))</f>
        <v>0</v>
      </c>
      <c r="AV95">
        <f t="shared" si="8"/>
        <v>0</v>
      </c>
      <c r="AW95">
        <f t="shared" si="9"/>
        <v>0</v>
      </c>
      <c r="AX95">
        <f t="shared" si="10"/>
        <v>0</v>
      </c>
    </row>
    <row r="96" spans="1:50" x14ac:dyDescent="0.2">
      <c r="A96" s="3"/>
      <c r="V96" s="6"/>
      <c r="W96" s="3"/>
      <c r="AR96" cm="1">
        <f t="array" ref="AR96">SUMPRODUCT($B$162:$U$162,(B96:U96)/($B$11:$U$11))</f>
        <v>0</v>
      </c>
      <c r="AS96">
        <f t="shared" si="6"/>
        <v>0</v>
      </c>
      <c r="AT96" t="e">
        <f t="shared" si="7"/>
        <v>#DIV/0!</v>
      </c>
      <c r="AU96" cm="1">
        <f t="array" ref="AU96">SUMPRODUCT($X$162:$AQ$162,(X96:AQ96)/($X$11:$AQ$11))</f>
        <v>0</v>
      </c>
      <c r="AV96">
        <f t="shared" si="8"/>
        <v>0</v>
      </c>
      <c r="AW96">
        <f t="shared" si="9"/>
        <v>0</v>
      </c>
      <c r="AX96">
        <f t="shared" si="10"/>
        <v>0</v>
      </c>
    </row>
    <row r="97" spans="1:50" x14ac:dyDescent="0.2">
      <c r="A97" s="3"/>
      <c r="V97" s="6"/>
      <c r="W97" s="3"/>
      <c r="AR97" cm="1">
        <f t="array" ref="AR97">SUMPRODUCT($B$162:$U$162,(B97:U97)/($B$11:$U$11))</f>
        <v>0</v>
      </c>
      <c r="AS97">
        <f t="shared" si="6"/>
        <v>0</v>
      </c>
      <c r="AT97" t="e">
        <f t="shared" si="7"/>
        <v>#DIV/0!</v>
      </c>
      <c r="AU97" cm="1">
        <f t="array" ref="AU97">SUMPRODUCT($X$162:$AQ$162,(X97:AQ97)/($X$11:$AQ$11))</f>
        <v>0</v>
      </c>
      <c r="AV97">
        <f t="shared" si="8"/>
        <v>0</v>
      </c>
      <c r="AW97">
        <f t="shared" si="9"/>
        <v>0</v>
      </c>
      <c r="AX97">
        <f t="shared" si="10"/>
        <v>0</v>
      </c>
    </row>
    <row r="98" spans="1:50" x14ac:dyDescent="0.2">
      <c r="A98" s="3"/>
      <c r="V98" s="6"/>
      <c r="W98" s="3"/>
      <c r="AR98" cm="1">
        <f t="array" ref="AR98">SUMPRODUCT($B$162:$U$162,(B98:U98)/($B$11:$U$11))</f>
        <v>0</v>
      </c>
      <c r="AS98">
        <f t="shared" si="6"/>
        <v>0</v>
      </c>
      <c r="AT98" t="e">
        <f t="shared" si="7"/>
        <v>#DIV/0!</v>
      </c>
      <c r="AU98" cm="1">
        <f t="array" ref="AU98">SUMPRODUCT($X$162:$AQ$162,(X98:AQ98)/($X$11:$AQ$11))</f>
        <v>0</v>
      </c>
      <c r="AV98">
        <f t="shared" si="8"/>
        <v>0</v>
      </c>
      <c r="AW98">
        <f t="shared" si="9"/>
        <v>0</v>
      </c>
      <c r="AX98">
        <f t="shared" si="10"/>
        <v>0</v>
      </c>
    </row>
    <row r="99" spans="1:50" x14ac:dyDescent="0.2">
      <c r="A99" s="3"/>
      <c r="V99" s="6"/>
      <c r="W99" s="3"/>
      <c r="AR99" cm="1">
        <f t="array" ref="AR99">SUMPRODUCT($B$162:$U$162,(B99:U99)/($B$11:$U$11))</f>
        <v>0</v>
      </c>
      <c r="AS99">
        <f t="shared" si="6"/>
        <v>0</v>
      </c>
      <c r="AT99" t="e">
        <f t="shared" si="7"/>
        <v>#DIV/0!</v>
      </c>
      <c r="AU99" cm="1">
        <f t="array" ref="AU99">SUMPRODUCT($X$162:$AQ$162,(X99:AQ99)/($X$11:$AQ$11))</f>
        <v>0</v>
      </c>
      <c r="AV99">
        <f t="shared" si="8"/>
        <v>0</v>
      </c>
      <c r="AW99">
        <f t="shared" si="9"/>
        <v>0</v>
      </c>
      <c r="AX99">
        <f t="shared" si="10"/>
        <v>0</v>
      </c>
    </row>
    <row r="100" spans="1:50" x14ac:dyDescent="0.2">
      <c r="A100" s="3"/>
      <c r="V100" s="6"/>
      <c r="W100" s="3"/>
      <c r="AR100" cm="1">
        <f t="array" ref="AR100">SUMPRODUCT($B$162:$U$162,(B100:U100)/($B$11:$U$11))</f>
        <v>0</v>
      </c>
      <c r="AS100">
        <f t="shared" si="6"/>
        <v>0</v>
      </c>
      <c r="AT100" t="e">
        <f t="shared" si="7"/>
        <v>#DIV/0!</v>
      </c>
      <c r="AU100" cm="1">
        <f t="array" ref="AU100">SUMPRODUCT($X$162:$AQ$162,(X100:AQ100)/($X$11:$AQ$11))</f>
        <v>0</v>
      </c>
      <c r="AV100">
        <f t="shared" si="8"/>
        <v>0</v>
      </c>
      <c r="AW100">
        <f t="shared" si="9"/>
        <v>0</v>
      </c>
      <c r="AX100">
        <f t="shared" si="10"/>
        <v>0</v>
      </c>
    </row>
    <row r="101" spans="1:50" x14ac:dyDescent="0.2">
      <c r="A101" s="3"/>
      <c r="V101" s="6"/>
      <c r="W101" s="3"/>
      <c r="AR101" cm="1">
        <f t="array" ref="AR101">SUMPRODUCT($B$162:$U$162,(B101:U101)/($B$11:$U$11))</f>
        <v>0</v>
      </c>
      <c r="AS101">
        <f t="shared" si="6"/>
        <v>0</v>
      </c>
      <c r="AT101" t="e">
        <f t="shared" si="7"/>
        <v>#DIV/0!</v>
      </c>
      <c r="AU101" cm="1">
        <f t="array" ref="AU101">SUMPRODUCT($X$162:$AQ$162,(X101:AQ101)/($X$11:$AQ$11))</f>
        <v>0</v>
      </c>
      <c r="AV101">
        <f t="shared" si="8"/>
        <v>0</v>
      </c>
      <c r="AW101">
        <f t="shared" si="9"/>
        <v>0</v>
      </c>
      <c r="AX101">
        <f t="shared" si="10"/>
        <v>0</v>
      </c>
    </row>
    <row r="102" spans="1:50" x14ac:dyDescent="0.2">
      <c r="A102" s="3"/>
      <c r="V102" s="6"/>
      <c r="W102" s="3"/>
      <c r="AR102" cm="1">
        <f t="array" ref="AR102">SUMPRODUCT($B$162:$U$162,(B102:U102)/($B$11:$U$11))</f>
        <v>0</v>
      </c>
      <c r="AS102">
        <f t="shared" si="6"/>
        <v>0</v>
      </c>
      <c r="AT102" t="e">
        <f t="shared" si="7"/>
        <v>#DIV/0!</v>
      </c>
      <c r="AU102" cm="1">
        <f t="array" ref="AU102">SUMPRODUCT($X$162:$AQ$162,(X102:AQ102)/($X$11:$AQ$11))</f>
        <v>0</v>
      </c>
      <c r="AV102">
        <f t="shared" si="8"/>
        <v>0</v>
      </c>
      <c r="AW102">
        <f t="shared" si="9"/>
        <v>0</v>
      </c>
      <c r="AX102">
        <f t="shared" si="10"/>
        <v>0</v>
      </c>
    </row>
    <row r="103" spans="1:50" x14ac:dyDescent="0.2">
      <c r="A103" s="3"/>
      <c r="V103" s="6"/>
      <c r="W103" s="3"/>
      <c r="AR103" cm="1">
        <f t="array" ref="AR103">SUMPRODUCT($B$162:$U$162,(B103:U103)/($B$11:$U$11))</f>
        <v>0</v>
      </c>
      <c r="AS103">
        <f t="shared" si="6"/>
        <v>0</v>
      </c>
      <c r="AT103" t="e">
        <f t="shared" si="7"/>
        <v>#DIV/0!</v>
      </c>
      <c r="AU103" cm="1">
        <f t="array" ref="AU103">SUMPRODUCT($X$162:$AQ$162,(X103:AQ103)/($X$11:$AQ$11))</f>
        <v>0</v>
      </c>
      <c r="AV103">
        <f t="shared" si="8"/>
        <v>0</v>
      </c>
      <c r="AW103">
        <f t="shared" si="9"/>
        <v>0</v>
      </c>
      <c r="AX103">
        <f t="shared" si="10"/>
        <v>0</v>
      </c>
    </row>
    <row r="104" spans="1:50" x14ac:dyDescent="0.2">
      <c r="A104" s="3"/>
      <c r="V104" s="6"/>
      <c r="W104" s="3"/>
      <c r="AR104" cm="1">
        <f t="array" ref="AR104">SUMPRODUCT($B$162:$U$162,(B104:U104)/($B$11:$U$11))</f>
        <v>0</v>
      </c>
      <c r="AS104">
        <f t="shared" si="6"/>
        <v>0</v>
      </c>
      <c r="AT104" t="e">
        <f t="shared" si="7"/>
        <v>#DIV/0!</v>
      </c>
      <c r="AU104" cm="1">
        <f t="array" ref="AU104">SUMPRODUCT($X$162:$AQ$162,(X104:AQ104)/($X$11:$AQ$11))</f>
        <v>0</v>
      </c>
      <c r="AV104">
        <f t="shared" si="8"/>
        <v>0</v>
      </c>
      <c r="AW104">
        <f t="shared" si="9"/>
        <v>0</v>
      </c>
      <c r="AX104">
        <f t="shared" si="10"/>
        <v>0</v>
      </c>
    </row>
    <row r="105" spans="1:50" x14ac:dyDescent="0.2">
      <c r="A105" s="3"/>
      <c r="V105" s="6"/>
      <c r="W105" s="3"/>
      <c r="AR105" cm="1">
        <f t="array" ref="AR105">SUMPRODUCT($B$162:$U$162,(B105:U105)/($B$11:$U$11))</f>
        <v>0</v>
      </c>
      <c r="AS105">
        <f t="shared" si="6"/>
        <v>0</v>
      </c>
      <c r="AT105" t="e">
        <f t="shared" si="7"/>
        <v>#DIV/0!</v>
      </c>
      <c r="AU105" cm="1">
        <f t="array" ref="AU105">SUMPRODUCT($X$162:$AQ$162,(X105:AQ105)/($X$11:$AQ$11))</f>
        <v>0</v>
      </c>
      <c r="AV105">
        <f t="shared" si="8"/>
        <v>0</v>
      </c>
      <c r="AW105">
        <f t="shared" si="9"/>
        <v>0</v>
      </c>
      <c r="AX105">
        <f t="shared" si="10"/>
        <v>0</v>
      </c>
    </row>
    <row r="106" spans="1:50" x14ac:dyDescent="0.2">
      <c r="A106" s="3"/>
      <c r="V106" s="6"/>
      <c r="W106" s="3"/>
      <c r="AR106" cm="1">
        <f t="array" ref="AR106">SUMPRODUCT($B$162:$U$162,(B106:U106)/($B$11:$U$11))</f>
        <v>0</v>
      </c>
      <c r="AS106">
        <f t="shared" si="6"/>
        <v>0</v>
      </c>
      <c r="AT106" t="e">
        <f t="shared" si="7"/>
        <v>#DIV/0!</v>
      </c>
      <c r="AU106" cm="1">
        <f t="array" ref="AU106">SUMPRODUCT($X$162:$AQ$162,(X106:AQ106)/($X$11:$AQ$11))</f>
        <v>0</v>
      </c>
      <c r="AV106">
        <f t="shared" si="8"/>
        <v>0</v>
      </c>
      <c r="AW106">
        <f t="shared" si="9"/>
        <v>0</v>
      </c>
      <c r="AX106">
        <f t="shared" si="10"/>
        <v>0</v>
      </c>
    </row>
    <row r="107" spans="1:50" x14ac:dyDescent="0.2">
      <c r="A107" s="3"/>
      <c r="V107" s="6"/>
      <c r="W107" s="3"/>
      <c r="AR107" cm="1">
        <f t="array" ref="AR107">SUMPRODUCT($B$162:$U$162,(B107:U107)/($B$11:$U$11))</f>
        <v>0</v>
      </c>
      <c r="AS107">
        <f t="shared" si="6"/>
        <v>0</v>
      </c>
      <c r="AT107" t="e">
        <f t="shared" si="7"/>
        <v>#DIV/0!</v>
      </c>
      <c r="AU107" cm="1">
        <f t="array" ref="AU107">SUMPRODUCT($X$162:$AQ$162,(X107:AQ107)/($X$11:$AQ$11))</f>
        <v>0</v>
      </c>
      <c r="AV107">
        <f t="shared" si="8"/>
        <v>0</v>
      </c>
      <c r="AW107">
        <f t="shared" si="9"/>
        <v>0</v>
      </c>
      <c r="AX107">
        <f t="shared" si="10"/>
        <v>0</v>
      </c>
    </row>
    <row r="108" spans="1:50" x14ac:dyDescent="0.2">
      <c r="A108" s="3"/>
      <c r="V108" s="6"/>
      <c r="W108" s="3"/>
      <c r="AR108" cm="1">
        <f t="array" ref="AR108">SUMPRODUCT($B$162:$U$162,(B108:U108)/($B$11:$U$11))</f>
        <v>0</v>
      </c>
      <c r="AS108">
        <f t="shared" si="6"/>
        <v>0</v>
      </c>
      <c r="AT108" t="e">
        <f t="shared" si="7"/>
        <v>#DIV/0!</v>
      </c>
      <c r="AU108" cm="1">
        <f t="array" ref="AU108">SUMPRODUCT($X$162:$AQ$162,(X108:AQ108)/($X$11:$AQ$11))</f>
        <v>0</v>
      </c>
      <c r="AV108">
        <f t="shared" si="8"/>
        <v>0</v>
      </c>
      <c r="AW108">
        <f t="shared" si="9"/>
        <v>0</v>
      </c>
      <c r="AX108">
        <f t="shared" si="10"/>
        <v>0</v>
      </c>
    </row>
    <row r="109" spans="1:50" x14ac:dyDescent="0.2">
      <c r="A109" s="3"/>
      <c r="V109" s="6"/>
      <c r="W109" s="3"/>
      <c r="AR109" cm="1">
        <f t="array" ref="AR109">SUMPRODUCT($B$162:$U$162,(B109:U109)/($B$11:$U$11))</f>
        <v>0</v>
      </c>
      <c r="AS109">
        <f t="shared" si="6"/>
        <v>0</v>
      </c>
      <c r="AT109" t="e">
        <f t="shared" si="7"/>
        <v>#DIV/0!</v>
      </c>
      <c r="AU109" cm="1">
        <f t="array" ref="AU109">SUMPRODUCT($X$162:$AQ$162,(X109:AQ109)/($X$11:$AQ$11))</f>
        <v>0</v>
      </c>
      <c r="AV109">
        <f t="shared" si="8"/>
        <v>0</v>
      </c>
      <c r="AW109">
        <f t="shared" si="9"/>
        <v>0</v>
      </c>
      <c r="AX109">
        <f t="shared" si="10"/>
        <v>0</v>
      </c>
    </row>
    <row r="110" spans="1:50" x14ac:dyDescent="0.2">
      <c r="A110" s="3"/>
      <c r="V110" s="6"/>
      <c r="W110" s="3"/>
      <c r="AR110" cm="1">
        <f t="array" ref="AR110">SUMPRODUCT($B$162:$U$162,(B110:U110)/($B$11:$U$11))</f>
        <v>0</v>
      </c>
      <c r="AS110">
        <f t="shared" si="6"/>
        <v>0</v>
      </c>
      <c r="AT110" t="e">
        <f t="shared" si="7"/>
        <v>#DIV/0!</v>
      </c>
      <c r="AU110" cm="1">
        <f t="array" ref="AU110">SUMPRODUCT($X$162:$AQ$162,(X110:AQ110)/($X$11:$AQ$11))</f>
        <v>0</v>
      </c>
      <c r="AV110">
        <f t="shared" si="8"/>
        <v>0</v>
      </c>
      <c r="AW110">
        <f t="shared" si="9"/>
        <v>0</v>
      </c>
      <c r="AX110">
        <f t="shared" si="10"/>
        <v>0</v>
      </c>
    </row>
    <row r="111" spans="1:50" x14ac:dyDescent="0.2">
      <c r="A111" s="3"/>
      <c r="V111" s="6"/>
      <c r="W111" s="3"/>
      <c r="AR111" cm="1">
        <f t="array" ref="AR111">SUMPRODUCT($B$162:$U$162,(B111:U111)/($B$11:$U$11))</f>
        <v>0</v>
      </c>
      <c r="AS111">
        <f t="shared" si="6"/>
        <v>0</v>
      </c>
      <c r="AT111" t="e">
        <f t="shared" si="7"/>
        <v>#DIV/0!</v>
      </c>
      <c r="AU111" cm="1">
        <f t="array" ref="AU111">SUMPRODUCT($X$162:$AQ$162,(X111:AQ111)/($X$11:$AQ$11))</f>
        <v>0</v>
      </c>
      <c r="AV111">
        <f t="shared" si="8"/>
        <v>0</v>
      </c>
      <c r="AW111">
        <f t="shared" si="9"/>
        <v>0</v>
      </c>
      <c r="AX111">
        <f t="shared" si="10"/>
        <v>0</v>
      </c>
    </row>
    <row r="112" spans="1:50" x14ac:dyDescent="0.2">
      <c r="A112" s="3"/>
      <c r="V112" s="6"/>
      <c r="W112" s="3"/>
      <c r="AR112" cm="1">
        <f t="array" ref="AR112">SUMPRODUCT($B$162:$U$162,(B112:U112)/($B$11:$U$11))</f>
        <v>0</v>
      </c>
      <c r="AS112">
        <f t="shared" si="6"/>
        <v>0</v>
      </c>
      <c r="AT112" t="e">
        <f t="shared" si="7"/>
        <v>#DIV/0!</v>
      </c>
      <c r="AU112" cm="1">
        <f t="array" ref="AU112">SUMPRODUCT($X$162:$AQ$162,(X112:AQ112)/($X$11:$AQ$11))</f>
        <v>0</v>
      </c>
      <c r="AV112">
        <f t="shared" si="8"/>
        <v>0</v>
      </c>
      <c r="AW112">
        <f t="shared" si="9"/>
        <v>0</v>
      </c>
      <c r="AX112">
        <f t="shared" si="10"/>
        <v>0</v>
      </c>
    </row>
    <row r="113" spans="1:50" x14ac:dyDescent="0.2">
      <c r="A113" s="3"/>
      <c r="V113" s="6"/>
      <c r="W113" s="3"/>
      <c r="AR113" cm="1">
        <f t="array" ref="AR113">SUMPRODUCT($B$162:$U$162,(B113:U113)/($B$11:$U$11))</f>
        <v>0</v>
      </c>
      <c r="AS113">
        <f t="shared" si="6"/>
        <v>0</v>
      </c>
      <c r="AT113" t="e">
        <f t="shared" si="7"/>
        <v>#DIV/0!</v>
      </c>
      <c r="AU113" cm="1">
        <f t="array" ref="AU113">SUMPRODUCT($X$162:$AQ$162,(X113:AQ113)/($X$11:$AQ$11))</f>
        <v>0</v>
      </c>
      <c r="AV113">
        <f t="shared" si="8"/>
        <v>0</v>
      </c>
      <c r="AW113">
        <f t="shared" si="9"/>
        <v>0</v>
      </c>
      <c r="AX113">
        <f t="shared" si="10"/>
        <v>0</v>
      </c>
    </row>
    <row r="114" spans="1:50" x14ac:dyDescent="0.2">
      <c r="A114" s="3"/>
      <c r="V114" s="6"/>
      <c r="W114" s="3"/>
      <c r="AR114" cm="1">
        <f t="array" ref="AR114">SUMPRODUCT($B$162:$U$162,(B114:U114)/($B$11:$U$11))</f>
        <v>0</v>
      </c>
      <c r="AS114">
        <f t="shared" si="6"/>
        <v>0</v>
      </c>
      <c r="AT114" t="e">
        <f t="shared" si="7"/>
        <v>#DIV/0!</v>
      </c>
      <c r="AU114" cm="1">
        <f t="array" ref="AU114">SUMPRODUCT($X$162:$AQ$162,(X114:AQ114)/($X$11:$AQ$11))</f>
        <v>0</v>
      </c>
      <c r="AV114">
        <f t="shared" si="8"/>
        <v>0</v>
      </c>
      <c r="AW114">
        <f t="shared" si="9"/>
        <v>0</v>
      </c>
      <c r="AX114">
        <f t="shared" si="10"/>
        <v>0</v>
      </c>
    </row>
    <row r="115" spans="1:50" x14ac:dyDescent="0.2">
      <c r="A115" s="3"/>
      <c r="V115" s="6"/>
      <c r="W115" s="3"/>
      <c r="AR115" cm="1">
        <f t="array" ref="AR115">SUMPRODUCT($B$162:$U$162,(B115:U115)/($B$11:$U$11))</f>
        <v>0</v>
      </c>
      <c r="AS115">
        <f t="shared" si="6"/>
        <v>0</v>
      </c>
      <c r="AT115" t="e">
        <f t="shared" si="7"/>
        <v>#DIV/0!</v>
      </c>
      <c r="AU115" cm="1">
        <f t="array" ref="AU115">SUMPRODUCT($X$162:$AQ$162,(X115:AQ115)/($X$11:$AQ$11))</f>
        <v>0</v>
      </c>
      <c r="AV115">
        <f t="shared" si="8"/>
        <v>0</v>
      </c>
      <c r="AW115">
        <f t="shared" si="9"/>
        <v>0</v>
      </c>
      <c r="AX115">
        <f t="shared" si="10"/>
        <v>0</v>
      </c>
    </row>
    <row r="116" spans="1:50" x14ac:dyDescent="0.2">
      <c r="A116" s="3"/>
      <c r="V116" s="6"/>
      <c r="W116" s="3"/>
      <c r="AR116" cm="1">
        <f t="array" ref="AR116">SUMPRODUCT($B$162:$U$162,(B116:U116)/($B$11:$U$11))</f>
        <v>0</v>
      </c>
      <c r="AS116">
        <f t="shared" si="6"/>
        <v>0</v>
      </c>
      <c r="AT116" t="e">
        <f t="shared" si="7"/>
        <v>#DIV/0!</v>
      </c>
      <c r="AU116" cm="1">
        <f t="array" ref="AU116">SUMPRODUCT($X$162:$AQ$162,(X116:AQ116)/($X$11:$AQ$11))</f>
        <v>0</v>
      </c>
      <c r="AV116">
        <f t="shared" si="8"/>
        <v>0</v>
      </c>
      <c r="AW116">
        <f t="shared" si="9"/>
        <v>0</v>
      </c>
      <c r="AX116">
        <f t="shared" si="10"/>
        <v>0</v>
      </c>
    </row>
    <row r="117" spans="1:50" x14ac:dyDescent="0.2">
      <c r="A117" s="3"/>
      <c r="V117" s="6"/>
      <c r="W117" s="3"/>
      <c r="AR117" cm="1">
        <f t="array" ref="AR117">SUMPRODUCT($B$162:$U$162,(B117:U117)/($B$11:$U$11))</f>
        <v>0</v>
      </c>
      <c r="AS117">
        <f t="shared" si="6"/>
        <v>0</v>
      </c>
      <c r="AT117" t="e">
        <f t="shared" si="7"/>
        <v>#DIV/0!</v>
      </c>
      <c r="AU117" cm="1">
        <f t="array" ref="AU117">SUMPRODUCT($X$162:$AQ$162,(X117:AQ117)/($X$11:$AQ$11))</f>
        <v>0</v>
      </c>
      <c r="AV117">
        <f t="shared" si="8"/>
        <v>0</v>
      </c>
      <c r="AW117">
        <f t="shared" si="9"/>
        <v>0</v>
      </c>
      <c r="AX117">
        <f t="shared" si="10"/>
        <v>0</v>
      </c>
    </row>
    <row r="118" spans="1:50" x14ac:dyDescent="0.2">
      <c r="A118" s="3"/>
      <c r="V118" s="6"/>
      <c r="W118" s="3"/>
      <c r="AR118" cm="1">
        <f t="array" ref="AR118">SUMPRODUCT($B$162:$U$162,(B118:U118)/($B$11:$U$11))</f>
        <v>0</v>
      </c>
      <c r="AS118">
        <f t="shared" si="6"/>
        <v>0</v>
      </c>
      <c r="AT118" t="e">
        <f t="shared" si="7"/>
        <v>#DIV/0!</v>
      </c>
      <c r="AU118" cm="1">
        <f t="array" ref="AU118">SUMPRODUCT($X$162:$AQ$162,(X118:AQ118)/($X$11:$AQ$11))</f>
        <v>0</v>
      </c>
      <c r="AV118">
        <f t="shared" si="8"/>
        <v>0</v>
      </c>
      <c r="AW118">
        <f t="shared" si="9"/>
        <v>0</v>
      </c>
      <c r="AX118">
        <f t="shared" si="10"/>
        <v>0</v>
      </c>
    </row>
    <row r="119" spans="1:50" x14ac:dyDescent="0.2">
      <c r="A119" s="3"/>
      <c r="V119" s="6"/>
      <c r="W119" s="3"/>
      <c r="AR119" cm="1">
        <f t="array" ref="AR119">SUMPRODUCT($B$162:$U$162,(B119:U119)/($B$11:$U$11))</f>
        <v>0</v>
      </c>
      <c r="AS119">
        <f t="shared" si="6"/>
        <v>0</v>
      </c>
      <c r="AT119" t="e">
        <f t="shared" si="7"/>
        <v>#DIV/0!</v>
      </c>
      <c r="AU119" cm="1">
        <f t="array" ref="AU119">SUMPRODUCT($X$162:$AQ$162,(X119:AQ119)/($X$11:$AQ$11))</f>
        <v>0</v>
      </c>
      <c r="AV119">
        <f t="shared" si="8"/>
        <v>0</v>
      </c>
      <c r="AW119">
        <f t="shared" si="9"/>
        <v>0</v>
      </c>
      <c r="AX119">
        <f t="shared" si="10"/>
        <v>0</v>
      </c>
    </row>
    <row r="120" spans="1:50" x14ac:dyDescent="0.2">
      <c r="A120" s="3"/>
      <c r="V120" s="6"/>
      <c r="W120" s="3"/>
      <c r="AR120" cm="1">
        <f t="array" ref="AR120">SUMPRODUCT($B$162:$U$162,(B120:U120)/($B$11:$U$11))</f>
        <v>0</v>
      </c>
      <c r="AS120">
        <f t="shared" si="6"/>
        <v>0</v>
      </c>
      <c r="AT120" t="e">
        <f t="shared" si="7"/>
        <v>#DIV/0!</v>
      </c>
      <c r="AU120" cm="1">
        <f t="array" ref="AU120">SUMPRODUCT($X$162:$AQ$162,(X120:AQ120)/($X$11:$AQ$11))</f>
        <v>0</v>
      </c>
      <c r="AV120">
        <f t="shared" si="8"/>
        <v>0</v>
      </c>
      <c r="AW120">
        <f t="shared" si="9"/>
        <v>0</v>
      </c>
      <c r="AX120">
        <f t="shared" si="10"/>
        <v>0</v>
      </c>
    </row>
    <row r="121" spans="1:50" x14ac:dyDescent="0.2">
      <c r="A121" s="3"/>
      <c r="V121" s="6"/>
      <c r="W121" s="3"/>
      <c r="AR121" cm="1">
        <f t="array" ref="AR121">SUMPRODUCT($B$162:$U$162,(B121:U121)/($B$11:$U$11))</f>
        <v>0</v>
      </c>
      <c r="AS121">
        <f t="shared" si="6"/>
        <v>0</v>
      </c>
      <c r="AT121" t="e">
        <f t="shared" si="7"/>
        <v>#DIV/0!</v>
      </c>
      <c r="AU121" cm="1">
        <f t="array" ref="AU121">SUMPRODUCT($X$162:$AQ$162,(X121:AQ121)/($X$11:$AQ$11))</f>
        <v>0</v>
      </c>
      <c r="AV121">
        <f t="shared" si="8"/>
        <v>0</v>
      </c>
      <c r="AW121">
        <f t="shared" si="9"/>
        <v>0</v>
      </c>
      <c r="AX121">
        <f t="shared" si="10"/>
        <v>0</v>
      </c>
    </row>
    <row r="122" spans="1:50" x14ac:dyDescent="0.2">
      <c r="A122" s="3"/>
      <c r="V122" s="6"/>
      <c r="W122" s="3"/>
      <c r="AR122" cm="1">
        <f t="array" ref="AR122">SUMPRODUCT($B$162:$U$162,(B122:U122)/($B$11:$U$11))</f>
        <v>0</v>
      </c>
      <c r="AS122">
        <f t="shared" si="6"/>
        <v>0</v>
      </c>
      <c r="AT122" t="e">
        <f t="shared" si="7"/>
        <v>#DIV/0!</v>
      </c>
      <c r="AU122" cm="1">
        <f t="array" ref="AU122">SUMPRODUCT($X$162:$AQ$162,(X122:AQ122)/($X$11:$AQ$11))</f>
        <v>0</v>
      </c>
      <c r="AV122">
        <f t="shared" si="8"/>
        <v>0</v>
      </c>
      <c r="AW122">
        <f t="shared" si="9"/>
        <v>0</v>
      </c>
      <c r="AX122">
        <f t="shared" si="10"/>
        <v>0</v>
      </c>
    </row>
    <row r="123" spans="1:50" x14ac:dyDescent="0.2">
      <c r="A123" s="3"/>
      <c r="V123" s="6"/>
      <c r="W123" s="3"/>
      <c r="AR123" cm="1">
        <f t="array" ref="AR123">SUMPRODUCT($B$162:$U$162,(B123:U123)/($B$11:$U$11))</f>
        <v>0</v>
      </c>
      <c r="AS123">
        <f t="shared" si="6"/>
        <v>0</v>
      </c>
      <c r="AT123" t="e">
        <f t="shared" si="7"/>
        <v>#DIV/0!</v>
      </c>
      <c r="AU123" cm="1">
        <f t="array" ref="AU123">SUMPRODUCT($X$162:$AQ$162,(X123:AQ123)/($X$11:$AQ$11))</f>
        <v>0</v>
      </c>
      <c r="AV123">
        <f t="shared" si="8"/>
        <v>0</v>
      </c>
      <c r="AW123">
        <f t="shared" si="9"/>
        <v>0</v>
      </c>
      <c r="AX123">
        <f t="shared" si="10"/>
        <v>0</v>
      </c>
    </row>
    <row r="124" spans="1:50" x14ac:dyDescent="0.2">
      <c r="A124" s="3"/>
      <c r="V124" s="6"/>
      <c r="W124" s="3"/>
      <c r="AR124" cm="1">
        <f t="array" ref="AR124">SUMPRODUCT($B$162:$U$162,(B124:U124)/($B$11:$U$11))</f>
        <v>0</v>
      </c>
      <c r="AS124">
        <f t="shared" si="6"/>
        <v>0</v>
      </c>
      <c r="AT124" t="e">
        <f t="shared" si="7"/>
        <v>#DIV/0!</v>
      </c>
      <c r="AU124" cm="1">
        <f t="array" ref="AU124">SUMPRODUCT($X$162:$AQ$162,(X124:AQ124)/($X$11:$AQ$11))</f>
        <v>0</v>
      </c>
      <c r="AV124">
        <f t="shared" si="8"/>
        <v>0</v>
      </c>
      <c r="AW124">
        <f t="shared" si="9"/>
        <v>0</v>
      </c>
      <c r="AX124">
        <f t="shared" si="10"/>
        <v>0</v>
      </c>
    </row>
    <row r="125" spans="1:50" x14ac:dyDescent="0.2">
      <c r="A125" s="3"/>
      <c r="V125" s="6"/>
      <c r="W125" s="3"/>
      <c r="AR125" cm="1">
        <f t="array" ref="AR125">SUMPRODUCT($B$162:$U$162,(B125:U125)/($B$11:$U$11))</f>
        <v>0</v>
      </c>
      <c r="AS125">
        <f t="shared" si="6"/>
        <v>0</v>
      </c>
      <c r="AT125" t="e">
        <f t="shared" si="7"/>
        <v>#DIV/0!</v>
      </c>
      <c r="AU125" cm="1">
        <f t="array" ref="AU125">SUMPRODUCT($X$162:$AQ$162,(X125:AQ125)/($X$11:$AQ$11))</f>
        <v>0</v>
      </c>
      <c r="AV125">
        <f t="shared" si="8"/>
        <v>0</v>
      </c>
      <c r="AW125">
        <f t="shared" si="9"/>
        <v>0</v>
      </c>
      <c r="AX125">
        <f t="shared" si="10"/>
        <v>0</v>
      </c>
    </row>
    <row r="126" spans="1:50" x14ac:dyDescent="0.2">
      <c r="A126" s="3"/>
      <c r="V126" s="6"/>
      <c r="W126" s="3"/>
      <c r="AR126" cm="1">
        <f t="array" ref="AR126">SUMPRODUCT($B$162:$U$162,(B126:U126)/($B$11:$U$11))</f>
        <v>0</v>
      </c>
      <c r="AS126">
        <f t="shared" si="6"/>
        <v>0</v>
      </c>
      <c r="AT126" t="e">
        <f t="shared" si="7"/>
        <v>#DIV/0!</v>
      </c>
      <c r="AU126" cm="1">
        <f t="array" ref="AU126">SUMPRODUCT($X$162:$AQ$162,(X126:AQ126)/($X$11:$AQ$11))</f>
        <v>0</v>
      </c>
      <c r="AV126">
        <f t="shared" si="8"/>
        <v>0</v>
      </c>
      <c r="AW126">
        <f t="shared" si="9"/>
        <v>0</v>
      </c>
      <c r="AX126">
        <f t="shared" si="10"/>
        <v>0</v>
      </c>
    </row>
    <row r="127" spans="1:50" x14ac:dyDescent="0.2">
      <c r="A127" s="3"/>
      <c r="V127" s="6"/>
      <c r="W127" s="3"/>
      <c r="AR127" cm="1">
        <f t="array" ref="AR127">SUMPRODUCT($B$162:$U$162,(B127:U127)/($B$11:$U$11))</f>
        <v>0</v>
      </c>
      <c r="AS127">
        <f t="shared" si="6"/>
        <v>0</v>
      </c>
      <c r="AT127" t="e">
        <f t="shared" si="7"/>
        <v>#DIV/0!</v>
      </c>
      <c r="AU127" cm="1">
        <f t="array" ref="AU127">SUMPRODUCT($X$162:$AQ$162,(X127:AQ127)/($X$11:$AQ$11))</f>
        <v>0</v>
      </c>
      <c r="AV127">
        <f t="shared" si="8"/>
        <v>0</v>
      </c>
      <c r="AW127">
        <f t="shared" si="9"/>
        <v>0</v>
      </c>
      <c r="AX127">
        <f t="shared" si="10"/>
        <v>0</v>
      </c>
    </row>
    <row r="128" spans="1:50" x14ac:dyDescent="0.2">
      <c r="A128" s="3"/>
      <c r="V128" s="6"/>
      <c r="W128" s="3"/>
      <c r="AR128" cm="1">
        <f t="array" ref="AR128">SUMPRODUCT($B$162:$U$162,(B128:U128)/($B$11:$U$11))</f>
        <v>0</v>
      </c>
      <c r="AS128">
        <f t="shared" si="6"/>
        <v>0</v>
      </c>
      <c r="AT128" t="e">
        <f t="shared" si="7"/>
        <v>#DIV/0!</v>
      </c>
      <c r="AU128" cm="1">
        <f t="array" ref="AU128">SUMPRODUCT($X$162:$AQ$162,(X128:AQ128)/($X$11:$AQ$11))</f>
        <v>0</v>
      </c>
      <c r="AV128">
        <f t="shared" si="8"/>
        <v>0</v>
      </c>
      <c r="AW128">
        <f t="shared" si="9"/>
        <v>0</v>
      </c>
      <c r="AX128">
        <f t="shared" si="10"/>
        <v>0</v>
      </c>
    </row>
    <row r="129" spans="1:50" x14ac:dyDescent="0.2">
      <c r="A129" s="3"/>
      <c r="V129" s="6"/>
      <c r="W129" s="3"/>
      <c r="AR129" cm="1">
        <f t="array" ref="AR129">SUMPRODUCT($B$162:$U$162,(B129:U129)/($B$11:$U$11))</f>
        <v>0</v>
      </c>
      <c r="AS129">
        <f t="shared" si="6"/>
        <v>0</v>
      </c>
      <c r="AT129" t="e">
        <f t="shared" si="7"/>
        <v>#DIV/0!</v>
      </c>
      <c r="AU129" cm="1">
        <f t="array" ref="AU129">SUMPRODUCT($X$162:$AQ$162,(X129:AQ129)/($X$11:$AQ$11))</f>
        <v>0</v>
      </c>
      <c r="AV129">
        <f t="shared" si="8"/>
        <v>0</v>
      </c>
      <c r="AW129">
        <f t="shared" si="9"/>
        <v>0</v>
      </c>
      <c r="AX129">
        <f t="shared" si="10"/>
        <v>0</v>
      </c>
    </row>
    <row r="130" spans="1:50" x14ac:dyDescent="0.2">
      <c r="A130" s="3"/>
      <c r="V130" s="6"/>
      <c r="W130" s="3"/>
      <c r="AR130" cm="1">
        <f t="array" ref="AR130">SUMPRODUCT($B$162:$U$162,(B130:U130)/($B$11:$U$11))</f>
        <v>0</v>
      </c>
      <c r="AS130">
        <f t="shared" si="6"/>
        <v>0</v>
      </c>
      <c r="AT130" t="e">
        <f t="shared" si="7"/>
        <v>#DIV/0!</v>
      </c>
      <c r="AU130" cm="1">
        <f t="array" ref="AU130">SUMPRODUCT($X$162:$AQ$162,(X130:AQ130)/($X$11:$AQ$11))</f>
        <v>0</v>
      </c>
      <c r="AV130">
        <f t="shared" si="8"/>
        <v>0</v>
      </c>
      <c r="AW130">
        <f t="shared" si="9"/>
        <v>0</v>
      </c>
      <c r="AX130">
        <f t="shared" si="10"/>
        <v>0</v>
      </c>
    </row>
    <row r="131" spans="1:50" x14ac:dyDescent="0.2">
      <c r="A131" s="3"/>
      <c r="V131" s="6"/>
      <c r="W131" s="3"/>
      <c r="AR131" cm="1">
        <f t="array" ref="AR131">SUMPRODUCT($B$162:$U$162,(B131:U131)/($B$11:$U$11))</f>
        <v>0</v>
      </c>
      <c r="AS131">
        <f t="shared" si="6"/>
        <v>0</v>
      </c>
      <c r="AT131" t="e">
        <f t="shared" si="7"/>
        <v>#DIV/0!</v>
      </c>
      <c r="AU131" cm="1">
        <f t="array" ref="AU131">SUMPRODUCT($X$162:$AQ$162,(X131:AQ131)/($X$11:$AQ$11))</f>
        <v>0</v>
      </c>
      <c r="AV131">
        <f t="shared" si="8"/>
        <v>0</v>
      </c>
      <c r="AW131">
        <f t="shared" si="9"/>
        <v>0</v>
      </c>
      <c r="AX131">
        <f t="shared" si="10"/>
        <v>0</v>
      </c>
    </row>
    <row r="132" spans="1:50" x14ac:dyDescent="0.2">
      <c r="A132" s="3"/>
      <c r="V132" s="6"/>
      <c r="W132" s="3"/>
      <c r="AR132" cm="1">
        <f t="array" ref="AR132">SUMPRODUCT($B$162:$U$162,(B132:U132)/($B$11:$U$11))</f>
        <v>0</v>
      </c>
      <c r="AS132">
        <f t="shared" si="6"/>
        <v>0</v>
      </c>
      <c r="AT132" t="e">
        <f t="shared" si="7"/>
        <v>#DIV/0!</v>
      </c>
      <c r="AU132" cm="1">
        <f t="array" ref="AU132">SUMPRODUCT($X$162:$AQ$162,(X132:AQ132)/($X$11:$AQ$11))</f>
        <v>0</v>
      </c>
      <c r="AV132">
        <f t="shared" si="8"/>
        <v>0</v>
      </c>
      <c r="AW132">
        <f t="shared" si="9"/>
        <v>0</v>
      </c>
      <c r="AX132">
        <f t="shared" si="10"/>
        <v>0</v>
      </c>
    </row>
    <row r="133" spans="1:50" x14ac:dyDescent="0.2">
      <c r="A133" s="3"/>
      <c r="V133" s="6"/>
      <c r="W133" s="3"/>
      <c r="AR133" cm="1">
        <f t="array" ref="AR133">SUMPRODUCT($B$162:$U$162,(B133:U133)/($B$11:$U$11))</f>
        <v>0</v>
      </c>
      <c r="AS133">
        <f t="shared" si="6"/>
        <v>0</v>
      </c>
      <c r="AT133" t="e">
        <f t="shared" si="7"/>
        <v>#DIV/0!</v>
      </c>
      <c r="AU133" cm="1">
        <f t="array" ref="AU133">SUMPRODUCT($X$162:$AQ$162,(X133:AQ133)/($X$11:$AQ$11))</f>
        <v>0</v>
      </c>
      <c r="AV133">
        <f t="shared" si="8"/>
        <v>0</v>
      </c>
      <c r="AW133">
        <f t="shared" si="9"/>
        <v>0</v>
      </c>
      <c r="AX133">
        <f t="shared" si="10"/>
        <v>0</v>
      </c>
    </row>
    <row r="134" spans="1:50" x14ac:dyDescent="0.2">
      <c r="A134" s="3"/>
      <c r="V134" s="6"/>
      <c r="W134" s="3"/>
      <c r="AR134" cm="1">
        <f t="array" ref="AR134">SUMPRODUCT($B$162:$U$162,(B134:U134)/($B$11:$U$11))</f>
        <v>0</v>
      </c>
      <c r="AS134">
        <f t="shared" si="6"/>
        <v>0</v>
      </c>
      <c r="AT134" t="e">
        <f t="shared" si="7"/>
        <v>#DIV/0!</v>
      </c>
      <c r="AU134" cm="1">
        <f t="array" ref="AU134">SUMPRODUCT($X$162:$AQ$162,(X134:AQ134)/($X$11:$AQ$11))</f>
        <v>0</v>
      </c>
      <c r="AV134">
        <f t="shared" si="8"/>
        <v>0</v>
      </c>
      <c r="AW134">
        <f t="shared" si="9"/>
        <v>0</v>
      </c>
      <c r="AX134">
        <f t="shared" si="10"/>
        <v>0</v>
      </c>
    </row>
    <row r="135" spans="1:50" x14ac:dyDescent="0.2">
      <c r="A135" s="3"/>
      <c r="V135" s="6"/>
      <c r="W135" s="3"/>
      <c r="AR135" cm="1">
        <f t="array" ref="AR135">SUMPRODUCT($B$162:$U$162,(B135:U135)/($B$11:$U$11))</f>
        <v>0</v>
      </c>
      <c r="AS135">
        <f t="shared" si="6"/>
        <v>0</v>
      </c>
      <c r="AT135" t="e">
        <f t="shared" si="7"/>
        <v>#DIV/0!</v>
      </c>
      <c r="AU135" cm="1">
        <f t="array" ref="AU135">SUMPRODUCT($X$162:$AQ$162,(X135:AQ135)/($X$11:$AQ$11))</f>
        <v>0</v>
      </c>
      <c r="AV135">
        <f t="shared" si="8"/>
        <v>0</v>
      </c>
      <c r="AW135">
        <f t="shared" si="9"/>
        <v>0</v>
      </c>
      <c r="AX135">
        <f t="shared" si="10"/>
        <v>0</v>
      </c>
    </row>
    <row r="136" spans="1:50" x14ac:dyDescent="0.2">
      <c r="A136" s="3"/>
      <c r="V136" s="6"/>
      <c r="W136" s="3"/>
      <c r="AR136" cm="1">
        <f t="array" ref="AR136">SUMPRODUCT($B$162:$U$162,(B136:U136)/($B$11:$U$11))</f>
        <v>0</v>
      </c>
      <c r="AS136">
        <f t="shared" si="6"/>
        <v>0</v>
      </c>
      <c r="AT136" t="e">
        <f t="shared" si="7"/>
        <v>#DIV/0!</v>
      </c>
      <c r="AU136" cm="1">
        <f t="array" ref="AU136">SUMPRODUCT($X$162:$AQ$162,(X136:AQ136)/($X$11:$AQ$11))</f>
        <v>0</v>
      </c>
      <c r="AV136">
        <f t="shared" si="8"/>
        <v>0</v>
      </c>
      <c r="AW136">
        <f t="shared" si="9"/>
        <v>0</v>
      </c>
      <c r="AX136">
        <f t="shared" si="10"/>
        <v>0</v>
      </c>
    </row>
    <row r="137" spans="1:50" x14ac:dyDescent="0.2">
      <c r="A137" s="3"/>
      <c r="V137" s="6"/>
      <c r="W137" s="3"/>
      <c r="AR137" cm="1">
        <f t="array" ref="AR137">SUMPRODUCT($B$162:$U$162,(B137:U137)/($B$11:$U$11))</f>
        <v>0</v>
      </c>
      <c r="AS137">
        <f t="shared" si="6"/>
        <v>0</v>
      </c>
      <c r="AT137" t="e">
        <f t="shared" si="7"/>
        <v>#DIV/0!</v>
      </c>
      <c r="AU137" cm="1">
        <f t="array" ref="AU137">SUMPRODUCT($X$162:$AQ$162,(X137:AQ137)/($X$11:$AQ$11))</f>
        <v>0</v>
      </c>
      <c r="AV137">
        <f t="shared" si="8"/>
        <v>0</v>
      </c>
      <c r="AW137">
        <f t="shared" si="9"/>
        <v>0</v>
      </c>
      <c r="AX137">
        <f t="shared" si="10"/>
        <v>0</v>
      </c>
    </row>
    <row r="138" spans="1:50" x14ac:dyDescent="0.2">
      <c r="A138" s="3"/>
      <c r="V138" s="6"/>
      <c r="W138" s="3"/>
      <c r="AR138" cm="1">
        <f t="array" ref="AR138">SUMPRODUCT($B$162:$U$162,(B138:U138)/($B$11:$U$11))</f>
        <v>0</v>
      </c>
      <c r="AS138">
        <f t="shared" si="6"/>
        <v>0</v>
      </c>
      <c r="AT138" t="e">
        <f t="shared" si="7"/>
        <v>#DIV/0!</v>
      </c>
      <c r="AU138" cm="1">
        <f t="array" ref="AU138">SUMPRODUCT($X$162:$AQ$162,(X138:AQ138)/($X$11:$AQ$11))</f>
        <v>0</v>
      </c>
      <c r="AV138">
        <f t="shared" si="8"/>
        <v>0</v>
      </c>
      <c r="AW138">
        <f t="shared" si="9"/>
        <v>0</v>
      </c>
      <c r="AX138">
        <f t="shared" si="10"/>
        <v>0</v>
      </c>
    </row>
    <row r="139" spans="1:50" x14ac:dyDescent="0.2">
      <c r="A139" s="3"/>
      <c r="V139" s="6"/>
      <c r="W139" s="3"/>
      <c r="AR139" cm="1">
        <f t="array" ref="AR139">SUMPRODUCT($B$162:$U$162,(B139:U139)/($B$11:$U$11))</f>
        <v>0</v>
      </c>
      <c r="AS139">
        <f t="shared" si="6"/>
        <v>0</v>
      </c>
      <c r="AT139" t="e">
        <f t="shared" si="7"/>
        <v>#DIV/0!</v>
      </c>
      <c r="AU139" cm="1">
        <f t="array" ref="AU139">SUMPRODUCT($X$162:$AQ$162,(X139:AQ139)/($X$11:$AQ$11))</f>
        <v>0</v>
      </c>
      <c r="AV139">
        <f t="shared" si="8"/>
        <v>0</v>
      </c>
      <c r="AW139">
        <f t="shared" si="9"/>
        <v>0</v>
      </c>
      <c r="AX139">
        <f t="shared" si="10"/>
        <v>0</v>
      </c>
    </row>
    <row r="140" spans="1:50" x14ac:dyDescent="0.2">
      <c r="A140" s="3"/>
      <c r="V140" s="6"/>
      <c r="W140" s="3"/>
      <c r="AR140" cm="1">
        <f t="array" ref="AR140">SUMPRODUCT($B$162:$U$162,(B140:U140)/($B$11:$U$11))</f>
        <v>0</v>
      </c>
      <c r="AS140">
        <f t="shared" si="6"/>
        <v>0</v>
      </c>
      <c r="AT140" t="e">
        <f t="shared" si="7"/>
        <v>#DIV/0!</v>
      </c>
      <c r="AU140" cm="1">
        <f t="array" ref="AU140">SUMPRODUCT($X$162:$AQ$162,(X140:AQ140)/($X$11:$AQ$11))</f>
        <v>0</v>
      </c>
      <c r="AV140">
        <f t="shared" si="8"/>
        <v>0</v>
      </c>
      <c r="AW140">
        <f t="shared" si="9"/>
        <v>0</v>
      </c>
      <c r="AX140">
        <f t="shared" si="10"/>
        <v>0</v>
      </c>
    </row>
    <row r="141" spans="1:50" x14ac:dyDescent="0.2">
      <c r="A141" s="3"/>
      <c r="V141" s="6"/>
      <c r="W141" s="3"/>
      <c r="AR141" cm="1">
        <f t="array" ref="AR141">SUMPRODUCT($B$162:$U$162,(B141:U141)/($B$11:$U$11))</f>
        <v>0</v>
      </c>
      <c r="AS141">
        <f t="shared" ref="AS141:AS156" si="11">AR141-AR140</f>
        <v>0</v>
      </c>
      <c r="AT141" t="e">
        <f t="shared" ref="AT141:AT156" si="12">AR141/AR140</f>
        <v>#DIV/0!</v>
      </c>
      <c r="AU141" cm="1">
        <f t="array" ref="AU141">SUMPRODUCT($X$162:$AQ$162,(X141:AQ141)/($X$11:$AQ$11))</f>
        <v>0</v>
      </c>
      <c r="AV141">
        <f t="shared" ref="AV141:AV156" si="13">AU141-AU140</f>
        <v>0</v>
      </c>
      <c r="AW141">
        <f t="shared" ref="AW141:AW156" si="14">IF(AV141&gt;0, -AV141, ABS(AV141))</f>
        <v>0</v>
      </c>
      <c r="AX141">
        <f t="shared" ref="AX141:AX156" si="15">AS141+AW141</f>
        <v>0</v>
      </c>
    </row>
    <row r="142" spans="1:50" x14ac:dyDescent="0.2">
      <c r="A142" s="3"/>
      <c r="V142" s="6"/>
      <c r="W142" s="3"/>
      <c r="AR142" cm="1">
        <f t="array" ref="AR142">SUMPRODUCT($B$162:$U$162,(B142:U142)/($B$11:$U$11))</f>
        <v>0</v>
      </c>
      <c r="AS142">
        <f t="shared" si="11"/>
        <v>0</v>
      </c>
      <c r="AT142" t="e">
        <f t="shared" si="12"/>
        <v>#DIV/0!</v>
      </c>
      <c r="AU142" cm="1">
        <f t="array" ref="AU142">SUMPRODUCT($X$162:$AQ$162,(X142:AQ142)/($X$11:$AQ$11))</f>
        <v>0</v>
      </c>
      <c r="AV142">
        <f t="shared" si="13"/>
        <v>0</v>
      </c>
      <c r="AW142">
        <f t="shared" si="14"/>
        <v>0</v>
      </c>
      <c r="AX142">
        <f t="shared" si="15"/>
        <v>0</v>
      </c>
    </row>
    <row r="143" spans="1:50" x14ac:dyDescent="0.2">
      <c r="A143" s="3"/>
      <c r="V143" s="6"/>
      <c r="W143" s="3"/>
      <c r="AR143" cm="1">
        <f t="array" ref="AR143">SUMPRODUCT($B$162:$U$162,(B143:U143)/($B$11:$U$11))</f>
        <v>0</v>
      </c>
      <c r="AS143">
        <f t="shared" si="11"/>
        <v>0</v>
      </c>
      <c r="AT143" t="e">
        <f t="shared" si="12"/>
        <v>#DIV/0!</v>
      </c>
      <c r="AU143" cm="1">
        <f t="array" ref="AU143">SUMPRODUCT($X$162:$AQ$162,(X143:AQ143)/($X$11:$AQ$11))</f>
        <v>0</v>
      </c>
      <c r="AV143">
        <f t="shared" si="13"/>
        <v>0</v>
      </c>
      <c r="AW143">
        <f t="shared" si="14"/>
        <v>0</v>
      </c>
      <c r="AX143">
        <f t="shared" si="15"/>
        <v>0</v>
      </c>
    </row>
    <row r="144" spans="1:50" x14ac:dyDescent="0.2">
      <c r="A144" s="3"/>
      <c r="V144" s="6"/>
      <c r="W144" s="3"/>
      <c r="AR144" cm="1">
        <f t="array" ref="AR144">SUMPRODUCT($B$162:$U$162,(B144:U144)/($B$11:$U$11))</f>
        <v>0</v>
      </c>
      <c r="AS144">
        <f t="shared" si="11"/>
        <v>0</v>
      </c>
      <c r="AT144" t="e">
        <f t="shared" si="12"/>
        <v>#DIV/0!</v>
      </c>
      <c r="AU144" cm="1">
        <f t="array" ref="AU144">SUMPRODUCT($X$162:$AQ$162,(X144:AQ144)/($X$11:$AQ$11))</f>
        <v>0</v>
      </c>
      <c r="AV144">
        <f t="shared" si="13"/>
        <v>0</v>
      </c>
      <c r="AW144">
        <f t="shared" si="14"/>
        <v>0</v>
      </c>
      <c r="AX144">
        <f t="shared" si="15"/>
        <v>0</v>
      </c>
    </row>
    <row r="145" spans="1:50" x14ac:dyDescent="0.2">
      <c r="A145" s="3"/>
      <c r="V145" s="6"/>
      <c r="W145" s="3"/>
      <c r="AR145" cm="1">
        <f t="array" ref="AR145">SUMPRODUCT($B$162:$U$162,(B145:U145)/($B$11:$U$11))</f>
        <v>0</v>
      </c>
      <c r="AS145">
        <f t="shared" si="11"/>
        <v>0</v>
      </c>
      <c r="AT145" t="e">
        <f t="shared" si="12"/>
        <v>#DIV/0!</v>
      </c>
      <c r="AU145" cm="1">
        <f t="array" ref="AU145">SUMPRODUCT($X$162:$AQ$162,(X145:AQ145)/($X$11:$AQ$11))</f>
        <v>0</v>
      </c>
      <c r="AV145">
        <f t="shared" si="13"/>
        <v>0</v>
      </c>
      <c r="AW145">
        <f t="shared" si="14"/>
        <v>0</v>
      </c>
      <c r="AX145">
        <f t="shared" si="15"/>
        <v>0</v>
      </c>
    </row>
    <row r="146" spans="1:50" x14ac:dyDescent="0.2">
      <c r="A146" s="3"/>
      <c r="V146" s="6"/>
      <c r="W146" s="3"/>
      <c r="AR146" cm="1">
        <f t="array" ref="AR146">SUMPRODUCT($B$162:$U$162,(B146:U146)/($B$11:$U$11))</f>
        <v>0</v>
      </c>
      <c r="AS146">
        <f t="shared" si="11"/>
        <v>0</v>
      </c>
      <c r="AT146" t="e">
        <f t="shared" si="12"/>
        <v>#DIV/0!</v>
      </c>
      <c r="AU146" cm="1">
        <f t="array" ref="AU146">SUMPRODUCT($X$162:$AQ$162,(X146:AQ146)/($X$11:$AQ$11))</f>
        <v>0</v>
      </c>
      <c r="AV146">
        <f t="shared" si="13"/>
        <v>0</v>
      </c>
      <c r="AW146">
        <f t="shared" si="14"/>
        <v>0</v>
      </c>
      <c r="AX146">
        <f t="shared" si="15"/>
        <v>0</v>
      </c>
    </row>
    <row r="147" spans="1:50" x14ac:dyDescent="0.2">
      <c r="A147" s="3"/>
      <c r="V147" s="6"/>
      <c r="W147" s="3"/>
      <c r="AR147" cm="1">
        <f t="array" ref="AR147">SUMPRODUCT($B$162:$U$162,(B147:U147)/($B$11:$U$11))</f>
        <v>0</v>
      </c>
      <c r="AS147">
        <f t="shared" si="11"/>
        <v>0</v>
      </c>
      <c r="AT147" t="e">
        <f t="shared" si="12"/>
        <v>#DIV/0!</v>
      </c>
      <c r="AU147" cm="1">
        <f t="array" ref="AU147">SUMPRODUCT($X$162:$AQ$162,(X147:AQ147)/($X$11:$AQ$11))</f>
        <v>0</v>
      </c>
      <c r="AV147">
        <f t="shared" si="13"/>
        <v>0</v>
      </c>
      <c r="AW147">
        <f t="shared" si="14"/>
        <v>0</v>
      </c>
      <c r="AX147">
        <f t="shared" si="15"/>
        <v>0</v>
      </c>
    </row>
    <row r="148" spans="1:50" x14ac:dyDescent="0.2">
      <c r="A148" s="3"/>
      <c r="V148" s="6"/>
      <c r="W148" s="3"/>
      <c r="AR148" cm="1">
        <f t="array" ref="AR148">SUMPRODUCT($B$162:$U$162,(B148:U148)/($B$11:$U$11))</f>
        <v>0</v>
      </c>
      <c r="AS148">
        <f t="shared" si="11"/>
        <v>0</v>
      </c>
      <c r="AT148" t="e">
        <f t="shared" si="12"/>
        <v>#DIV/0!</v>
      </c>
      <c r="AU148" cm="1">
        <f t="array" ref="AU148">SUMPRODUCT($X$162:$AQ$162,(X148:AQ148)/($X$11:$AQ$11))</f>
        <v>0</v>
      </c>
      <c r="AV148">
        <f t="shared" si="13"/>
        <v>0</v>
      </c>
      <c r="AW148">
        <f t="shared" si="14"/>
        <v>0</v>
      </c>
      <c r="AX148">
        <f t="shared" si="15"/>
        <v>0</v>
      </c>
    </row>
    <row r="149" spans="1:50" x14ac:dyDescent="0.2">
      <c r="A149" s="3"/>
      <c r="V149" s="6"/>
      <c r="W149" s="3"/>
      <c r="AR149" cm="1">
        <f t="array" ref="AR149">SUMPRODUCT($B$162:$U$162,(B149:U149)/($B$11:$U$11))</f>
        <v>0</v>
      </c>
      <c r="AS149">
        <f t="shared" si="11"/>
        <v>0</v>
      </c>
      <c r="AT149" t="e">
        <f t="shared" si="12"/>
        <v>#DIV/0!</v>
      </c>
      <c r="AU149" cm="1">
        <f t="array" ref="AU149">SUMPRODUCT($X$162:$AQ$162,(X149:AQ149)/($X$11:$AQ$11))</f>
        <v>0</v>
      </c>
      <c r="AV149">
        <f t="shared" si="13"/>
        <v>0</v>
      </c>
      <c r="AW149">
        <f t="shared" si="14"/>
        <v>0</v>
      </c>
      <c r="AX149">
        <f t="shared" si="15"/>
        <v>0</v>
      </c>
    </row>
    <row r="150" spans="1:50" x14ac:dyDescent="0.2">
      <c r="A150" s="3"/>
      <c r="V150" s="6"/>
      <c r="W150" s="3"/>
      <c r="AR150" cm="1">
        <f t="array" ref="AR150">SUMPRODUCT($B$162:$U$162,(B150:U150)/($B$11:$U$11))</f>
        <v>0</v>
      </c>
      <c r="AS150">
        <f t="shared" si="11"/>
        <v>0</v>
      </c>
      <c r="AT150" t="e">
        <f t="shared" si="12"/>
        <v>#DIV/0!</v>
      </c>
      <c r="AU150" cm="1">
        <f t="array" ref="AU150">SUMPRODUCT($X$162:$AQ$162,(X150:AQ150)/($X$11:$AQ$11))</f>
        <v>0</v>
      </c>
      <c r="AV150">
        <f t="shared" si="13"/>
        <v>0</v>
      </c>
      <c r="AW150">
        <f t="shared" si="14"/>
        <v>0</v>
      </c>
      <c r="AX150">
        <f t="shared" si="15"/>
        <v>0</v>
      </c>
    </row>
    <row r="151" spans="1:50" x14ac:dyDescent="0.2">
      <c r="A151" s="3"/>
      <c r="V151" s="6"/>
      <c r="W151" s="3"/>
      <c r="AR151" cm="1">
        <f t="array" ref="AR151">SUMPRODUCT($B$162:$U$162,(B151:U151)/($B$11:$U$11))</f>
        <v>0</v>
      </c>
      <c r="AS151">
        <f t="shared" si="11"/>
        <v>0</v>
      </c>
      <c r="AT151" t="e">
        <f t="shared" si="12"/>
        <v>#DIV/0!</v>
      </c>
      <c r="AU151" cm="1">
        <f t="array" ref="AU151">SUMPRODUCT($X$162:$AQ$162,(X151:AQ151)/($X$11:$AQ$11))</f>
        <v>0</v>
      </c>
      <c r="AV151">
        <f t="shared" si="13"/>
        <v>0</v>
      </c>
      <c r="AW151">
        <f t="shared" si="14"/>
        <v>0</v>
      </c>
      <c r="AX151">
        <f t="shared" si="15"/>
        <v>0</v>
      </c>
    </row>
    <row r="152" spans="1:50" x14ac:dyDescent="0.2">
      <c r="A152" s="3"/>
      <c r="V152" s="6"/>
      <c r="W152" s="3"/>
      <c r="AR152" cm="1">
        <f t="array" ref="AR152">SUMPRODUCT($B$162:$U$162,(B152:U152)/($B$11:$U$11))</f>
        <v>0</v>
      </c>
      <c r="AS152">
        <f t="shared" si="11"/>
        <v>0</v>
      </c>
      <c r="AT152" t="e">
        <f t="shared" si="12"/>
        <v>#DIV/0!</v>
      </c>
      <c r="AU152" cm="1">
        <f t="array" ref="AU152">SUMPRODUCT($X$162:$AQ$162,(X152:AQ152)/($X$11:$AQ$11))</f>
        <v>0</v>
      </c>
      <c r="AV152">
        <f t="shared" si="13"/>
        <v>0</v>
      </c>
      <c r="AW152">
        <f t="shared" si="14"/>
        <v>0</v>
      </c>
      <c r="AX152">
        <f t="shared" si="15"/>
        <v>0</v>
      </c>
    </row>
    <row r="153" spans="1:50" x14ac:dyDescent="0.2">
      <c r="A153" s="3"/>
      <c r="V153" s="6"/>
      <c r="W153" s="3"/>
      <c r="AR153" cm="1">
        <f t="array" ref="AR153">SUMPRODUCT($B$162:$U$162,(B153:U153)/($B$11:$U$11))</f>
        <v>0</v>
      </c>
      <c r="AS153">
        <f t="shared" si="11"/>
        <v>0</v>
      </c>
      <c r="AT153" t="e">
        <f t="shared" si="12"/>
        <v>#DIV/0!</v>
      </c>
      <c r="AU153" cm="1">
        <f t="array" ref="AU153">SUMPRODUCT($X$162:$AQ$162,(X153:AQ153)/($X$11:$AQ$11))</f>
        <v>0</v>
      </c>
      <c r="AV153">
        <f t="shared" si="13"/>
        <v>0</v>
      </c>
      <c r="AW153">
        <f t="shared" si="14"/>
        <v>0</v>
      </c>
      <c r="AX153">
        <f t="shared" si="15"/>
        <v>0</v>
      </c>
    </row>
    <row r="154" spans="1:50" x14ac:dyDescent="0.2">
      <c r="A154" s="3"/>
      <c r="V154" s="6"/>
      <c r="W154" s="3"/>
      <c r="AR154" cm="1">
        <f t="array" ref="AR154">SUMPRODUCT($B$162:$U$162,(B154:U154)/($B$11:$U$11))</f>
        <v>0</v>
      </c>
      <c r="AS154">
        <f t="shared" si="11"/>
        <v>0</v>
      </c>
      <c r="AT154" t="e">
        <f t="shared" si="12"/>
        <v>#DIV/0!</v>
      </c>
      <c r="AU154" cm="1">
        <f t="array" ref="AU154">SUMPRODUCT($X$162:$AQ$162,(X154:AQ154)/($X$11:$AQ$11))</f>
        <v>0</v>
      </c>
      <c r="AV154">
        <f t="shared" si="13"/>
        <v>0</v>
      </c>
      <c r="AW154">
        <f t="shared" si="14"/>
        <v>0</v>
      </c>
      <c r="AX154">
        <f t="shared" si="15"/>
        <v>0</v>
      </c>
    </row>
    <row r="155" spans="1:50" x14ac:dyDescent="0.2">
      <c r="A155" s="3"/>
      <c r="V155" s="6"/>
      <c r="W155" s="3"/>
      <c r="AR155" cm="1">
        <f t="array" ref="AR155">SUMPRODUCT($B$162:$U$162,(B155:U155)/($B$11:$U$11))</f>
        <v>0</v>
      </c>
      <c r="AS155">
        <f t="shared" si="11"/>
        <v>0</v>
      </c>
      <c r="AT155" t="e">
        <f t="shared" si="12"/>
        <v>#DIV/0!</v>
      </c>
      <c r="AU155" cm="1">
        <f t="array" ref="AU155">SUMPRODUCT($X$162:$AQ$162,(X155:AQ155)/($X$11:$AQ$11))</f>
        <v>0</v>
      </c>
      <c r="AV155">
        <f t="shared" si="13"/>
        <v>0</v>
      </c>
      <c r="AW155">
        <f t="shared" si="14"/>
        <v>0</v>
      </c>
      <c r="AX155">
        <f t="shared" si="15"/>
        <v>0</v>
      </c>
    </row>
    <row r="156" spans="1:50" x14ac:dyDescent="0.2">
      <c r="A156" s="3"/>
      <c r="V156" s="6"/>
      <c r="W156" s="3"/>
      <c r="AR156" cm="1">
        <f t="array" ref="AR156">SUMPRODUCT($B$162:$U$162,(B156:U156)/($B$11:$U$11))</f>
        <v>0</v>
      </c>
      <c r="AS156">
        <f t="shared" si="11"/>
        <v>0</v>
      </c>
      <c r="AT156" t="e">
        <f t="shared" si="12"/>
        <v>#DIV/0!</v>
      </c>
      <c r="AU156" cm="1">
        <f t="array" ref="AU156">SUMPRODUCT($X$162:$AQ$162,(X156:AQ156)/($X$11:$AQ$11))</f>
        <v>0</v>
      </c>
      <c r="AV156">
        <f t="shared" si="13"/>
        <v>0</v>
      </c>
      <c r="AW156">
        <f t="shared" si="14"/>
        <v>0</v>
      </c>
      <c r="AX156">
        <f t="shared" si="15"/>
        <v>0</v>
      </c>
    </row>
    <row r="157" spans="1:50" x14ac:dyDescent="0.2">
      <c r="A157" s="3"/>
      <c r="V157" s="6"/>
      <c r="W157" s="3"/>
      <c r="AF157" s="2"/>
    </row>
    <row r="158" spans="1:50" x14ac:dyDescent="0.2">
      <c r="V158" s="6"/>
    </row>
    <row r="159" spans="1:50" x14ac:dyDescent="0.2">
      <c r="A159" t="s">
        <v>28</v>
      </c>
      <c r="B159">
        <f>B57-B11</f>
        <v>-47.149999999999977</v>
      </c>
      <c r="C159">
        <f t="shared" ref="C159:U159" si="16">C57-C11</f>
        <v>27.620000000000005</v>
      </c>
      <c r="D159">
        <f t="shared" si="16"/>
        <v>6.3199999999999932</v>
      </c>
      <c r="E159">
        <f t="shared" si="16"/>
        <v>6.5099999999999909</v>
      </c>
      <c r="F159">
        <f t="shared" si="16"/>
        <v>-13.350000000000023</v>
      </c>
      <c r="G159">
        <f t="shared" si="16"/>
        <v>3.5800000000000125</v>
      </c>
      <c r="H159">
        <f t="shared" si="16"/>
        <v>49.550298810000015</v>
      </c>
      <c r="I159">
        <f t="shared" si="16"/>
        <v>12.780000000000001</v>
      </c>
      <c r="J159">
        <f t="shared" si="16"/>
        <v>7.8500000000000014</v>
      </c>
      <c r="K159">
        <f t="shared" si="16"/>
        <v>115.01999999999998</v>
      </c>
      <c r="L159">
        <f t="shared" si="16"/>
        <v>25.379999999999995</v>
      </c>
      <c r="M159">
        <f t="shared" si="16"/>
        <v>12.810000000000009</v>
      </c>
      <c r="N159">
        <f t="shared" si="16"/>
        <v>-14.449999999999932</v>
      </c>
      <c r="O159">
        <f t="shared" si="16"/>
        <v>11.310000000000002</v>
      </c>
      <c r="P159">
        <f t="shared" si="16"/>
        <v>34.210000000000008</v>
      </c>
      <c r="Q159">
        <f t="shared" si="16"/>
        <v>4.4200000000000017</v>
      </c>
      <c r="R159">
        <f t="shared" si="16"/>
        <v>38.03</v>
      </c>
      <c r="S159">
        <f t="shared" si="16"/>
        <v>-10.909999999999997</v>
      </c>
      <c r="T159">
        <f t="shared" si="16"/>
        <v>38.919999999999987</v>
      </c>
      <c r="U159">
        <f t="shared" si="16"/>
        <v>-3.0799999999999983</v>
      </c>
      <c r="V159" s="6"/>
      <c r="W159" t="s">
        <v>28</v>
      </c>
      <c r="X159">
        <f>X57-X11</f>
        <v>17.329999999999984</v>
      </c>
      <c r="Y159">
        <f t="shared" ref="Y159:AQ159" si="17">Y57-Y11</f>
        <v>7.2199999999999989</v>
      </c>
      <c r="Z159">
        <f t="shared" si="17"/>
        <v>1.2528614200000021</v>
      </c>
      <c r="AA159">
        <f t="shared" si="17"/>
        <v>20.36</v>
      </c>
      <c r="AB159">
        <f t="shared" si="17"/>
        <v>-8.2599999999999909</v>
      </c>
      <c r="AC159">
        <f t="shared" si="17"/>
        <v>-0.71999999999997044</v>
      </c>
      <c r="AD159">
        <f t="shared" si="17"/>
        <v>23.349999999999994</v>
      </c>
      <c r="AE159">
        <f t="shared" si="17"/>
        <v>8.2299999999999898</v>
      </c>
      <c r="AF159">
        <f t="shared" si="17"/>
        <v>-0.83000000000001251</v>
      </c>
      <c r="AG159">
        <f t="shared" si="17"/>
        <v>3.9500000000000028</v>
      </c>
      <c r="AH159">
        <f t="shared" si="17"/>
        <v>2.1700000000000017</v>
      </c>
      <c r="AI159">
        <f t="shared" si="17"/>
        <v>-12.149999999999991</v>
      </c>
      <c r="AJ159">
        <f t="shared" si="17"/>
        <v>0.99000000000000199</v>
      </c>
      <c r="AK159">
        <f t="shared" si="17"/>
        <v>19.460000000000036</v>
      </c>
      <c r="AL159">
        <f t="shared" si="17"/>
        <v>7.3799999999999955</v>
      </c>
      <c r="AM159">
        <f t="shared" si="17"/>
        <v>-1.3900000000000148</v>
      </c>
      <c r="AN159">
        <f t="shared" si="17"/>
        <v>25.020000000000003</v>
      </c>
      <c r="AO159">
        <f t="shared" si="17"/>
        <v>20.350000000000001</v>
      </c>
      <c r="AP159">
        <f t="shared" si="17"/>
        <v>-23.510000000000048</v>
      </c>
      <c r="AQ159">
        <f t="shared" si="17"/>
        <v>16.86</v>
      </c>
      <c r="AX159">
        <f>SUM(AX11:AX156)</f>
        <v>0</v>
      </c>
    </row>
    <row r="160" spans="1:50" x14ac:dyDescent="0.2">
      <c r="A160" t="s">
        <v>29</v>
      </c>
      <c r="B160">
        <f>B57/B11</f>
        <v>0.90937223695844394</v>
      </c>
      <c r="C160">
        <f t="shared" ref="C160:U160" si="18">C57/C11</f>
        <v>1.1526135484583933</v>
      </c>
      <c r="D160">
        <f t="shared" si="18"/>
        <v>1.0375787846355096</v>
      </c>
      <c r="E160">
        <f t="shared" si="18"/>
        <v>1.049520766773163</v>
      </c>
      <c r="F160">
        <f t="shared" si="18"/>
        <v>0.95495343501147245</v>
      </c>
      <c r="G160">
        <f t="shared" si="18"/>
        <v>1.0387194462470259</v>
      </c>
      <c r="H160">
        <f t="shared" si="18"/>
        <v>1.165825602758771</v>
      </c>
      <c r="I160">
        <f t="shared" si="18"/>
        <v>1.1257626451485927</v>
      </c>
      <c r="J160">
        <f t="shared" si="18"/>
        <v>1.2323860272350504</v>
      </c>
      <c r="K160">
        <f t="shared" si="18"/>
        <v>1.3765098693901601</v>
      </c>
      <c r="L160">
        <f t="shared" si="18"/>
        <v>1.2823136818687431</v>
      </c>
      <c r="M160">
        <f t="shared" si="18"/>
        <v>1.2126847086169685</v>
      </c>
      <c r="N160">
        <f t="shared" si="18"/>
        <v>0.98088371477708702</v>
      </c>
      <c r="O160">
        <f t="shared" si="18"/>
        <v>1.0498633277488758</v>
      </c>
      <c r="P160">
        <f t="shared" si="18"/>
        <v>1.4018559849641725</v>
      </c>
      <c r="Q160">
        <f t="shared" si="18"/>
        <v>1.0529468136080498</v>
      </c>
      <c r="R160">
        <f t="shared" si="18"/>
        <v>1.2686493359706132</v>
      </c>
      <c r="S160">
        <f t="shared" si="18"/>
        <v>0.94405701979284173</v>
      </c>
      <c r="T160">
        <f t="shared" si="18"/>
        <v>1.2898421209413165</v>
      </c>
      <c r="U160">
        <f t="shared" si="18"/>
        <v>0.90431811121466299</v>
      </c>
      <c r="V160" s="6"/>
      <c r="W160" t="s">
        <v>29</v>
      </c>
      <c r="X160">
        <f>X57/X11</f>
        <v>1.1210111025766356</v>
      </c>
      <c r="Y160">
        <f t="shared" ref="Y160:AQ160" si="19">Y57/Y11</f>
        <v>1.0942189742920527</v>
      </c>
      <c r="Z160">
        <f t="shared" si="19"/>
        <v>1.0725155623541918</v>
      </c>
      <c r="AA160">
        <f t="shared" si="19"/>
        <v>1.5106596438424882</v>
      </c>
      <c r="AB160">
        <f t="shared" si="19"/>
        <v>0.94665805618340337</v>
      </c>
      <c r="AC160">
        <f t="shared" si="19"/>
        <v>0.99795970415710289</v>
      </c>
      <c r="AD160">
        <f t="shared" si="19"/>
        <v>1.1145169200588523</v>
      </c>
      <c r="AE160">
        <f t="shared" si="19"/>
        <v>1.044953025999563</v>
      </c>
      <c r="AF160">
        <f t="shared" si="19"/>
        <v>0.99219924812030058</v>
      </c>
      <c r="AG160">
        <f t="shared" si="19"/>
        <v>1.0953185328185329</v>
      </c>
      <c r="AH160">
        <f t="shared" si="19"/>
        <v>1.028983571523975</v>
      </c>
      <c r="AI160">
        <f t="shared" si="19"/>
        <v>0.89841137123745829</v>
      </c>
      <c r="AJ160">
        <f t="shared" si="19"/>
        <v>1.030414746543779</v>
      </c>
      <c r="AK160">
        <f t="shared" si="19"/>
        <v>1.0657787993510006</v>
      </c>
      <c r="AL160">
        <f t="shared" si="19"/>
        <v>1.0887979785826014</v>
      </c>
      <c r="AM160">
        <f t="shared" si="19"/>
        <v>0.98976209766516898</v>
      </c>
      <c r="AN160">
        <f t="shared" si="19"/>
        <v>1.4915520628683694</v>
      </c>
      <c r="AO160">
        <f t="shared" si="19"/>
        <v>1.8579258010118045</v>
      </c>
      <c r="AP160">
        <f t="shared" si="19"/>
        <v>0.95335687643837785</v>
      </c>
      <c r="AQ160">
        <f t="shared" si="19"/>
        <v>1.1929724161611537</v>
      </c>
    </row>
    <row r="161" spans="1:43" x14ac:dyDescent="0.2">
      <c r="V161" s="6"/>
    </row>
    <row r="162" spans="1:43" x14ac:dyDescent="0.2">
      <c r="A162" t="s">
        <v>30</v>
      </c>
      <c r="B162">
        <f>B8*$B$1</f>
        <v>69.815017233385504</v>
      </c>
      <c r="C162">
        <f t="shared" ref="C162:U162" si="20">C8*$B$1</f>
        <v>42.187995766238366</v>
      </c>
      <c r="D162">
        <f t="shared" si="20"/>
        <v>71.910773084857553</v>
      </c>
      <c r="E162">
        <f t="shared" si="20"/>
        <v>139.64642646560705</v>
      </c>
      <c r="F162">
        <f t="shared" si="20"/>
        <v>250.00000000000006</v>
      </c>
      <c r="G162">
        <f t="shared" si="20"/>
        <v>155.73859325003099</v>
      </c>
      <c r="H162">
        <f t="shared" si="20"/>
        <v>53.701371521860153</v>
      </c>
      <c r="I162">
        <f t="shared" si="20"/>
        <v>67.729823247065596</v>
      </c>
      <c r="J162">
        <f>J8*$B$1</f>
        <v>250.00000000000006</v>
      </c>
      <c r="K162">
        <f t="shared" si="20"/>
        <v>172.07984999056885</v>
      </c>
      <c r="L162">
        <f t="shared" si="20"/>
        <v>89.141309283231749</v>
      </c>
      <c r="M162">
        <f t="shared" si="20"/>
        <v>51.876402961045599</v>
      </c>
      <c r="N162">
        <f t="shared" si="20"/>
        <v>208.83692992596107</v>
      </c>
      <c r="O162">
        <f t="shared" si="20"/>
        <v>197.52170562614032</v>
      </c>
      <c r="P162">
        <f t="shared" si="20"/>
        <v>116.73730202924349</v>
      </c>
      <c r="Q162">
        <f t="shared" si="20"/>
        <v>197.83189683015428</v>
      </c>
      <c r="R162">
        <f t="shared" si="20"/>
        <v>73.126091388331602</v>
      </c>
      <c r="S162">
        <f t="shared" si="20"/>
        <v>142.32934146036979</v>
      </c>
      <c r="T162">
        <f t="shared" si="20"/>
        <v>70.433716454463053</v>
      </c>
      <c r="U162">
        <f t="shared" si="20"/>
        <v>79.355453481444755</v>
      </c>
      <c r="V162" s="6"/>
      <c r="W162" t="s">
        <v>30</v>
      </c>
      <c r="X162">
        <f>X8*$B$1</f>
        <v>250.00000000000006</v>
      </c>
      <c r="Y162">
        <f t="shared" ref="Y162:AQ162" si="21">Y8*$B$1</f>
        <v>114.42436444668381</v>
      </c>
      <c r="Z162">
        <f t="shared" si="21"/>
        <v>45.983092509223354</v>
      </c>
      <c r="AA162">
        <f t="shared" si="21"/>
        <v>54.575772461841701</v>
      </c>
      <c r="AB162">
        <f t="shared" si="21"/>
        <v>86.745142271664207</v>
      </c>
      <c r="AC162">
        <f t="shared" si="21"/>
        <v>97.83929762651951</v>
      </c>
      <c r="AD162">
        <f t="shared" si="21"/>
        <v>250.00000000000006</v>
      </c>
      <c r="AE162">
        <f t="shared" si="21"/>
        <v>56.243690477523998</v>
      </c>
      <c r="AF162">
        <f t="shared" si="21"/>
        <v>222.86530478917814</v>
      </c>
      <c r="AG162">
        <f t="shared" si="21"/>
        <v>37.130951789339392</v>
      </c>
      <c r="AH162">
        <f t="shared" si="21"/>
        <v>171.17126000646158</v>
      </c>
      <c r="AI162">
        <f t="shared" si="21"/>
        <v>26.707779794223274</v>
      </c>
      <c r="AJ162">
        <f t="shared" si="21"/>
        <v>153.28984170165631</v>
      </c>
      <c r="AK162">
        <f t="shared" si="21"/>
        <v>35.788885815479397</v>
      </c>
      <c r="AL162">
        <f t="shared" si="21"/>
        <v>136.90565376807535</v>
      </c>
      <c r="AM162">
        <f t="shared" si="21"/>
        <v>250.00000000000006</v>
      </c>
      <c r="AN162">
        <f t="shared" si="21"/>
        <v>103.46401008354411</v>
      </c>
      <c r="AO162">
        <f t="shared" si="21"/>
        <v>71.175544737646902</v>
      </c>
      <c r="AP162">
        <f t="shared" si="21"/>
        <v>189.39379089787764</v>
      </c>
      <c r="AQ162">
        <f t="shared" si="21"/>
        <v>146.29561682306141</v>
      </c>
    </row>
    <row r="163" spans="1:43" x14ac:dyDescent="0.2">
      <c r="A163" t="s">
        <v>31</v>
      </c>
      <c r="B163">
        <f>B160*B162</f>
        <v>63.487838394816087</v>
      </c>
      <c r="C163">
        <f t="shared" ref="C163:U163" si="22">C160*C162</f>
        <v>48.626455502471671</v>
      </c>
      <c r="D163">
        <f t="shared" si="22"/>
        <v>74.613092539586418</v>
      </c>
      <c r="E163">
        <f t="shared" si="22"/>
        <v>146.56182458131602</v>
      </c>
      <c r="F163">
        <f t="shared" si="22"/>
        <v>238.73835875286818</v>
      </c>
      <c r="G163">
        <f t="shared" si="22"/>
        <v>161.76870533996299</v>
      </c>
      <c r="H163">
        <f t="shared" si="22"/>
        <v>62.606433823445315</v>
      </c>
      <c r="I163">
        <f t="shared" si="22"/>
        <v>76.247704974063211</v>
      </c>
      <c r="J163">
        <f t="shared" si="22"/>
        <v>308.09650680876268</v>
      </c>
      <c r="K163">
        <f t="shared" si="22"/>
        <v>236.86961183519625</v>
      </c>
      <c r="L163">
        <f t="shared" si="22"/>
        <v>114.30712051358127</v>
      </c>
      <c r="M163">
        <f t="shared" si="22"/>
        <v>62.909720608912025</v>
      </c>
      <c r="N163">
        <f t="shared" si="22"/>
        <v>204.84474360841892</v>
      </c>
      <c r="O163">
        <f t="shared" si="22"/>
        <v>207.37079517129351</v>
      </c>
      <c r="P163">
        <f t="shared" si="22"/>
        <v>163.64888551826525</v>
      </c>
      <c r="Q163">
        <f t="shared" si="22"/>
        <v>208.30646539734738</v>
      </c>
      <c r="R163">
        <f t="shared" si="22"/>
        <v>92.771367281933266</v>
      </c>
      <c r="S163">
        <f t="shared" si="22"/>
        <v>134.36701392815445</v>
      </c>
      <c r="T163">
        <f t="shared" si="22"/>
        <v>90.848374217403929</v>
      </c>
      <c r="U163">
        <f t="shared" si="22"/>
        <v>71.762573806923172</v>
      </c>
      <c r="V163" s="6"/>
      <c r="W163" t="s">
        <v>31</v>
      </c>
      <c r="X163">
        <f>X162*X160</f>
        <v>280.25277564415899</v>
      </c>
      <c r="Y163">
        <f t="shared" ref="Y163:AQ163" si="23">Y162*Y160</f>
        <v>125.20531069887038</v>
      </c>
      <c r="Z163">
        <f t="shared" si="23"/>
        <v>49.317582321314511</v>
      </c>
      <c r="AA163">
        <f>AA162*AA160</f>
        <v>82.445416989634452</v>
      </c>
      <c r="AB163">
        <f t="shared" si="23"/>
        <v>82.117987766246415</v>
      </c>
      <c r="AC163">
        <f t="shared" si="23"/>
        <v>97.639676514300149</v>
      </c>
      <c r="AD163">
        <f t="shared" si="23"/>
        <v>278.62923001471313</v>
      </c>
      <c r="AE163">
        <f t="shared" si="23"/>
        <v>58.772014557871508</v>
      </c>
      <c r="AF163">
        <f t="shared" si="23"/>
        <v>221.12678784392418</v>
      </c>
      <c r="AG163">
        <f t="shared" si="23"/>
        <v>40.670219636054902</v>
      </c>
      <c r="AH163">
        <f t="shared" si="23"/>
        <v>176.13241446370779</v>
      </c>
      <c r="AI163">
        <f t="shared" si="23"/>
        <v>23.994573067636214</v>
      </c>
      <c r="AJ163">
        <f t="shared" si="23"/>
        <v>157.9521133847482</v>
      </c>
      <c r="AK163">
        <f t="shared" si="23"/>
        <v>38.143035754531688</v>
      </c>
      <c r="AL163">
        <f t="shared" si="23"/>
        <v>149.06259907920995</v>
      </c>
      <c r="AM163">
        <f t="shared" si="23"/>
        <v>247.44052441629231</v>
      </c>
      <c r="AN163">
        <f t="shared" si="23"/>
        <v>154.32195767274399</v>
      </c>
      <c r="AO163">
        <f t="shared" si="23"/>
        <v>132.23888096914413</v>
      </c>
      <c r="AP163">
        <f t="shared" si="23"/>
        <v>180.55987290722391</v>
      </c>
      <c r="AQ163">
        <f t="shared" si="23"/>
        <v>174.5266354751939</v>
      </c>
    </row>
    <row r="164" spans="1:43" x14ac:dyDescent="0.2">
      <c r="A164" t="s">
        <v>32</v>
      </c>
      <c r="B164">
        <f>B163-B162</f>
        <v>-6.3271788385694165</v>
      </c>
      <c r="C164">
        <f t="shared" ref="C164:U164" si="24">C163-C162</f>
        <v>6.4384597362333054</v>
      </c>
      <c r="D164">
        <f t="shared" si="24"/>
        <v>2.7023194547288654</v>
      </c>
      <c r="E164">
        <f t="shared" si="24"/>
        <v>6.9153981157089675</v>
      </c>
      <c r="F164" s="18">
        <f t="shared" si="24"/>
        <v>-11.261641247131877</v>
      </c>
      <c r="G164">
        <f t="shared" si="24"/>
        <v>6.030112089932004</v>
      </c>
      <c r="H164">
        <f t="shared" si="24"/>
        <v>8.9050623015851613</v>
      </c>
      <c r="I164">
        <f t="shared" si="24"/>
        <v>8.517881726997615</v>
      </c>
      <c r="J164">
        <f t="shared" si="24"/>
        <v>58.096506808762626</v>
      </c>
      <c r="K164">
        <f t="shared" si="24"/>
        <v>64.789761844627407</v>
      </c>
      <c r="L164">
        <f t="shared" si="24"/>
        <v>25.165811230349519</v>
      </c>
      <c r="M164">
        <f t="shared" si="24"/>
        <v>11.033317647866426</v>
      </c>
      <c r="N164">
        <f t="shared" si="24"/>
        <v>-3.9921863175421493</v>
      </c>
      <c r="O164">
        <f t="shared" si="24"/>
        <v>9.8490895451531912</v>
      </c>
      <c r="P164">
        <f t="shared" si="24"/>
        <v>46.911583489021751</v>
      </c>
      <c r="Q164">
        <f t="shared" si="24"/>
        <v>10.474568567193103</v>
      </c>
      <c r="R164">
        <f t="shared" si="24"/>
        <v>19.645275893601664</v>
      </c>
      <c r="S164">
        <f t="shared" si="24"/>
        <v>-7.9623275322153404</v>
      </c>
      <c r="T164">
        <f t="shared" si="24"/>
        <v>20.414657762940877</v>
      </c>
      <c r="U164">
        <f t="shared" si="24"/>
        <v>-7.5928796745215834</v>
      </c>
      <c r="V164" s="6"/>
      <c r="W164" t="s">
        <v>32</v>
      </c>
      <c r="X164">
        <f>X162-X163</f>
        <v>-30.25277564415893</v>
      </c>
      <c r="Y164">
        <f t="shared" ref="Y164:AQ164" si="25">Y162-Y163</f>
        <v>-10.780946252186567</v>
      </c>
      <c r="Z164">
        <f t="shared" si="25"/>
        <v>-3.3344898120911566</v>
      </c>
      <c r="AA164">
        <f t="shared" si="25"/>
        <v>-27.869644527792751</v>
      </c>
      <c r="AB164">
        <f t="shared" si="25"/>
        <v>4.6271545054177921</v>
      </c>
      <c r="AC164">
        <f t="shared" si="25"/>
        <v>0.19962111221936141</v>
      </c>
      <c r="AD164">
        <f t="shared" si="25"/>
        <v>-28.629230014713073</v>
      </c>
      <c r="AE164">
        <f t="shared" si="25"/>
        <v>-2.5283240803475096</v>
      </c>
      <c r="AF164">
        <f t="shared" si="25"/>
        <v>1.7385169452539628</v>
      </c>
      <c r="AG164">
        <f t="shared" si="25"/>
        <v>-3.5392678467155108</v>
      </c>
      <c r="AH164">
        <f t="shared" si="25"/>
        <v>-4.9611544572462094</v>
      </c>
      <c r="AI164">
        <f t="shared" si="25"/>
        <v>2.7132067265870603</v>
      </c>
      <c r="AJ164">
        <f t="shared" si="25"/>
        <v>-4.6622716830918876</v>
      </c>
      <c r="AK164">
        <f t="shared" si="25"/>
        <v>-2.3541499390522915</v>
      </c>
      <c r="AL164">
        <f t="shared" si="25"/>
        <v>-12.156945311134592</v>
      </c>
      <c r="AM164">
        <f t="shared" si="25"/>
        <v>2.5594755837077514</v>
      </c>
      <c r="AN164">
        <f t="shared" si="25"/>
        <v>-50.857947589199881</v>
      </c>
      <c r="AO164">
        <f t="shared" si="25"/>
        <v>-61.063336231497232</v>
      </c>
      <c r="AP164">
        <f t="shared" si="25"/>
        <v>8.8339179906537311</v>
      </c>
      <c r="AQ164">
        <f t="shared" si="25"/>
        <v>-28.231018652132491</v>
      </c>
    </row>
    <row r="165" spans="1:43" x14ac:dyDescent="0.2">
      <c r="A165" t="s">
        <v>33</v>
      </c>
      <c r="B165">
        <f>SUM(B164:U164)</f>
        <v>268.75359260472203</v>
      </c>
      <c r="V165" s="6"/>
      <c r="W165" t="s">
        <v>33</v>
      </c>
      <c r="X165">
        <f>SUM(X164:AQ164)</f>
        <v>-250.54960917752044</v>
      </c>
    </row>
    <row r="166" spans="1:43" x14ac:dyDescent="0.2">
      <c r="V166" s="6"/>
    </row>
    <row r="167" spans="1:43" x14ac:dyDescent="0.2">
      <c r="A167" t="s">
        <v>34</v>
      </c>
      <c r="B167">
        <f>SUM(B162:U162)</f>
        <v>2500.0000000000005</v>
      </c>
      <c r="V167" s="6"/>
      <c r="W167" t="s">
        <v>34</v>
      </c>
      <c r="X167">
        <f>SUM(X162:AQ162)</f>
        <v>2500.0000000000005</v>
      </c>
    </row>
    <row r="168" spans="1:43" x14ac:dyDescent="0.2">
      <c r="V168" s="6"/>
    </row>
    <row r="169" spans="1:43" x14ac:dyDescent="0.2">
      <c r="V169" s="6"/>
      <c r="W169" t="s">
        <v>127</v>
      </c>
      <c r="X169">
        <f>1.1853</f>
        <v>1.1853</v>
      </c>
    </row>
    <row r="170" spans="1:43" x14ac:dyDescent="0.2">
      <c r="V170" s="6"/>
      <c r="W170" t="s">
        <v>128</v>
      </c>
      <c r="X170">
        <f>X165+B165</f>
        <v>18.203983427201592</v>
      </c>
    </row>
    <row r="171" spans="1:43" x14ac:dyDescent="0.2">
      <c r="W171" t="s">
        <v>43</v>
      </c>
      <c r="X171">
        <f>(X165+B165)/X169</f>
        <v>15.358123198516488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4E15-9D37-4CCF-B74E-0A52EEF06EE1}">
  <dimension ref="A1:B61"/>
  <sheetViews>
    <sheetView topLeftCell="A7" workbookViewId="0">
      <selection activeCell="D9" sqref="D9"/>
    </sheetView>
  </sheetViews>
  <sheetFormatPr baseColWidth="10" defaultColWidth="8.83203125" defaultRowHeight="15" x14ac:dyDescent="0.2"/>
  <cols>
    <col min="1" max="1" width="10.6640625" bestFit="1" customWidth="1"/>
  </cols>
  <sheetData>
    <row r="1" spans="1:2" x14ac:dyDescent="0.2">
      <c r="A1" s="3" t="e">
        <f ca="1">_xll.RDP.Data("EUR=","TR.BIDPRICE","SDate=2025-11-21 EDate=-1AW Frq=D Curn=Native RH=date CH=IN")</f>
        <v>#N/A</v>
      </c>
      <c r="B1" s="2" t="s">
        <v>130</v>
      </c>
    </row>
    <row r="2" spans="1:2" x14ac:dyDescent="0.2">
      <c r="A2" s="27">
        <v>45982</v>
      </c>
      <c r="B2">
        <v>1.1511</v>
      </c>
    </row>
    <row r="3" spans="1:2" x14ac:dyDescent="0.2">
      <c r="A3" s="3">
        <v>45985</v>
      </c>
      <c r="B3">
        <v>1.1519999999999999</v>
      </c>
    </row>
    <row r="4" spans="1:2" x14ac:dyDescent="0.2">
      <c r="A4" s="3">
        <v>45986</v>
      </c>
      <c r="B4">
        <v>1.1569</v>
      </c>
    </row>
    <row r="5" spans="1:2" x14ac:dyDescent="0.2">
      <c r="A5" s="3">
        <v>45987</v>
      </c>
      <c r="B5">
        <v>1.1594</v>
      </c>
    </row>
    <row r="6" spans="1:2" x14ac:dyDescent="0.2">
      <c r="A6" s="3">
        <v>45988</v>
      </c>
      <c r="B6">
        <v>1.1595</v>
      </c>
    </row>
    <row r="7" spans="1:2" x14ac:dyDescent="0.2">
      <c r="A7" s="3">
        <v>45989</v>
      </c>
      <c r="B7">
        <v>1.1595</v>
      </c>
    </row>
    <row r="8" spans="1:2" x14ac:dyDescent="0.2">
      <c r="A8" s="3">
        <v>45992</v>
      </c>
      <c r="B8">
        <v>1.161</v>
      </c>
    </row>
    <row r="9" spans="1:2" x14ac:dyDescent="0.2">
      <c r="A9" s="3">
        <v>45993</v>
      </c>
      <c r="B9">
        <v>1.1623000000000001</v>
      </c>
    </row>
    <row r="10" spans="1:2" x14ac:dyDescent="0.2">
      <c r="A10" s="3">
        <v>45994</v>
      </c>
      <c r="B10">
        <v>1.167</v>
      </c>
    </row>
    <row r="11" spans="1:2" x14ac:dyDescent="0.2">
      <c r="A11" s="3">
        <v>45995</v>
      </c>
      <c r="B11">
        <v>1.1642999999999999</v>
      </c>
    </row>
    <row r="12" spans="1:2" x14ac:dyDescent="0.2">
      <c r="A12" s="3">
        <v>45996</v>
      </c>
      <c r="B12">
        <v>1.1641999999999999</v>
      </c>
    </row>
    <row r="13" spans="1:2" x14ac:dyDescent="0.2">
      <c r="A13" s="3">
        <v>45999</v>
      </c>
      <c r="B13">
        <v>1.1636</v>
      </c>
    </row>
    <row r="14" spans="1:2" x14ac:dyDescent="0.2">
      <c r="A14" s="3">
        <v>46000</v>
      </c>
      <c r="B14">
        <v>1.1625000000000001</v>
      </c>
    </row>
    <row r="15" spans="1:2" x14ac:dyDescent="0.2">
      <c r="A15" s="3">
        <v>46001</v>
      </c>
      <c r="B15">
        <v>1.1694</v>
      </c>
    </row>
    <row r="16" spans="1:2" x14ac:dyDescent="0.2">
      <c r="A16" s="3">
        <v>46002</v>
      </c>
      <c r="B16">
        <v>1.1738</v>
      </c>
    </row>
    <row r="17" spans="1:2" x14ac:dyDescent="0.2">
      <c r="A17" s="3">
        <v>46003</v>
      </c>
      <c r="B17">
        <v>1.1739999999999999</v>
      </c>
    </row>
    <row r="18" spans="1:2" x14ac:dyDescent="0.2">
      <c r="A18" s="3">
        <v>46006</v>
      </c>
      <c r="B18">
        <v>1.1752</v>
      </c>
    </row>
    <row r="19" spans="1:2" x14ac:dyDescent="0.2">
      <c r="A19" s="3">
        <v>46007</v>
      </c>
      <c r="B19">
        <v>1.1746000000000001</v>
      </c>
    </row>
    <row r="20" spans="1:2" x14ac:dyDescent="0.2">
      <c r="A20" s="3">
        <v>46008</v>
      </c>
      <c r="B20">
        <v>1.1738999999999999</v>
      </c>
    </row>
    <row r="21" spans="1:2" x14ac:dyDescent="0.2">
      <c r="A21" s="3">
        <v>46009</v>
      </c>
      <c r="B21">
        <v>1.1720999999999999</v>
      </c>
    </row>
    <row r="22" spans="1:2" x14ac:dyDescent="0.2">
      <c r="A22" s="3">
        <v>46010</v>
      </c>
      <c r="B22">
        <v>1.1708000000000001</v>
      </c>
    </row>
    <row r="23" spans="1:2" x14ac:dyDescent="0.2">
      <c r="A23" s="3">
        <v>46013</v>
      </c>
      <c r="B23">
        <v>1.1759999999999999</v>
      </c>
    </row>
    <row r="24" spans="1:2" x14ac:dyDescent="0.2">
      <c r="A24" s="3">
        <v>46014</v>
      </c>
      <c r="B24">
        <v>1.1794</v>
      </c>
    </row>
    <row r="25" spans="1:2" x14ac:dyDescent="0.2">
      <c r="A25" s="3">
        <v>46015</v>
      </c>
      <c r="B25">
        <v>1.1778</v>
      </c>
    </row>
    <row r="26" spans="1:2" x14ac:dyDescent="0.2">
      <c r="A26" s="3">
        <v>46016</v>
      </c>
      <c r="B26">
        <v>1.1777</v>
      </c>
    </row>
    <row r="27" spans="1:2" x14ac:dyDescent="0.2">
      <c r="A27" s="3">
        <v>46017</v>
      </c>
      <c r="B27">
        <v>1.1771</v>
      </c>
    </row>
    <row r="28" spans="1:2" x14ac:dyDescent="0.2">
      <c r="A28" s="3">
        <v>46020</v>
      </c>
      <c r="B28">
        <v>1.1772</v>
      </c>
    </row>
    <row r="29" spans="1:2" x14ac:dyDescent="0.2">
      <c r="A29" s="3">
        <v>46021</v>
      </c>
      <c r="B29">
        <v>1.1746000000000001</v>
      </c>
    </row>
    <row r="30" spans="1:2" x14ac:dyDescent="0.2">
      <c r="A30" s="3">
        <v>46022</v>
      </c>
      <c r="B30">
        <v>1.1745000000000001</v>
      </c>
    </row>
    <row r="31" spans="1:2" x14ac:dyDescent="0.2">
      <c r="A31" s="3">
        <v>46023</v>
      </c>
      <c r="B31">
        <v>1.1745000000000001</v>
      </c>
    </row>
    <row r="32" spans="1:2" x14ac:dyDescent="0.2">
      <c r="A32" s="3">
        <v>46024</v>
      </c>
      <c r="B32">
        <v>1.1718999999999999</v>
      </c>
    </row>
    <row r="33" spans="1:2" x14ac:dyDescent="0.2">
      <c r="A33" s="3">
        <v>46027</v>
      </c>
      <c r="B33">
        <v>1.1719999999999999</v>
      </c>
    </row>
    <row r="34" spans="1:2" x14ac:dyDescent="0.2">
      <c r="A34" s="3">
        <v>46028</v>
      </c>
      <c r="B34">
        <v>1.1687000000000001</v>
      </c>
    </row>
    <row r="35" spans="1:2" x14ac:dyDescent="0.2">
      <c r="A35" s="3">
        <v>46029</v>
      </c>
      <c r="B35">
        <v>1.1673</v>
      </c>
    </row>
    <row r="36" spans="1:2" x14ac:dyDescent="0.2">
      <c r="A36" s="3">
        <v>46030</v>
      </c>
      <c r="B36">
        <v>1.1657999999999999</v>
      </c>
    </row>
    <row r="37" spans="1:2" x14ac:dyDescent="0.2">
      <c r="A37" s="3">
        <v>46031</v>
      </c>
      <c r="B37">
        <v>1.1637</v>
      </c>
    </row>
    <row r="38" spans="1:2" x14ac:dyDescent="0.2">
      <c r="A38" s="3">
        <v>46034</v>
      </c>
      <c r="B38">
        <v>1.1667000000000001</v>
      </c>
    </row>
    <row r="39" spans="1:2" x14ac:dyDescent="0.2">
      <c r="A39" s="3">
        <v>46035</v>
      </c>
      <c r="B39">
        <v>1.1640999999999999</v>
      </c>
    </row>
    <row r="40" spans="1:2" x14ac:dyDescent="0.2">
      <c r="A40" s="3">
        <v>46036</v>
      </c>
      <c r="B40">
        <v>1.1641999999999999</v>
      </c>
    </row>
    <row r="41" spans="1:2" x14ac:dyDescent="0.2">
      <c r="A41" s="3">
        <v>46037</v>
      </c>
      <c r="B41">
        <v>1.1606000000000001</v>
      </c>
    </row>
    <row r="42" spans="1:2" x14ac:dyDescent="0.2">
      <c r="A42" s="3">
        <v>46038</v>
      </c>
      <c r="B42">
        <v>1.1597</v>
      </c>
    </row>
    <row r="43" spans="1:2" x14ac:dyDescent="0.2">
      <c r="A43" s="3">
        <v>46041</v>
      </c>
      <c r="B43">
        <v>1.1645000000000001</v>
      </c>
    </row>
    <row r="44" spans="1:2" x14ac:dyDescent="0.2">
      <c r="A44" s="3">
        <v>46042</v>
      </c>
      <c r="B44">
        <v>1.1724000000000001</v>
      </c>
    </row>
    <row r="45" spans="1:2" x14ac:dyDescent="0.2">
      <c r="A45" s="3">
        <v>46043</v>
      </c>
      <c r="B45">
        <v>1.1681999999999999</v>
      </c>
    </row>
    <row r="46" spans="1:2" x14ac:dyDescent="0.2">
      <c r="A46" s="3">
        <v>46044</v>
      </c>
      <c r="B46">
        <v>1.1754</v>
      </c>
    </row>
    <row r="47" spans="1:2" x14ac:dyDescent="0.2">
      <c r="A47" s="3">
        <v>46045</v>
      </c>
      <c r="B47">
        <v>1.1826000000000001</v>
      </c>
    </row>
    <row r="48" spans="1:2" x14ac:dyDescent="0.2">
      <c r="A48" s="3">
        <v>46048</v>
      </c>
      <c r="B48">
        <v>1.1879</v>
      </c>
    </row>
    <row r="49" spans="1:2" x14ac:dyDescent="0.2">
      <c r="A49" s="3">
        <v>46049</v>
      </c>
      <c r="B49">
        <v>1.2040999999999999</v>
      </c>
    </row>
    <row r="50" spans="1:2" x14ac:dyDescent="0.2">
      <c r="A50" s="3">
        <v>46050</v>
      </c>
      <c r="B50">
        <v>1.1952</v>
      </c>
    </row>
    <row r="51" spans="1:2" x14ac:dyDescent="0.2">
      <c r="A51" s="3">
        <v>46051</v>
      </c>
      <c r="B51">
        <v>1.1969000000000001</v>
      </c>
    </row>
    <row r="52" spans="1:2" x14ac:dyDescent="0.2">
      <c r="A52" s="3">
        <v>46052</v>
      </c>
      <c r="B52">
        <v>1.1848000000000001</v>
      </c>
    </row>
    <row r="53" spans="1:2" x14ac:dyDescent="0.2">
      <c r="A53" s="3">
        <v>46055</v>
      </c>
      <c r="B53">
        <v>1.1789000000000001</v>
      </c>
    </row>
    <row r="54" spans="1:2" x14ac:dyDescent="0.2">
      <c r="A54" s="3">
        <v>46056</v>
      </c>
      <c r="B54">
        <v>1.1818</v>
      </c>
    </row>
    <row r="55" spans="1:2" x14ac:dyDescent="0.2">
      <c r="A55" s="3">
        <v>46057</v>
      </c>
      <c r="B55">
        <v>1.1806000000000001</v>
      </c>
    </row>
    <row r="56" spans="1:2" x14ac:dyDescent="0.2">
      <c r="A56" s="3">
        <v>46058</v>
      </c>
      <c r="B56">
        <v>1.1775</v>
      </c>
    </row>
    <row r="57" spans="1:2" x14ac:dyDescent="0.2">
      <c r="A57" s="3">
        <v>46059</v>
      </c>
      <c r="B57">
        <v>1.1816</v>
      </c>
    </row>
    <row r="58" spans="1:2" x14ac:dyDescent="0.2">
      <c r="A58" s="3">
        <v>46062</v>
      </c>
      <c r="B58">
        <v>1.1913</v>
      </c>
    </row>
    <row r="59" spans="1:2" x14ac:dyDescent="0.2">
      <c r="A59" s="3">
        <v>46063</v>
      </c>
      <c r="B59">
        <v>1.1894</v>
      </c>
    </row>
    <row r="60" spans="1:2" x14ac:dyDescent="0.2">
      <c r="A60" s="3">
        <v>46064</v>
      </c>
      <c r="B60">
        <v>1.1870000000000001</v>
      </c>
    </row>
    <row r="61" spans="1:2" x14ac:dyDescent="0.2">
      <c r="A61" s="3">
        <v>46065</v>
      </c>
      <c r="B61">
        <v>1.1869000000000001</v>
      </c>
    </row>
  </sheetData>
  <pageMargins left="0.7" right="0.7" top="0.75" bottom="0.75" header="0.3" footer="0.3"/>
  <customProperties>
    <customPr name="REFI_OFFICE_FUNCTION_DATA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5126-BC57-4ECC-BC1C-E7B82DA25A0B}">
  <dimension ref="A1:B147"/>
  <sheetViews>
    <sheetView zoomScale="79" workbookViewId="0">
      <selection activeCell="M53" sqref="M53"/>
    </sheetView>
  </sheetViews>
  <sheetFormatPr baseColWidth="10" defaultColWidth="8.83203125" defaultRowHeight="15" x14ac:dyDescent="0.2"/>
  <cols>
    <col min="1" max="1" width="17" customWidth="1"/>
    <col min="2" max="2" width="18.33203125" customWidth="1"/>
  </cols>
  <sheetData>
    <row r="1" spans="1:2" x14ac:dyDescent="0.2">
      <c r="A1" t="s">
        <v>20</v>
      </c>
      <c r="B1" s="2" t="s">
        <v>4</v>
      </c>
    </row>
    <row r="2" spans="1:2" x14ac:dyDescent="0.2">
      <c r="A2" s="3">
        <v>45775</v>
      </c>
      <c r="B2">
        <v>51.781801199999997</v>
      </c>
    </row>
    <row r="3" spans="1:2" x14ac:dyDescent="0.2">
      <c r="A3" s="3">
        <v>45776</v>
      </c>
      <c r="B3">
        <v>52.3408765</v>
      </c>
    </row>
    <row r="4" spans="1:2" x14ac:dyDescent="0.2">
      <c r="A4" s="3">
        <v>45777</v>
      </c>
      <c r="B4">
        <v>52.935685999999997</v>
      </c>
    </row>
    <row r="5" spans="1:2" x14ac:dyDescent="0.2">
      <c r="A5" s="3">
        <v>45778</v>
      </c>
      <c r="B5">
        <v>52.156517399999998</v>
      </c>
    </row>
    <row r="6" spans="1:2" x14ac:dyDescent="0.2">
      <c r="A6" s="3">
        <v>45779</v>
      </c>
      <c r="B6">
        <v>52.5809365</v>
      </c>
    </row>
    <row r="7" spans="1:2" x14ac:dyDescent="0.2">
      <c r="A7" s="3">
        <v>45782</v>
      </c>
      <c r="B7">
        <v>50.998722000000001</v>
      </c>
    </row>
    <row r="8" spans="1:2" x14ac:dyDescent="0.2">
      <c r="A8" s="3">
        <v>45783</v>
      </c>
      <c r="B8">
        <v>51.486499799999997</v>
      </c>
    </row>
    <row r="9" spans="1:2" x14ac:dyDescent="0.2">
      <c r="A9" s="3">
        <v>45784</v>
      </c>
      <c r="B9">
        <v>52.446877800000003</v>
      </c>
    </row>
    <row r="10" spans="1:2" x14ac:dyDescent="0.2">
      <c r="A10" s="3">
        <v>45785</v>
      </c>
      <c r="B10">
        <v>54.547080399999999</v>
      </c>
    </row>
    <row r="11" spans="1:2" x14ac:dyDescent="0.2">
      <c r="A11" s="3">
        <v>45786</v>
      </c>
      <c r="B11">
        <v>54.228038699999999</v>
      </c>
    </row>
    <row r="12" spans="1:2" x14ac:dyDescent="0.2">
      <c r="A12" s="3">
        <v>45789</v>
      </c>
      <c r="B12">
        <v>58.952105600000003</v>
      </c>
    </row>
    <row r="13" spans="1:2" x14ac:dyDescent="0.2">
      <c r="A13" s="3">
        <v>45790</v>
      </c>
      <c r="B13">
        <v>58.547632399999998</v>
      </c>
    </row>
    <row r="14" spans="1:2" x14ac:dyDescent="0.2">
      <c r="A14" s="3">
        <v>45791</v>
      </c>
      <c r="B14">
        <v>57.373962300000002</v>
      </c>
    </row>
    <row r="15" spans="1:2" x14ac:dyDescent="0.2">
      <c r="A15" s="3">
        <v>45792</v>
      </c>
      <c r="B15">
        <v>56.913976300000002</v>
      </c>
    </row>
    <row r="16" spans="1:2" x14ac:dyDescent="0.2">
      <c r="A16" s="3">
        <v>45793</v>
      </c>
      <c r="B16">
        <v>58.380589399999998</v>
      </c>
    </row>
    <row r="17" spans="1:2" x14ac:dyDescent="0.2">
      <c r="A17" s="3">
        <v>45796</v>
      </c>
      <c r="B17">
        <v>58.130132000000003</v>
      </c>
    </row>
    <row r="18" spans="1:2" x14ac:dyDescent="0.2">
      <c r="A18" s="3">
        <v>45797</v>
      </c>
      <c r="B18">
        <v>58.571329599999999</v>
      </c>
    </row>
    <row r="19" spans="1:2" x14ac:dyDescent="0.2">
      <c r="A19" s="3">
        <v>45798</v>
      </c>
      <c r="B19">
        <v>56.192045399999998</v>
      </c>
    </row>
    <row r="20" spans="1:2" x14ac:dyDescent="0.2">
      <c r="A20" s="3">
        <v>45799</v>
      </c>
      <c r="B20">
        <v>57.109618400000002</v>
      </c>
    </row>
    <row r="21" spans="1:2" x14ac:dyDescent="0.2">
      <c r="A21" s="3">
        <v>45800</v>
      </c>
      <c r="B21">
        <v>56.0452893</v>
      </c>
    </row>
    <row r="22" spans="1:2" x14ac:dyDescent="0.2">
      <c r="A22" s="3">
        <v>45804</v>
      </c>
      <c r="B22">
        <v>59.198556199999999</v>
      </c>
    </row>
    <row r="23" spans="1:2" x14ac:dyDescent="0.2">
      <c r="A23" s="3">
        <v>45805</v>
      </c>
      <c r="B23">
        <v>58.687386600000004</v>
      </c>
    </row>
    <row r="24" spans="1:2" x14ac:dyDescent="0.2">
      <c r="A24" s="3">
        <v>45806</v>
      </c>
      <c r="B24">
        <v>60.390458099999996</v>
      </c>
    </row>
    <row r="25" spans="1:2" x14ac:dyDescent="0.2">
      <c r="A25" s="3">
        <v>45807</v>
      </c>
      <c r="B25">
        <v>58.993552600000001</v>
      </c>
    </row>
    <row r="26" spans="1:2" x14ac:dyDescent="0.2">
      <c r="A26" s="3">
        <v>45810</v>
      </c>
      <c r="B26">
        <v>58.255432499999998</v>
      </c>
    </row>
    <row r="27" spans="1:2" x14ac:dyDescent="0.2">
      <c r="A27" s="3">
        <v>45811</v>
      </c>
      <c r="B27">
        <v>60.624624300000001</v>
      </c>
    </row>
    <row r="28" spans="1:2" x14ac:dyDescent="0.2">
      <c r="A28" s="3">
        <v>45812</v>
      </c>
      <c r="B28">
        <v>60.287508699999997</v>
      </c>
    </row>
    <row r="29" spans="1:2" x14ac:dyDescent="0.2">
      <c r="A29" s="3">
        <v>45813</v>
      </c>
      <c r="B29">
        <v>58.939158999999997</v>
      </c>
    </row>
    <row r="30" spans="1:2" x14ac:dyDescent="0.2">
      <c r="A30" s="3">
        <v>45814</v>
      </c>
      <c r="B30">
        <v>60.083919000000002</v>
      </c>
    </row>
    <row r="31" spans="1:2" x14ac:dyDescent="0.2">
      <c r="A31" s="3">
        <v>45817</v>
      </c>
      <c r="B31">
        <v>60.420540000000003</v>
      </c>
    </row>
    <row r="32" spans="1:2" x14ac:dyDescent="0.2">
      <c r="A32" s="3">
        <v>45818</v>
      </c>
      <c r="B32">
        <v>61.682797800000003</v>
      </c>
    </row>
    <row r="33" spans="1:2" x14ac:dyDescent="0.2">
      <c r="A33" s="3">
        <v>45819</v>
      </c>
      <c r="B33">
        <v>60.816623</v>
      </c>
    </row>
    <row r="34" spans="1:2" x14ac:dyDescent="0.2">
      <c r="A34" s="3">
        <v>45820</v>
      </c>
      <c r="B34">
        <v>60.424466700000004</v>
      </c>
    </row>
    <row r="35" spans="1:2" x14ac:dyDescent="0.2">
      <c r="A35" s="3">
        <v>45821</v>
      </c>
      <c r="B35">
        <v>58.266901500000003</v>
      </c>
    </row>
    <row r="36" spans="1:2" x14ac:dyDescent="0.2">
      <c r="A36" s="3">
        <v>45824</v>
      </c>
      <c r="B36">
        <v>64.518858199999997</v>
      </c>
    </row>
    <row r="37" spans="1:2" x14ac:dyDescent="0.2">
      <c r="A37" s="3">
        <v>45825</v>
      </c>
      <c r="B37">
        <v>65.154056400000002</v>
      </c>
    </row>
    <row r="38" spans="1:2" x14ac:dyDescent="0.2">
      <c r="A38" s="3">
        <v>45826</v>
      </c>
      <c r="B38">
        <v>65.093075200000001</v>
      </c>
    </row>
    <row r="39" spans="1:2" x14ac:dyDescent="0.2">
      <c r="A39" s="3">
        <v>45828</v>
      </c>
      <c r="B39">
        <v>65.257401000000002</v>
      </c>
    </row>
    <row r="40" spans="1:2" x14ac:dyDescent="0.2">
      <c r="A40" s="3">
        <v>45831</v>
      </c>
      <c r="B40">
        <v>68.098083799999998</v>
      </c>
    </row>
    <row r="41" spans="1:2" x14ac:dyDescent="0.2">
      <c r="A41" s="3">
        <v>45832</v>
      </c>
      <c r="B41">
        <v>66.376263499999993</v>
      </c>
    </row>
    <row r="42" spans="1:2" x14ac:dyDescent="0.2">
      <c r="A42" s="3">
        <v>45833</v>
      </c>
      <c r="B42">
        <v>66.523987599999998</v>
      </c>
    </row>
    <row r="43" spans="1:2" x14ac:dyDescent="0.2">
      <c r="A43" s="3">
        <v>45834</v>
      </c>
      <c r="B43">
        <v>67.5524731</v>
      </c>
    </row>
    <row r="44" spans="1:2" x14ac:dyDescent="0.2">
      <c r="A44" s="3">
        <v>45835</v>
      </c>
      <c r="B44">
        <v>68.342398799999998</v>
      </c>
    </row>
    <row r="45" spans="1:2" x14ac:dyDescent="0.2">
      <c r="A45" s="3">
        <v>45838</v>
      </c>
      <c r="B45">
        <v>68.555567999999994</v>
      </c>
    </row>
    <row r="46" spans="1:2" x14ac:dyDescent="0.2">
      <c r="A46" s="3">
        <v>45839</v>
      </c>
      <c r="B46">
        <v>72.096681000000004</v>
      </c>
    </row>
    <row r="47" spans="1:2" x14ac:dyDescent="0.2">
      <c r="A47" s="3">
        <v>45840</v>
      </c>
      <c r="B47">
        <v>75.080408000000006</v>
      </c>
    </row>
    <row r="48" spans="1:2" x14ac:dyDescent="0.2">
      <c r="A48" s="3">
        <v>45841</v>
      </c>
      <c r="B48">
        <v>75.467893599999996</v>
      </c>
    </row>
    <row r="49" spans="1:2" x14ac:dyDescent="0.2">
      <c r="A49" s="3">
        <v>45845</v>
      </c>
      <c r="B49">
        <v>73.280960100000001</v>
      </c>
    </row>
    <row r="50" spans="1:2" x14ac:dyDescent="0.2">
      <c r="A50" s="3">
        <v>45846</v>
      </c>
      <c r="B50">
        <v>72.978402000000003</v>
      </c>
    </row>
    <row r="51" spans="1:2" x14ac:dyDescent="0.2">
      <c r="A51" s="3">
        <v>45847</v>
      </c>
      <c r="B51">
        <v>73.906045199999994</v>
      </c>
    </row>
    <row r="52" spans="1:2" x14ac:dyDescent="0.2">
      <c r="A52" s="3">
        <v>45848</v>
      </c>
      <c r="B52">
        <v>78.717870000000005</v>
      </c>
    </row>
    <row r="53" spans="1:2" x14ac:dyDescent="0.2">
      <c r="A53" s="3">
        <v>45849</v>
      </c>
      <c r="B53">
        <v>77.919850800000006</v>
      </c>
    </row>
    <row r="54" spans="1:2" x14ac:dyDescent="0.2">
      <c r="A54" s="3">
        <v>45852</v>
      </c>
      <c r="B54">
        <v>76.815361899999999</v>
      </c>
    </row>
    <row r="55" spans="1:2" x14ac:dyDescent="0.2">
      <c r="A55" s="3">
        <v>45853</v>
      </c>
      <c r="B55">
        <v>74.230254000000002</v>
      </c>
    </row>
    <row r="56" spans="1:2" x14ac:dyDescent="0.2">
      <c r="A56" s="3">
        <v>45854</v>
      </c>
      <c r="B56">
        <v>74.265119999999996</v>
      </c>
    </row>
    <row r="57" spans="1:2" x14ac:dyDescent="0.2">
      <c r="A57" s="3">
        <v>45855</v>
      </c>
      <c r="B57">
        <v>74.652806400000003</v>
      </c>
    </row>
    <row r="58" spans="1:2" x14ac:dyDescent="0.2">
      <c r="A58" s="3">
        <v>45856</v>
      </c>
      <c r="B58">
        <v>75.019786199999999</v>
      </c>
    </row>
    <row r="59" spans="1:2" x14ac:dyDescent="0.2">
      <c r="A59" s="3">
        <v>45859</v>
      </c>
      <c r="B59">
        <v>73.570222799999996</v>
      </c>
    </row>
    <row r="60" spans="1:2" x14ac:dyDescent="0.2">
      <c r="A60" s="3">
        <v>45860</v>
      </c>
      <c r="B60">
        <v>75.725650000000002</v>
      </c>
    </row>
    <row r="61" spans="1:2" x14ac:dyDescent="0.2">
      <c r="A61" s="3">
        <v>45861</v>
      </c>
      <c r="B61">
        <v>76.193921599999996</v>
      </c>
    </row>
    <row r="62" spans="1:2" x14ac:dyDescent="0.2">
      <c r="A62" s="3">
        <v>45862</v>
      </c>
      <c r="B62">
        <v>73.821312899999995</v>
      </c>
    </row>
    <row r="63" spans="1:2" x14ac:dyDescent="0.2">
      <c r="A63" s="3">
        <v>45863</v>
      </c>
      <c r="B63">
        <v>77.001816000000005</v>
      </c>
    </row>
    <row r="64" spans="1:2" x14ac:dyDescent="0.2">
      <c r="A64" s="3">
        <v>45866</v>
      </c>
      <c r="B64">
        <v>79.841059200000004</v>
      </c>
    </row>
    <row r="65" spans="1:2" x14ac:dyDescent="0.2">
      <c r="A65" s="3">
        <v>45867</v>
      </c>
      <c r="B65">
        <v>79.168852000000001</v>
      </c>
    </row>
    <row r="66" spans="1:2" x14ac:dyDescent="0.2">
      <c r="A66" s="3">
        <v>45868</v>
      </c>
      <c r="B66">
        <v>82.129517399999997</v>
      </c>
    </row>
    <row r="67" spans="1:2" x14ac:dyDescent="0.2">
      <c r="A67" s="3">
        <v>45869</v>
      </c>
      <c r="B67">
        <v>81.769573600000001</v>
      </c>
    </row>
    <row r="68" spans="1:2" x14ac:dyDescent="0.2">
      <c r="A68" s="3">
        <v>45870</v>
      </c>
      <c r="B68">
        <v>78.591190400000002</v>
      </c>
    </row>
    <row r="69" spans="1:2" x14ac:dyDescent="0.2">
      <c r="A69" s="3">
        <v>45873</v>
      </c>
      <c r="B69">
        <v>79.947749999999999</v>
      </c>
    </row>
    <row r="70" spans="1:2" x14ac:dyDescent="0.2">
      <c r="A70" s="3">
        <v>45874</v>
      </c>
      <c r="B70">
        <v>78.555789200000007</v>
      </c>
    </row>
    <row r="71" spans="1:2" x14ac:dyDescent="0.2">
      <c r="A71" s="3">
        <v>45875</v>
      </c>
      <c r="B71">
        <v>77.322556500000005</v>
      </c>
    </row>
    <row r="72" spans="1:2" x14ac:dyDescent="0.2">
      <c r="A72" s="3">
        <v>45876</v>
      </c>
      <c r="B72">
        <v>78.200169399999993</v>
      </c>
    </row>
    <row r="73" spans="1:2" x14ac:dyDescent="0.2">
      <c r="A73" s="3">
        <v>45877</v>
      </c>
      <c r="B73">
        <v>77.919034199999999</v>
      </c>
    </row>
    <row r="74" spans="1:2" x14ac:dyDescent="0.2">
      <c r="A74" s="3">
        <v>45880</v>
      </c>
      <c r="B74">
        <v>76.752214199999997</v>
      </c>
    </row>
    <row r="75" spans="1:2" x14ac:dyDescent="0.2">
      <c r="A75" s="3">
        <v>45881</v>
      </c>
      <c r="B75">
        <v>78.557556000000005</v>
      </c>
    </row>
    <row r="76" spans="1:2" x14ac:dyDescent="0.2">
      <c r="A76" s="3">
        <v>45882</v>
      </c>
      <c r="B76">
        <v>81.391096599999997</v>
      </c>
    </row>
    <row r="77" spans="1:2" x14ac:dyDescent="0.2">
      <c r="A77" s="3">
        <v>45883</v>
      </c>
      <c r="B77">
        <v>76.850070000000002</v>
      </c>
    </row>
    <row r="78" spans="1:2" x14ac:dyDescent="0.2">
      <c r="A78" s="3">
        <v>45884</v>
      </c>
      <c r="B78">
        <v>77.772072399999999</v>
      </c>
    </row>
    <row r="79" spans="1:2" x14ac:dyDescent="0.2">
      <c r="A79" s="3">
        <v>45887</v>
      </c>
      <c r="B79">
        <v>77.821346199999994</v>
      </c>
    </row>
    <row r="80" spans="1:2" x14ac:dyDescent="0.2">
      <c r="A80" s="3">
        <v>45888</v>
      </c>
      <c r="B80">
        <v>77.167774199999997</v>
      </c>
    </row>
    <row r="81" spans="1:2" x14ac:dyDescent="0.2">
      <c r="A81" s="3">
        <v>45889</v>
      </c>
      <c r="B81">
        <v>74.303031000000004</v>
      </c>
    </row>
    <row r="82" spans="1:2" x14ac:dyDescent="0.2">
      <c r="A82" s="3">
        <v>45890</v>
      </c>
      <c r="B82">
        <v>75.588324</v>
      </c>
    </row>
    <row r="83" spans="1:2" x14ac:dyDescent="0.2">
      <c r="A83" s="3">
        <v>45891</v>
      </c>
      <c r="B83">
        <v>77.874840300000002</v>
      </c>
    </row>
    <row r="84" spans="1:2" x14ac:dyDescent="0.2">
      <c r="A84" s="3">
        <v>45894</v>
      </c>
      <c r="B84">
        <v>76.329536399999995</v>
      </c>
    </row>
    <row r="85" spans="1:2" x14ac:dyDescent="0.2">
      <c r="A85" s="3">
        <v>45895</v>
      </c>
      <c r="B85">
        <v>77.151787200000001</v>
      </c>
    </row>
    <row r="86" spans="1:2" x14ac:dyDescent="0.2">
      <c r="A86" s="3">
        <v>45896</v>
      </c>
      <c r="B86">
        <v>79.582551300000006</v>
      </c>
    </row>
    <row r="87" spans="1:2" x14ac:dyDescent="0.2">
      <c r="A87" s="3">
        <v>45897</v>
      </c>
      <c r="B87">
        <v>78.556955400000007</v>
      </c>
    </row>
    <row r="88" spans="1:2" x14ac:dyDescent="0.2">
      <c r="A88" s="3">
        <v>45898</v>
      </c>
      <c r="B88">
        <v>78.508955099999994</v>
      </c>
    </row>
    <row r="89" spans="1:2" x14ac:dyDescent="0.2">
      <c r="A89" s="3">
        <v>45902</v>
      </c>
      <c r="B89">
        <v>78.011307500000001</v>
      </c>
    </row>
    <row r="90" spans="1:2" x14ac:dyDescent="0.2">
      <c r="A90" s="3">
        <v>45903</v>
      </c>
      <c r="B90">
        <v>78.835490800000002</v>
      </c>
    </row>
    <row r="91" spans="1:2" x14ac:dyDescent="0.2">
      <c r="A91" s="3">
        <v>45904</v>
      </c>
      <c r="B91">
        <v>75.079162400000001</v>
      </c>
    </row>
    <row r="92" spans="1:2" x14ac:dyDescent="0.2">
      <c r="A92" s="3">
        <v>45905</v>
      </c>
      <c r="B92">
        <v>76.128631999999996</v>
      </c>
    </row>
    <row r="93" spans="1:2" x14ac:dyDescent="0.2">
      <c r="A93" s="3">
        <v>45908</v>
      </c>
      <c r="B93">
        <v>75.540270000000007</v>
      </c>
    </row>
    <row r="94" spans="1:2" x14ac:dyDescent="0.2">
      <c r="A94" s="3">
        <v>45909</v>
      </c>
      <c r="B94">
        <v>75.772862000000003</v>
      </c>
    </row>
    <row r="95" spans="1:2" x14ac:dyDescent="0.2">
      <c r="A95" s="3">
        <v>45910</v>
      </c>
      <c r="B95">
        <v>74.7710103</v>
      </c>
    </row>
    <row r="96" spans="1:2" x14ac:dyDescent="0.2">
      <c r="A96" s="3">
        <v>45911</v>
      </c>
      <c r="B96">
        <v>73.988163</v>
      </c>
    </row>
    <row r="97" spans="1:2" x14ac:dyDescent="0.2">
      <c r="A97" s="3">
        <v>45912</v>
      </c>
      <c r="B97">
        <v>71.294894999999997</v>
      </c>
    </row>
    <row r="98" spans="1:2" x14ac:dyDescent="0.2">
      <c r="A98" s="3">
        <v>45915</v>
      </c>
      <c r="B98">
        <v>74.319716</v>
      </c>
    </row>
    <row r="99" spans="1:2" x14ac:dyDescent="0.2">
      <c r="A99" s="3">
        <v>45916</v>
      </c>
      <c r="B99">
        <v>74.599344799999997</v>
      </c>
    </row>
    <row r="100" spans="1:2" x14ac:dyDescent="0.2">
      <c r="A100" s="3">
        <v>45917</v>
      </c>
      <c r="B100">
        <v>74.644722000000002</v>
      </c>
    </row>
    <row r="101" spans="1:2" x14ac:dyDescent="0.2">
      <c r="A101" s="3">
        <v>45918</v>
      </c>
      <c r="B101">
        <v>74.664479999999998</v>
      </c>
    </row>
    <row r="102" spans="1:2" x14ac:dyDescent="0.2">
      <c r="A102" s="3">
        <v>45919</v>
      </c>
      <c r="B102">
        <v>74.761700000000005</v>
      </c>
    </row>
    <row r="103" spans="1:2" x14ac:dyDescent="0.2">
      <c r="A103" s="3">
        <v>45922</v>
      </c>
      <c r="B103">
        <v>73.944743700000004</v>
      </c>
    </row>
    <row r="104" spans="1:2" x14ac:dyDescent="0.2">
      <c r="A104" s="3">
        <v>45923</v>
      </c>
      <c r="B104">
        <v>74.2444536</v>
      </c>
    </row>
    <row r="105" spans="1:2" x14ac:dyDescent="0.2">
      <c r="A105" s="3">
        <v>45924</v>
      </c>
      <c r="B105">
        <v>72.702013300000004</v>
      </c>
    </row>
    <row r="106" spans="1:2" x14ac:dyDescent="0.2">
      <c r="A106" s="3">
        <v>45925</v>
      </c>
      <c r="B106">
        <v>72.002107300000006</v>
      </c>
    </row>
    <row r="107" spans="1:2" x14ac:dyDescent="0.2">
      <c r="A107" s="3">
        <v>45926</v>
      </c>
      <c r="B107">
        <v>74.062235799999996</v>
      </c>
    </row>
    <row r="108" spans="1:2" x14ac:dyDescent="0.2">
      <c r="A108" s="3">
        <v>45929</v>
      </c>
      <c r="B108">
        <v>76.017194399999994</v>
      </c>
    </row>
    <row r="109" spans="1:2" x14ac:dyDescent="0.2">
      <c r="A109" s="3">
        <v>45930</v>
      </c>
      <c r="B109">
        <v>75.104675999999998</v>
      </c>
    </row>
    <row r="110" spans="1:2" x14ac:dyDescent="0.2">
      <c r="A110" s="3">
        <v>45931</v>
      </c>
      <c r="B110">
        <v>73.493257999999997</v>
      </c>
    </row>
    <row r="111" spans="1:2" x14ac:dyDescent="0.2">
      <c r="A111" s="3">
        <v>45932</v>
      </c>
      <c r="B111">
        <v>75.781173600000002</v>
      </c>
    </row>
    <row r="112" spans="1:2" x14ac:dyDescent="0.2">
      <c r="A112" s="3">
        <v>45933</v>
      </c>
      <c r="B112">
        <v>74.968394399999994</v>
      </c>
    </row>
    <row r="113" spans="1:2" x14ac:dyDescent="0.2">
      <c r="A113" s="3">
        <v>45936</v>
      </c>
      <c r="B113">
        <v>75.719186399999998</v>
      </c>
    </row>
    <row r="114" spans="1:2" x14ac:dyDescent="0.2">
      <c r="A114" s="3">
        <v>45937</v>
      </c>
      <c r="B114">
        <v>79.519440000000003</v>
      </c>
    </row>
    <row r="115" spans="1:2" x14ac:dyDescent="0.2">
      <c r="A115" s="3">
        <v>45938</v>
      </c>
      <c r="B115">
        <v>82.367006399999994</v>
      </c>
    </row>
    <row r="116" spans="1:2" x14ac:dyDescent="0.2">
      <c r="A116" s="3">
        <v>45939</v>
      </c>
      <c r="B116">
        <v>81.268075100000004</v>
      </c>
    </row>
    <row r="117" spans="1:2" x14ac:dyDescent="0.2">
      <c r="A117" s="3">
        <v>45940</v>
      </c>
      <c r="B117">
        <v>75.442984499999994</v>
      </c>
    </row>
    <row r="118" spans="1:2" x14ac:dyDescent="0.2">
      <c r="A118" s="3">
        <v>45943</v>
      </c>
      <c r="B118">
        <v>80.169093000000004</v>
      </c>
    </row>
    <row r="119" spans="1:2" x14ac:dyDescent="0.2">
      <c r="A119" s="3">
        <v>45944</v>
      </c>
      <c r="B119">
        <v>81.861500000000007</v>
      </c>
    </row>
    <row r="120" spans="1:2" x14ac:dyDescent="0.2">
      <c r="A120" s="3">
        <v>45945</v>
      </c>
      <c r="B120">
        <v>81.804538199999996</v>
      </c>
    </row>
    <row r="121" spans="1:2" x14ac:dyDescent="0.2">
      <c r="A121" s="3">
        <v>45946</v>
      </c>
      <c r="B121">
        <v>82.826920000000001</v>
      </c>
    </row>
    <row r="122" spans="1:2" x14ac:dyDescent="0.2">
      <c r="A122" s="3">
        <v>45947</v>
      </c>
      <c r="B122">
        <v>86.499474000000006</v>
      </c>
    </row>
    <row r="123" spans="1:2" x14ac:dyDescent="0.2">
      <c r="A123" s="3">
        <v>45950</v>
      </c>
      <c r="B123">
        <v>88.075957200000005</v>
      </c>
    </row>
    <row r="124" spans="1:2" x14ac:dyDescent="0.2">
      <c r="A124" s="3">
        <v>45951</v>
      </c>
      <c r="B124">
        <v>84.963158800000002</v>
      </c>
    </row>
    <row r="125" spans="1:2" x14ac:dyDescent="0.2">
      <c r="A125" s="3">
        <v>45952</v>
      </c>
      <c r="B125">
        <v>84.952977899999993</v>
      </c>
    </row>
    <row r="126" spans="1:2" x14ac:dyDescent="0.2">
      <c r="A126" s="3">
        <v>45953</v>
      </c>
      <c r="B126">
        <v>85.641986900000006</v>
      </c>
    </row>
    <row r="127" spans="1:2" x14ac:dyDescent="0.2">
      <c r="A127" s="3">
        <v>45954</v>
      </c>
      <c r="B127">
        <v>87.880075199999993</v>
      </c>
    </row>
    <row r="128" spans="1:2" x14ac:dyDescent="0.2">
      <c r="A128" s="3">
        <v>45957</v>
      </c>
      <c r="B128">
        <v>86.284089399999999</v>
      </c>
    </row>
    <row r="129" spans="1:2" x14ac:dyDescent="0.2">
      <c r="A129" s="3">
        <v>45958</v>
      </c>
      <c r="B129">
        <v>84.772621200000003</v>
      </c>
    </row>
    <row r="130" spans="1:2" x14ac:dyDescent="0.2">
      <c r="A130" s="3">
        <v>45959</v>
      </c>
      <c r="B130">
        <v>83.937950400000005</v>
      </c>
    </row>
    <row r="131" spans="1:2" x14ac:dyDescent="0.2">
      <c r="A131" s="3">
        <v>45960</v>
      </c>
      <c r="B131">
        <v>84.401414799999998</v>
      </c>
    </row>
    <row r="132" spans="1:2" x14ac:dyDescent="0.2">
      <c r="A132" s="3">
        <v>45961</v>
      </c>
      <c r="B132">
        <v>83.83023</v>
      </c>
    </row>
    <row r="133" spans="1:2" x14ac:dyDescent="0.2">
      <c r="A133" s="3">
        <v>45964</v>
      </c>
      <c r="B133">
        <v>80.960582500000001</v>
      </c>
    </row>
    <row r="134" spans="1:2" x14ac:dyDescent="0.2">
      <c r="A134" s="3">
        <v>45965</v>
      </c>
      <c r="B134">
        <v>80.891978399999999</v>
      </c>
    </row>
    <row r="135" spans="1:2" x14ac:dyDescent="0.2">
      <c r="A135" s="3">
        <v>45966</v>
      </c>
      <c r="B135">
        <v>79.271072500000002</v>
      </c>
    </row>
    <row r="136" spans="1:2" x14ac:dyDescent="0.2">
      <c r="A136" s="3">
        <v>45967</v>
      </c>
      <c r="B136">
        <v>76.0201134</v>
      </c>
    </row>
    <row r="137" spans="1:2" x14ac:dyDescent="0.2">
      <c r="A137" s="3">
        <v>45968</v>
      </c>
      <c r="B137">
        <v>75.87567</v>
      </c>
    </row>
    <row r="138" spans="1:2" x14ac:dyDescent="0.2">
      <c r="A138" s="3">
        <v>45971</v>
      </c>
      <c r="B138">
        <v>77.561320499999994</v>
      </c>
    </row>
    <row r="139" spans="1:2" x14ac:dyDescent="0.2">
      <c r="A139" s="3">
        <v>45972</v>
      </c>
      <c r="B139">
        <v>78.445790400000007</v>
      </c>
    </row>
    <row r="140" spans="1:2" x14ac:dyDescent="0.2">
      <c r="A140" s="3">
        <v>45973</v>
      </c>
      <c r="B140">
        <v>79.373346600000005</v>
      </c>
    </row>
    <row r="141" spans="1:2" x14ac:dyDescent="0.2">
      <c r="A141" s="3">
        <v>45974</v>
      </c>
      <c r="B141">
        <v>77.310518400000007</v>
      </c>
    </row>
    <row r="142" spans="1:2" x14ac:dyDescent="0.2">
      <c r="A142" s="3">
        <v>45975</v>
      </c>
      <c r="B142">
        <v>75.886826200000002</v>
      </c>
    </row>
    <row r="143" spans="1:2" x14ac:dyDescent="0.2">
      <c r="A143" s="3">
        <v>45978</v>
      </c>
      <c r="B143">
        <v>74.279312899999994</v>
      </c>
    </row>
    <row r="144" spans="1:2" x14ac:dyDescent="0.2">
      <c r="A144" s="3">
        <v>45979</v>
      </c>
      <c r="B144">
        <v>76.051257800000002</v>
      </c>
    </row>
    <row r="145" spans="1:2" x14ac:dyDescent="0.2">
      <c r="A145" s="3">
        <v>45980</v>
      </c>
      <c r="B145">
        <v>74.471083500000006</v>
      </c>
    </row>
    <row r="146" spans="1:2" x14ac:dyDescent="0.2">
      <c r="A146" s="3">
        <v>45981</v>
      </c>
      <c r="B146">
        <v>75.136773300000002</v>
      </c>
    </row>
    <row r="147" spans="1:2" x14ac:dyDescent="0.2">
      <c r="A147" s="3">
        <v>45982</v>
      </c>
      <c r="B147">
        <v>78.098827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1C84-0FF1-41FC-B095-566317C393C2}">
  <dimension ref="A1:M164"/>
  <sheetViews>
    <sheetView workbookViewId="0">
      <selection activeCell="G1" sqref="G1:J49"/>
    </sheetView>
  </sheetViews>
  <sheetFormatPr baseColWidth="10" defaultColWidth="8.83203125" defaultRowHeight="15" x14ac:dyDescent="0.2"/>
  <cols>
    <col min="1" max="1" width="19.1640625" customWidth="1"/>
    <col min="2" max="2" width="13" customWidth="1"/>
    <col min="3" max="3" width="11.5" customWidth="1"/>
    <col min="4" max="4" width="11" customWidth="1"/>
    <col min="6" max="6" width="11.33203125" customWidth="1"/>
    <col min="7" max="7" width="11.5" customWidth="1"/>
    <col min="8" max="8" width="20.33203125" customWidth="1"/>
    <col min="9" max="9" width="15.1640625" customWidth="1"/>
    <col min="10" max="10" width="16.5" customWidth="1"/>
    <col min="11" max="11" width="14" customWidth="1"/>
    <col min="12" max="12" width="13.5" customWidth="1"/>
    <col min="13" max="13" width="15.33203125" customWidth="1"/>
    <col min="14" max="14" width="12.6640625" customWidth="1"/>
  </cols>
  <sheetData>
    <row r="1" spans="1:13" x14ac:dyDescent="0.2">
      <c r="A1" s="16" t="s">
        <v>44</v>
      </c>
      <c r="B1" s="16" t="s">
        <v>45</v>
      </c>
      <c r="C1" s="10" t="s">
        <v>46</v>
      </c>
      <c r="D1" s="10" t="s">
        <v>47</v>
      </c>
      <c r="F1" s="3"/>
      <c r="G1" s="16" t="s">
        <v>44</v>
      </c>
      <c r="H1" s="16" t="s">
        <v>45</v>
      </c>
      <c r="I1" s="10" t="s">
        <v>46</v>
      </c>
      <c r="J1" s="10" t="s">
        <v>47</v>
      </c>
      <c r="L1" s="15"/>
      <c r="M1" s="3"/>
    </row>
    <row r="2" spans="1:13" x14ac:dyDescent="0.2">
      <c r="A2" s="3">
        <v>45982</v>
      </c>
      <c r="B2" s="3">
        <v>45982</v>
      </c>
      <c r="C2">
        <v>0</v>
      </c>
      <c r="D2">
        <v>0</v>
      </c>
      <c r="F2" s="3"/>
      <c r="G2" s="3">
        <v>45982</v>
      </c>
      <c r="H2" s="3">
        <v>45982</v>
      </c>
      <c r="I2">
        <v>0</v>
      </c>
      <c r="J2">
        <v>0</v>
      </c>
      <c r="L2" s="3"/>
      <c r="M2" s="3"/>
    </row>
    <row r="3" spans="1:13" x14ac:dyDescent="0.2">
      <c r="A3" s="3">
        <v>45985</v>
      </c>
      <c r="B3" s="3">
        <v>45985</v>
      </c>
      <c r="C3">
        <v>-6.8438381975713334</v>
      </c>
      <c r="D3">
        <v>-14.692398256065189</v>
      </c>
      <c r="F3" s="3"/>
      <c r="G3" s="3">
        <v>45985</v>
      </c>
      <c r="H3" s="3">
        <v>45985</v>
      </c>
      <c r="I3">
        <v>-6.8438381975713334</v>
      </c>
      <c r="J3">
        <v>-14.692398256065189</v>
      </c>
      <c r="L3" s="3"/>
      <c r="M3" s="3"/>
    </row>
    <row r="4" spans="1:13" x14ac:dyDescent="0.2">
      <c r="A4" s="3">
        <v>45986</v>
      </c>
      <c r="B4" s="3">
        <v>45986</v>
      </c>
      <c r="C4">
        <v>14.781235863969096</v>
      </c>
      <c r="D4">
        <v>-14.93511237500843</v>
      </c>
      <c r="F4" s="3"/>
      <c r="G4" s="3">
        <v>45986</v>
      </c>
      <c r="H4" s="3">
        <v>45986</v>
      </c>
      <c r="I4">
        <v>14.781235863969096</v>
      </c>
      <c r="J4">
        <v>-14.93511237500843</v>
      </c>
      <c r="L4" s="3"/>
      <c r="M4" s="3"/>
    </row>
    <row r="5" spans="1:13" x14ac:dyDescent="0.2">
      <c r="A5" s="3">
        <v>45987</v>
      </c>
      <c r="B5" s="3">
        <v>45987</v>
      </c>
      <c r="C5">
        <v>10.824751849420281</v>
      </c>
      <c r="D5">
        <v>13.395550453506985</v>
      </c>
      <c r="F5" s="3"/>
      <c r="G5" s="3">
        <v>45987</v>
      </c>
      <c r="H5" s="3">
        <v>45987</v>
      </c>
      <c r="I5">
        <v>10.824751849420281</v>
      </c>
      <c r="J5">
        <v>13.395550453506985</v>
      </c>
      <c r="L5" s="3"/>
      <c r="M5" s="3"/>
    </row>
    <row r="6" spans="1:13" x14ac:dyDescent="0.2">
      <c r="A6" s="3">
        <v>45989</v>
      </c>
      <c r="B6" s="3">
        <v>45988</v>
      </c>
      <c r="C6">
        <v>-5.159132865344688</v>
      </c>
      <c r="D6">
        <v>5.9892110343939748</v>
      </c>
      <c r="F6" s="3"/>
      <c r="G6" s="3">
        <v>45988</v>
      </c>
      <c r="H6" s="3">
        <v>45988</v>
      </c>
      <c r="I6">
        <v>0</v>
      </c>
      <c r="J6">
        <v>5.9892110343939748</v>
      </c>
      <c r="L6" s="3"/>
      <c r="M6" s="3"/>
    </row>
    <row r="7" spans="1:13" x14ac:dyDescent="0.2">
      <c r="A7" s="3">
        <v>45992</v>
      </c>
      <c r="B7" s="3">
        <v>45989</v>
      </c>
      <c r="C7">
        <v>0.58251800922230756</v>
      </c>
      <c r="D7">
        <v>-5.3614658398000756</v>
      </c>
      <c r="F7" s="3"/>
      <c r="G7" s="3">
        <v>45989</v>
      </c>
      <c r="H7" s="3">
        <v>45989</v>
      </c>
      <c r="I7">
        <v>-5.159132865344688</v>
      </c>
      <c r="J7">
        <v>-5.3614658398000756</v>
      </c>
      <c r="L7" s="3"/>
      <c r="M7" s="3"/>
    </row>
    <row r="8" spans="1:13" x14ac:dyDescent="0.2">
      <c r="A8" s="3">
        <v>45993</v>
      </c>
      <c r="B8" s="3">
        <v>45992</v>
      </c>
      <c r="C8">
        <v>-4.6228124648202868</v>
      </c>
      <c r="D8">
        <v>-33.021790171608245</v>
      </c>
      <c r="F8" s="3"/>
      <c r="G8" s="3">
        <v>45992</v>
      </c>
      <c r="H8" s="3">
        <v>45992</v>
      </c>
      <c r="I8">
        <v>0.58251800922230756</v>
      </c>
      <c r="J8">
        <v>-33.021790171608245</v>
      </c>
      <c r="L8" s="3"/>
      <c r="M8" s="3"/>
    </row>
    <row r="9" spans="1:13" x14ac:dyDescent="0.2">
      <c r="A9" s="3">
        <v>45994</v>
      </c>
      <c r="B9" s="3">
        <v>45993</v>
      </c>
      <c r="C9">
        <v>-0.44449689754314048</v>
      </c>
      <c r="D9">
        <v>14.644973868809757</v>
      </c>
      <c r="F9" s="3"/>
      <c r="G9" s="3">
        <v>45993</v>
      </c>
      <c r="H9" s="3">
        <v>45993</v>
      </c>
      <c r="I9">
        <v>-4.6228124648202868</v>
      </c>
      <c r="J9">
        <v>14.644973868809757</v>
      </c>
      <c r="L9" s="3"/>
      <c r="M9" s="3"/>
    </row>
    <row r="10" spans="1:13" x14ac:dyDescent="0.2">
      <c r="A10" s="3">
        <v>45995</v>
      </c>
      <c r="B10" s="3">
        <v>45994</v>
      </c>
      <c r="C10">
        <v>14.876385335568482</v>
      </c>
      <c r="D10">
        <v>-0.77895336819938166</v>
      </c>
      <c r="F10" s="3"/>
      <c r="G10" s="3">
        <v>45994</v>
      </c>
      <c r="H10" s="3">
        <v>45994</v>
      </c>
      <c r="I10">
        <v>-0.44449689754314048</v>
      </c>
      <c r="J10">
        <v>-0.77895336819938166</v>
      </c>
      <c r="L10" s="3"/>
      <c r="M10" s="3"/>
    </row>
    <row r="11" spans="1:13" x14ac:dyDescent="0.2">
      <c r="A11" s="3">
        <v>45996</v>
      </c>
      <c r="B11" s="3">
        <v>45995</v>
      </c>
      <c r="C11">
        <v>-19.85226195418662</v>
      </c>
      <c r="D11">
        <v>0.2359172412038788</v>
      </c>
      <c r="F11" s="3"/>
      <c r="G11" s="3">
        <v>45995</v>
      </c>
      <c r="H11" s="3">
        <v>45995</v>
      </c>
      <c r="I11">
        <v>14.876385335568482</v>
      </c>
      <c r="J11">
        <v>0.2359172412038788</v>
      </c>
      <c r="L11" s="3"/>
      <c r="M11" s="3"/>
    </row>
    <row r="12" spans="1:13" x14ac:dyDescent="0.2">
      <c r="A12" s="3">
        <v>45999</v>
      </c>
      <c r="B12" s="3">
        <v>45996</v>
      </c>
      <c r="C12">
        <v>-2.4589389039206995</v>
      </c>
      <c r="D12">
        <v>35.342558869638196</v>
      </c>
      <c r="F12" s="3"/>
      <c r="G12" s="3">
        <v>45996</v>
      </c>
      <c r="H12" s="3">
        <v>45996</v>
      </c>
      <c r="I12">
        <v>-19.85226195418662</v>
      </c>
      <c r="J12">
        <v>35.342558869638196</v>
      </c>
      <c r="L12" s="3"/>
      <c r="M12" s="3"/>
    </row>
    <row r="13" spans="1:13" x14ac:dyDescent="0.2">
      <c r="A13" s="3">
        <v>46000</v>
      </c>
      <c r="B13" s="3">
        <v>45999</v>
      </c>
      <c r="C13">
        <v>-12.566631552634192</v>
      </c>
      <c r="D13">
        <v>39.914541519695376</v>
      </c>
      <c r="F13" s="3"/>
      <c r="G13" s="3">
        <v>45999</v>
      </c>
      <c r="H13" s="3">
        <v>45999</v>
      </c>
      <c r="I13">
        <v>-2.4589389039206995</v>
      </c>
      <c r="J13">
        <v>39.914541519695376</v>
      </c>
      <c r="L13" s="3"/>
      <c r="M13" s="3"/>
    </row>
    <row r="14" spans="1:13" x14ac:dyDescent="0.2">
      <c r="A14" s="3">
        <v>46001</v>
      </c>
      <c r="B14" s="3">
        <v>46000</v>
      </c>
      <c r="C14">
        <v>-5.0783574691936915</v>
      </c>
      <c r="D14">
        <v>15.564799365695762</v>
      </c>
      <c r="F14" s="3"/>
      <c r="G14" s="3">
        <v>46000</v>
      </c>
      <c r="H14" s="3">
        <v>46000</v>
      </c>
      <c r="I14">
        <v>-12.566631552634192</v>
      </c>
      <c r="J14">
        <v>15.564799365695762</v>
      </c>
      <c r="L14" s="3"/>
      <c r="M14" s="3"/>
    </row>
    <row r="15" spans="1:13" x14ac:dyDescent="0.2">
      <c r="A15" s="3">
        <v>46002</v>
      </c>
      <c r="B15" s="3">
        <v>46001</v>
      </c>
      <c r="C15">
        <v>-1.7798165697290707</v>
      </c>
      <c r="D15">
        <v>10.892840031946434</v>
      </c>
      <c r="F15" s="3"/>
      <c r="G15" s="3">
        <v>46001</v>
      </c>
      <c r="H15" s="3">
        <v>46001</v>
      </c>
      <c r="I15">
        <v>-5.0783574691936915</v>
      </c>
      <c r="J15">
        <v>10.892840031946434</v>
      </c>
      <c r="L15" s="3"/>
      <c r="M15" s="3"/>
    </row>
    <row r="16" spans="1:13" x14ac:dyDescent="0.2">
      <c r="A16" s="3">
        <v>46003</v>
      </c>
      <c r="B16" s="3">
        <v>46002</v>
      </c>
      <c r="C16">
        <v>3.3445060172388859</v>
      </c>
      <c r="D16">
        <v>-22.974378896730741</v>
      </c>
      <c r="F16" s="3"/>
      <c r="G16" s="3">
        <v>46002</v>
      </c>
      <c r="H16" s="3">
        <v>46002</v>
      </c>
      <c r="I16">
        <v>-1.7798165697290707</v>
      </c>
      <c r="J16">
        <v>-22.974378896730741</v>
      </c>
      <c r="L16" s="3"/>
      <c r="M16" s="3"/>
    </row>
    <row r="17" spans="1:13" x14ac:dyDescent="0.2">
      <c r="A17" s="3">
        <v>46006</v>
      </c>
      <c r="B17" s="3">
        <v>46003</v>
      </c>
      <c r="C17">
        <v>-2.0378989127117113</v>
      </c>
      <c r="D17">
        <v>-12.534102549555882</v>
      </c>
      <c r="F17" s="3"/>
      <c r="G17" s="3">
        <v>46003</v>
      </c>
      <c r="H17" s="3">
        <v>46003</v>
      </c>
      <c r="I17">
        <v>3.3445060172388859</v>
      </c>
      <c r="J17">
        <v>-12.534102549555882</v>
      </c>
      <c r="L17" s="3"/>
      <c r="M17" s="3"/>
    </row>
    <row r="18" spans="1:13" x14ac:dyDescent="0.2">
      <c r="A18" s="3">
        <v>46007</v>
      </c>
      <c r="B18" s="3">
        <v>46006</v>
      </c>
      <c r="C18">
        <v>16.113466074738891</v>
      </c>
      <c r="D18">
        <v>-8.0017057228842532</v>
      </c>
      <c r="F18" s="3"/>
      <c r="G18" s="3">
        <v>46006</v>
      </c>
      <c r="H18" s="3">
        <v>46006</v>
      </c>
      <c r="I18">
        <v>-2.0378989127117113</v>
      </c>
      <c r="J18">
        <v>-8.0017057228842532</v>
      </c>
      <c r="L18" s="3"/>
      <c r="M18" s="3"/>
    </row>
    <row r="19" spans="1:13" x14ac:dyDescent="0.2">
      <c r="A19" s="3">
        <v>46008</v>
      </c>
      <c r="B19" s="3">
        <v>46007</v>
      </c>
      <c r="C19">
        <v>-10.484926845553789</v>
      </c>
      <c r="D19">
        <v>-0.53011782566682086</v>
      </c>
      <c r="F19" s="3"/>
      <c r="G19" s="3">
        <v>46007</v>
      </c>
      <c r="H19" s="3">
        <v>46007</v>
      </c>
      <c r="I19">
        <v>16.113466074738891</v>
      </c>
      <c r="J19">
        <v>-0.53011782566682086</v>
      </c>
      <c r="L19" s="3"/>
      <c r="M19" s="3"/>
    </row>
    <row r="20" spans="1:13" x14ac:dyDescent="0.2">
      <c r="A20" s="3">
        <v>46009</v>
      </c>
      <c r="B20" s="3">
        <v>46008</v>
      </c>
      <c r="C20">
        <v>16.925890237867854</v>
      </c>
      <c r="D20">
        <v>-0.59543481059836267</v>
      </c>
      <c r="F20" s="3"/>
      <c r="G20" s="3">
        <v>46008</v>
      </c>
      <c r="H20" s="3">
        <v>46008</v>
      </c>
      <c r="I20">
        <v>-10.484926845553789</v>
      </c>
      <c r="J20">
        <v>-0.59543481059836267</v>
      </c>
      <c r="L20" s="3"/>
      <c r="M20" s="3"/>
    </row>
    <row r="21" spans="1:13" x14ac:dyDescent="0.2">
      <c r="A21" s="3">
        <v>46010</v>
      </c>
      <c r="B21" s="3">
        <v>46009</v>
      </c>
      <c r="C21">
        <v>-7.0311224772016674</v>
      </c>
      <c r="D21">
        <v>-17.661988013694554</v>
      </c>
      <c r="F21" s="3"/>
      <c r="G21" s="3">
        <v>46009</v>
      </c>
      <c r="H21" s="3">
        <v>46009</v>
      </c>
      <c r="I21">
        <v>16.925890237867854</v>
      </c>
      <c r="J21">
        <v>-17.661988013694554</v>
      </c>
      <c r="L21" s="3"/>
      <c r="M21" s="3"/>
    </row>
    <row r="22" spans="1:13" x14ac:dyDescent="0.2">
      <c r="A22" s="3">
        <v>46013</v>
      </c>
      <c r="B22" s="3">
        <v>46010</v>
      </c>
      <c r="C22">
        <v>6.2637771979674977</v>
      </c>
      <c r="D22">
        <v>-1.6908178468906954</v>
      </c>
      <c r="F22" s="3"/>
      <c r="G22" s="3">
        <v>46010</v>
      </c>
      <c r="H22" s="3">
        <v>46010</v>
      </c>
      <c r="I22">
        <v>-7.0311224772016674</v>
      </c>
      <c r="J22">
        <v>-1.6908178468906954</v>
      </c>
      <c r="L22" s="3"/>
      <c r="M22" s="3"/>
    </row>
    <row r="23" spans="1:13" x14ac:dyDescent="0.2">
      <c r="A23" s="3">
        <v>46014</v>
      </c>
      <c r="B23" s="3">
        <v>46013</v>
      </c>
      <c r="C23">
        <v>10.231137957649873</v>
      </c>
      <c r="D23">
        <v>17.560146513927066</v>
      </c>
      <c r="F23" s="3"/>
      <c r="G23" s="3">
        <v>46013</v>
      </c>
      <c r="H23" s="3">
        <v>46013</v>
      </c>
      <c r="I23">
        <v>6.2637771979674977</v>
      </c>
      <c r="J23">
        <v>17.560146513927066</v>
      </c>
      <c r="L23" s="3"/>
      <c r="M23" s="3"/>
    </row>
    <row r="24" spans="1:13" x14ac:dyDescent="0.2">
      <c r="A24" s="3">
        <v>46015</v>
      </c>
      <c r="B24" s="3">
        <v>46014</v>
      </c>
      <c r="C24">
        <v>-5.5861604694603351</v>
      </c>
      <c r="D24">
        <v>6.8171753579822507</v>
      </c>
      <c r="F24" s="3"/>
      <c r="G24" s="3">
        <v>46014</v>
      </c>
      <c r="H24" s="3">
        <v>46014</v>
      </c>
      <c r="I24">
        <v>10.231137957649873</v>
      </c>
      <c r="J24">
        <v>6.8171753579822507</v>
      </c>
      <c r="L24" s="3"/>
      <c r="M24" s="3"/>
    </row>
    <row r="25" spans="1:13" x14ac:dyDescent="0.2">
      <c r="A25" s="3">
        <v>46017</v>
      </c>
      <c r="B25" s="3">
        <v>46015</v>
      </c>
      <c r="C25">
        <v>6.2493030806904901</v>
      </c>
      <c r="D25">
        <v>-0.42523247662120411</v>
      </c>
      <c r="F25" s="3"/>
      <c r="G25" s="3">
        <v>46015</v>
      </c>
      <c r="H25" s="3">
        <v>46015</v>
      </c>
      <c r="I25">
        <v>-5.5861604694603351</v>
      </c>
      <c r="J25">
        <v>-0.42523247662120411</v>
      </c>
      <c r="L25" s="3"/>
      <c r="M25" s="3"/>
    </row>
    <row r="26" spans="1:13" x14ac:dyDescent="0.2">
      <c r="A26" s="3">
        <v>46020</v>
      </c>
      <c r="B26" s="3">
        <v>46020</v>
      </c>
      <c r="C26">
        <v>8.3557850240195872</v>
      </c>
      <c r="D26">
        <v>9.1890521868181168</v>
      </c>
      <c r="F26" s="3"/>
      <c r="G26" s="3">
        <v>46017</v>
      </c>
      <c r="H26" s="3">
        <v>46020</v>
      </c>
      <c r="I26">
        <v>6.2493030806904901</v>
      </c>
      <c r="J26">
        <v>9.1890521868181168</v>
      </c>
      <c r="L26" s="3"/>
      <c r="M26" s="3"/>
    </row>
    <row r="27" spans="1:13" x14ac:dyDescent="0.2">
      <c r="A27" s="3">
        <v>46021</v>
      </c>
      <c r="B27" s="3">
        <v>46021</v>
      </c>
      <c r="C27">
        <v>4.2153405328264588</v>
      </c>
      <c r="D27">
        <v>10.748550113915371</v>
      </c>
      <c r="F27" s="3"/>
      <c r="G27" s="3">
        <v>46020</v>
      </c>
      <c r="H27" s="3">
        <v>46021</v>
      </c>
      <c r="I27">
        <v>8.3557850240195872</v>
      </c>
      <c r="J27">
        <v>10.748550113915371</v>
      </c>
      <c r="L27" s="3"/>
      <c r="M27" s="3"/>
    </row>
    <row r="28" spans="1:13" x14ac:dyDescent="0.2">
      <c r="A28" s="3">
        <v>46022</v>
      </c>
      <c r="B28" s="3">
        <v>46022</v>
      </c>
      <c r="C28">
        <v>1.4540361311215997</v>
      </c>
      <c r="D28">
        <v>2.8238066879162034</v>
      </c>
      <c r="F28" s="3"/>
      <c r="G28" s="3">
        <v>46021</v>
      </c>
      <c r="H28" s="3">
        <v>46022</v>
      </c>
      <c r="I28">
        <v>4.2153405328264588</v>
      </c>
      <c r="J28">
        <v>2.8238066879162034</v>
      </c>
      <c r="L28" s="3"/>
      <c r="M28" s="3"/>
    </row>
    <row r="29" spans="1:13" x14ac:dyDescent="0.2">
      <c r="A29" s="3">
        <v>46024</v>
      </c>
      <c r="B29" s="3">
        <v>46024</v>
      </c>
      <c r="C29">
        <v>-6.1037011436384656</v>
      </c>
      <c r="D29">
        <v>3.0938778490121877</v>
      </c>
      <c r="F29" s="3"/>
      <c r="G29" s="3">
        <v>46022</v>
      </c>
      <c r="H29" s="3">
        <v>46024</v>
      </c>
      <c r="I29">
        <v>1.4540361311215997</v>
      </c>
      <c r="J29">
        <v>3.0938778490121877</v>
      </c>
      <c r="L29" s="3"/>
      <c r="M29" s="3"/>
    </row>
    <row r="30" spans="1:13" x14ac:dyDescent="0.2">
      <c r="A30" s="3">
        <v>46027</v>
      </c>
      <c r="B30" s="3">
        <v>46027</v>
      </c>
      <c r="C30">
        <v>12.446425239464052</v>
      </c>
      <c r="D30">
        <v>54.887153190748904</v>
      </c>
      <c r="F30" s="3"/>
      <c r="G30" s="3">
        <v>46024</v>
      </c>
      <c r="H30" s="3">
        <v>46027</v>
      </c>
      <c r="I30">
        <v>-6.1037011436384656</v>
      </c>
      <c r="J30">
        <v>54.887153190748904</v>
      </c>
      <c r="L30" s="3"/>
      <c r="M30" s="3"/>
    </row>
    <row r="31" spans="1:13" x14ac:dyDescent="0.2">
      <c r="A31" s="3">
        <v>46028</v>
      </c>
      <c r="B31" s="3">
        <v>46028</v>
      </c>
      <c r="C31">
        <v>-16.943119850602436</v>
      </c>
      <c r="D31">
        <v>-41.770133899774464</v>
      </c>
      <c r="F31" s="3"/>
      <c r="G31" s="3">
        <v>46027</v>
      </c>
      <c r="H31" s="3">
        <v>46028</v>
      </c>
      <c r="I31">
        <v>12.446425239464052</v>
      </c>
      <c r="J31">
        <v>-41.770133899774464</v>
      </c>
      <c r="L31" s="3"/>
      <c r="M31" s="3"/>
    </row>
    <row r="32" spans="1:13" x14ac:dyDescent="0.2">
      <c r="A32" s="3">
        <v>46029</v>
      </c>
      <c r="B32" s="3">
        <v>46029</v>
      </c>
      <c r="C32">
        <v>-9.7303875490127023</v>
      </c>
      <c r="D32">
        <v>42.243696305961294</v>
      </c>
      <c r="F32" s="3"/>
      <c r="G32" s="3">
        <v>46028</v>
      </c>
      <c r="H32" s="3">
        <v>46029</v>
      </c>
      <c r="I32">
        <v>-16.943119850602436</v>
      </c>
      <c r="J32">
        <v>42.243696305961294</v>
      </c>
      <c r="L32" s="3"/>
      <c r="M32" s="3"/>
    </row>
    <row r="33" spans="1:13" x14ac:dyDescent="0.2">
      <c r="A33" s="3">
        <v>46030</v>
      </c>
      <c r="B33" s="3">
        <v>46030</v>
      </c>
      <c r="C33">
        <v>36.931147636963495</v>
      </c>
      <c r="D33">
        <v>-29.568304286581224</v>
      </c>
      <c r="F33" s="3"/>
      <c r="G33" s="3">
        <v>46029</v>
      </c>
      <c r="H33" s="3">
        <v>46030</v>
      </c>
      <c r="I33">
        <v>-9.7303875490127023</v>
      </c>
      <c r="J33">
        <v>-29.568304286581224</v>
      </c>
      <c r="L33" s="3"/>
      <c r="M33" s="3"/>
    </row>
    <row r="34" spans="1:13" x14ac:dyDescent="0.2">
      <c r="A34" s="3">
        <v>46031</v>
      </c>
      <c r="B34" s="3">
        <v>46031</v>
      </c>
      <c r="C34">
        <v>11.491472174228322</v>
      </c>
      <c r="D34">
        <v>31.52485707847427</v>
      </c>
      <c r="F34" s="3"/>
      <c r="G34" s="3">
        <v>46030</v>
      </c>
      <c r="H34" s="3">
        <v>46031</v>
      </c>
      <c r="I34">
        <v>36.931147636963495</v>
      </c>
      <c r="J34">
        <v>31.52485707847427</v>
      </c>
      <c r="L34" s="3"/>
      <c r="M34" s="3"/>
    </row>
    <row r="35" spans="1:13" x14ac:dyDescent="0.2">
      <c r="A35" s="3">
        <v>46034</v>
      </c>
      <c r="B35" s="3">
        <v>46034</v>
      </c>
      <c r="C35">
        <v>6.3960425614672953</v>
      </c>
      <c r="D35">
        <v>7.0471616636496037E-2</v>
      </c>
      <c r="F35" s="3"/>
      <c r="G35" s="3">
        <v>46031</v>
      </c>
      <c r="H35" s="3">
        <v>46034</v>
      </c>
      <c r="I35">
        <v>11.491472174228322</v>
      </c>
      <c r="J35">
        <v>7.0471616636496037E-2</v>
      </c>
      <c r="L35" s="3"/>
      <c r="M35" s="3"/>
    </row>
    <row r="36" spans="1:13" x14ac:dyDescent="0.2">
      <c r="A36" s="3">
        <v>46035</v>
      </c>
      <c r="B36" s="3">
        <v>46035</v>
      </c>
      <c r="C36">
        <v>-18.167569585943955</v>
      </c>
      <c r="D36">
        <v>14.998329279446352</v>
      </c>
      <c r="F36" s="3"/>
      <c r="G36" s="3">
        <v>46034</v>
      </c>
      <c r="H36" s="3">
        <v>46035</v>
      </c>
      <c r="I36">
        <v>6.3960425614672953</v>
      </c>
      <c r="J36">
        <v>14.998329279446352</v>
      </c>
      <c r="L36" s="3"/>
      <c r="M36" s="3"/>
    </row>
    <row r="37" spans="1:13" x14ac:dyDescent="0.2">
      <c r="A37" s="3">
        <v>46036</v>
      </c>
      <c r="B37" s="3">
        <v>46036</v>
      </c>
      <c r="C37">
        <v>-9.3873671996320081</v>
      </c>
      <c r="D37">
        <v>-71.549776942098561</v>
      </c>
      <c r="F37" s="3"/>
      <c r="G37" s="3">
        <v>46035</v>
      </c>
      <c r="H37" s="3">
        <v>46036</v>
      </c>
      <c r="I37">
        <v>-18.167569585943955</v>
      </c>
      <c r="J37">
        <v>-71.549776942098561</v>
      </c>
      <c r="L37" s="3"/>
      <c r="M37" s="3"/>
    </row>
    <row r="38" spans="1:13" x14ac:dyDescent="0.2">
      <c r="A38" s="3">
        <v>46037</v>
      </c>
      <c r="B38" s="3">
        <v>46037</v>
      </c>
      <c r="C38">
        <v>7.5373537333650269</v>
      </c>
      <c r="D38">
        <v>13.97682065362369</v>
      </c>
      <c r="F38" s="3"/>
      <c r="G38" s="3">
        <v>46036</v>
      </c>
      <c r="H38" s="3">
        <v>46037</v>
      </c>
      <c r="I38">
        <v>-9.3873671996320081</v>
      </c>
      <c r="J38">
        <v>13.97682065362369</v>
      </c>
      <c r="L38" s="3"/>
      <c r="M38" s="3"/>
    </row>
    <row r="39" spans="1:13" x14ac:dyDescent="0.2">
      <c r="A39" s="3">
        <v>46038</v>
      </c>
      <c r="B39" s="3">
        <v>46038</v>
      </c>
      <c r="C39">
        <v>5.6539964079596154E-2</v>
      </c>
      <c r="D39">
        <v>22.230258974398566</v>
      </c>
      <c r="F39" s="3"/>
      <c r="G39" s="3">
        <v>46037</v>
      </c>
      <c r="H39" s="3">
        <v>46038</v>
      </c>
      <c r="I39">
        <v>7.5373537333650269</v>
      </c>
      <c r="J39">
        <v>22.230258974398566</v>
      </c>
      <c r="L39" s="3"/>
      <c r="M39" s="3"/>
    </row>
    <row r="40" spans="1:13" x14ac:dyDescent="0.2">
      <c r="A40" s="3">
        <v>46042</v>
      </c>
      <c r="B40" s="3">
        <v>46041</v>
      </c>
      <c r="C40">
        <v>-7.6284814414116315</v>
      </c>
      <c r="D40">
        <v>-36.567280733892858</v>
      </c>
      <c r="F40" s="3"/>
      <c r="G40" s="3">
        <v>46038</v>
      </c>
      <c r="H40" s="3">
        <v>46041</v>
      </c>
      <c r="I40">
        <v>5.6539964079596154E-2</v>
      </c>
      <c r="J40">
        <v>-36.567280733892858</v>
      </c>
      <c r="L40" s="3"/>
      <c r="M40" s="3"/>
    </row>
    <row r="41" spans="1:13" x14ac:dyDescent="0.2">
      <c r="A41" s="3">
        <v>46043</v>
      </c>
      <c r="B41" s="3">
        <v>46042</v>
      </c>
      <c r="C41">
        <v>-5.6867135969682074</v>
      </c>
      <c r="D41">
        <v>-39.877930032788299</v>
      </c>
      <c r="F41" s="3"/>
      <c r="G41" s="3">
        <v>46042</v>
      </c>
      <c r="H41" s="3">
        <v>46042</v>
      </c>
      <c r="I41">
        <v>-7.6284814414116315</v>
      </c>
      <c r="J41">
        <v>-39.877930032788299</v>
      </c>
      <c r="L41" s="3"/>
      <c r="M41" s="3"/>
    </row>
    <row r="42" spans="1:13" x14ac:dyDescent="0.2">
      <c r="A42" s="3">
        <v>46044</v>
      </c>
      <c r="B42" s="3">
        <v>46043</v>
      </c>
      <c r="C42">
        <v>5.2439868687022626</v>
      </c>
      <c r="D42">
        <v>-36.226343526049732</v>
      </c>
      <c r="F42" s="3"/>
      <c r="G42" s="3">
        <v>46043</v>
      </c>
      <c r="H42" s="3">
        <v>46043</v>
      </c>
      <c r="I42">
        <v>-5.6867135969682074</v>
      </c>
      <c r="J42">
        <v>-36.226343526049732</v>
      </c>
      <c r="L42" s="3"/>
      <c r="M42" s="3"/>
    </row>
    <row r="43" spans="1:13" x14ac:dyDescent="0.2">
      <c r="A43" s="3">
        <v>46045</v>
      </c>
      <c r="B43" s="3">
        <v>46044</v>
      </c>
      <c r="C43">
        <v>3.0449783724455202</v>
      </c>
      <c r="D43">
        <v>3.8827229425892256</v>
      </c>
      <c r="F43" s="3"/>
      <c r="G43" s="3">
        <v>46044</v>
      </c>
      <c r="H43" s="3">
        <v>46044</v>
      </c>
      <c r="I43">
        <v>5.2439868687022626</v>
      </c>
      <c r="J43">
        <v>3.8827229425892256</v>
      </c>
      <c r="L43" s="3"/>
      <c r="M43" s="3"/>
    </row>
    <row r="44" spans="1:13" x14ac:dyDescent="0.2">
      <c r="A44" s="3">
        <v>46048</v>
      </c>
      <c r="B44" s="3">
        <v>46045</v>
      </c>
      <c r="C44">
        <v>-5.9477963846091786</v>
      </c>
      <c r="D44">
        <v>15.289746737353198</v>
      </c>
      <c r="F44" s="3"/>
      <c r="G44" s="3">
        <v>46045</v>
      </c>
      <c r="H44" s="3">
        <v>46045</v>
      </c>
      <c r="I44">
        <v>3.0449783724455202</v>
      </c>
      <c r="J44">
        <v>15.289746737353198</v>
      </c>
      <c r="L44" s="3"/>
      <c r="M44" s="3"/>
    </row>
    <row r="45" spans="1:13" x14ac:dyDescent="0.2">
      <c r="A45" s="3">
        <v>46049</v>
      </c>
      <c r="B45" s="3">
        <v>46048</v>
      </c>
      <c r="C45">
        <v>-8.2279828750876938</v>
      </c>
      <c r="D45">
        <v>-25.955457373916943</v>
      </c>
      <c r="F45" s="3"/>
      <c r="G45" s="3">
        <v>46048</v>
      </c>
      <c r="H45" s="3">
        <v>46048</v>
      </c>
      <c r="I45">
        <v>-5.9477963846091786</v>
      </c>
      <c r="J45">
        <v>-25.955457373916943</v>
      </c>
      <c r="L45" s="3"/>
      <c r="M45" s="3"/>
    </row>
    <row r="46" spans="1:13" x14ac:dyDescent="0.2">
      <c r="A46" s="3">
        <v>46050</v>
      </c>
      <c r="B46" s="3">
        <v>46049</v>
      </c>
      <c r="C46">
        <v>-18.260198377833099</v>
      </c>
      <c r="D46">
        <v>-0.6281960969663487</v>
      </c>
      <c r="F46" s="3"/>
      <c r="G46" s="3">
        <v>46049</v>
      </c>
      <c r="H46" s="3">
        <v>46049</v>
      </c>
      <c r="I46">
        <v>-8.2279828750876938</v>
      </c>
      <c r="J46">
        <v>-0.6281960969663487</v>
      </c>
      <c r="L46" s="3"/>
      <c r="M46" s="3"/>
    </row>
    <row r="47" spans="1:13" x14ac:dyDescent="0.2">
      <c r="A47" s="3">
        <v>46051</v>
      </c>
      <c r="B47" s="3">
        <v>46050</v>
      </c>
      <c r="C47">
        <v>-3.7148506133929433</v>
      </c>
      <c r="D47">
        <v>10.629196534780931</v>
      </c>
      <c r="F47" s="3"/>
      <c r="G47" s="3">
        <v>46050</v>
      </c>
      <c r="H47" s="3">
        <v>46050</v>
      </c>
      <c r="I47">
        <v>-18.260198377833099</v>
      </c>
      <c r="J47">
        <v>10.629196534780931</v>
      </c>
      <c r="L47" s="3"/>
      <c r="M47" s="3"/>
    </row>
    <row r="48" spans="1:13" x14ac:dyDescent="0.2">
      <c r="A48" s="3">
        <v>46052</v>
      </c>
      <c r="B48" s="3">
        <v>46051</v>
      </c>
      <c r="C48">
        <v>12.346619173569355</v>
      </c>
      <c r="D48">
        <v>-25.589794519413772</v>
      </c>
      <c r="F48" s="3"/>
      <c r="G48" s="3">
        <v>46051</v>
      </c>
      <c r="H48" s="3">
        <v>46051</v>
      </c>
      <c r="I48">
        <v>-3.7148506133929433</v>
      </c>
      <c r="J48">
        <v>-25.589794519413772</v>
      </c>
      <c r="L48" s="3"/>
      <c r="M48" s="3"/>
    </row>
    <row r="49" spans="1:13" x14ac:dyDescent="0.2">
      <c r="A49" s="3"/>
      <c r="B49" s="3">
        <v>46052</v>
      </c>
      <c r="D49">
        <v>-30.999391216475487</v>
      </c>
      <c r="F49" s="3"/>
      <c r="G49" s="3">
        <v>46052</v>
      </c>
      <c r="H49" s="3">
        <v>46052</v>
      </c>
      <c r="I49">
        <v>12.346619173569355</v>
      </c>
      <c r="J49">
        <v>-30.999391216475487</v>
      </c>
      <c r="L49" s="3"/>
      <c r="M49" s="3"/>
    </row>
    <row r="50" spans="1:13" x14ac:dyDescent="0.2">
      <c r="A50" s="3"/>
      <c r="B50" s="3"/>
      <c r="F50" s="3"/>
      <c r="G50" s="3"/>
      <c r="H50" s="3"/>
      <c r="L50" s="3"/>
      <c r="M50" s="3"/>
    </row>
    <row r="51" spans="1:13" x14ac:dyDescent="0.2">
      <c r="A51" s="3"/>
      <c r="B51" s="3"/>
      <c r="F51" s="3"/>
      <c r="G51" s="3"/>
      <c r="H51" s="3"/>
      <c r="L51" s="3"/>
      <c r="M51" s="3"/>
    </row>
    <row r="52" spans="1:13" x14ac:dyDescent="0.2">
      <c r="A52" s="3"/>
      <c r="B52" s="3"/>
      <c r="F52" s="3"/>
      <c r="G52" s="3"/>
      <c r="H52" s="3"/>
      <c r="L52" s="3"/>
      <c r="M52" s="3"/>
    </row>
    <row r="53" spans="1:13" x14ac:dyDescent="0.2">
      <c r="A53" s="3"/>
      <c r="B53" s="3"/>
      <c r="F53" s="3"/>
      <c r="G53" s="3"/>
      <c r="H53" s="3"/>
      <c r="L53" s="3"/>
      <c r="M53" s="3"/>
    </row>
    <row r="54" spans="1:13" x14ac:dyDescent="0.2">
      <c r="A54" s="3"/>
      <c r="B54" s="3"/>
      <c r="F54" s="3"/>
      <c r="G54" s="3"/>
      <c r="H54" s="3"/>
      <c r="L54" s="3"/>
      <c r="M54" s="3"/>
    </row>
    <row r="55" spans="1:13" x14ac:dyDescent="0.2">
      <c r="A55" s="3"/>
      <c r="B55" s="3"/>
      <c r="F55" s="3"/>
      <c r="G55" s="3"/>
      <c r="H55" s="3"/>
      <c r="L55" s="3"/>
      <c r="M55" s="3"/>
    </row>
    <row r="56" spans="1:13" x14ac:dyDescent="0.2">
      <c r="A56" s="3"/>
      <c r="B56" s="3"/>
      <c r="F56" s="3"/>
      <c r="G56" s="3"/>
      <c r="H56" s="3"/>
      <c r="L56" s="3"/>
      <c r="M56" s="3"/>
    </row>
    <row r="57" spans="1:13" x14ac:dyDescent="0.2">
      <c r="A57" s="3"/>
      <c r="B57" s="3"/>
      <c r="F57" s="3"/>
      <c r="G57" s="3"/>
      <c r="H57" s="3"/>
      <c r="L57" s="3"/>
      <c r="M57" s="3"/>
    </row>
    <row r="58" spans="1:13" x14ac:dyDescent="0.2">
      <c r="A58" s="3"/>
      <c r="B58" s="3"/>
      <c r="F58" s="3"/>
      <c r="G58" s="3"/>
      <c r="H58" s="3"/>
      <c r="L58" s="3"/>
      <c r="M58" s="3"/>
    </row>
    <row r="59" spans="1:13" x14ac:dyDescent="0.2">
      <c r="A59" s="3"/>
      <c r="B59" s="3"/>
      <c r="F59" s="3"/>
      <c r="G59" s="3"/>
      <c r="H59" s="3"/>
      <c r="L59" s="3"/>
      <c r="M59" s="3"/>
    </row>
    <row r="60" spans="1:13" x14ac:dyDescent="0.2">
      <c r="A60" s="3"/>
      <c r="B60" s="3"/>
      <c r="F60" s="3"/>
      <c r="G60" s="3"/>
      <c r="H60" s="3"/>
      <c r="L60" s="3"/>
      <c r="M60" s="3"/>
    </row>
    <row r="61" spans="1:13" x14ac:dyDescent="0.2">
      <c r="A61" s="3"/>
      <c r="B61" s="3"/>
      <c r="F61" s="3"/>
      <c r="G61" s="3"/>
      <c r="H61" s="3"/>
      <c r="L61" s="3"/>
      <c r="M61" s="3"/>
    </row>
    <row r="62" spans="1:13" x14ac:dyDescent="0.2">
      <c r="A62" s="3"/>
      <c r="B62" s="3"/>
      <c r="F62" s="3"/>
      <c r="G62" s="3"/>
      <c r="H62" s="3"/>
      <c r="L62" s="3"/>
      <c r="M62" s="3"/>
    </row>
    <row r="63" spans="1:13" x14ac:dyDescent="0.2">
      <c r="A63" s="3"/>
      <c r="B63" s="3"/>
      <c r="F63" s="3"/>
      <c r="G63" s="3"/>
      <c r="H63" s="3"/>
      <c r="L63" s="3"/>
      <c r="M63" s="3"/>
    </row>
    <row r="64" spans="1:13" x14ac:dyDescent="0.2">
      <c r="A64" s="3"/>
      <c r="B64" s="3"/>
      <c r="F64" s="3"/>
      <c r="G64" s="3"/>
      <c r="H64" s="3"/>
      <c r="L64" s="3"/>
      <c r="M64" s="3"/>
    </row>
    <row r="65" spans="1:13" x14ac:dyDescent="0.2">
      <c r="A65" s="3"/>
      <c r="B65" s="3"/>
      <c r="F65" s="3"/>
      <c r="G65" s="3"/>
      <c r="H65" s="3"/>
      <c r="L65" s="3"/>
      <c r="M65" s="3"/>
    </row>
    <row r="66" spans="1:13" x14ac:dyDescent="0.2">
      <c r="A66" s="3"/>
      <c r="B66" s="3"/>
      <c r="F66" s="3"/>
      <c r="G66" s="3"/>
      <c r="H66" s="3"/>
      <c r="L66" s="3"/>
      <c r="M66" s="3"/>
    </row>
    <row r="67" spans="1:13" x14ac:dyDescent="0.2">
      <c r="A67" s="3"/>
      <c r="B67" s="3"/>
      <c r="F67" s="3"/>
      <c r="G67" s="3"/>
      <c r="H67" s="3"/>
      <c r="L67" s="3"/>
      <c r="M67" s="3"/>
    </row>
    <row r="68" spans="1:13" x14ac:dyDescent="0.2">
      <c r="A68" s="3"/>
      <c r="B68" s="3"/>
      <c r="F68" s="3"/>
      <c r="G68" s="3"/>
      <c r="H68" s="3"/>
      <c r="L68" s="3"/>
      <c r="M68" s="3"/>
    </row>
    <row r="69" spans="1:13" x14ac:dyDescent="0.2">
      <c r="A69" s="3"/>
      <c r="B69" s="3"/>
      <c r="F69" s="3"/>
      <c r="G69" s="3"/>
      <c r="H69" s="3"/>
      <c r="L69" s="3"/>
      <c r="M69" s="3"/>
    </row>
    <row r="70" spans="1:13" x14ac:dyDescent="0.2">
      <c r="A70" s="3"/>
      <c r="B70" s="3"/>
      <c r="F70" s="3"/>
      <c r="G70" s="3"/>
      <c r="H70" s="3"/>
      <c r="L70" s="3"/>
      <c r="M70" s="3"/>
    </row>
    <row r="71" spans="1:13" x14ac:dyDescent="0.2">
      <c r="A71" s="3"/>
      <c r="B71" s="3"/>
      <c r="F71" s="3"/>
      <c r="G71" s="3"/>
      <c r="H71" s="3"/>
      <c r="L71" s="3"/>
      <c r="M71" s="3"/>
    </row>
    <row r="72" spans="1:13" x14ac:dyDescent="0.2">
      <c r="A72" s="3"/>
      <c r="B72" s="3"/>
      <c r="F72" s="3"/>
      <c r="G72" s="3"/>
      <c r="H72" s="3"/>
      <c r="L72" s="3"/>
      <c r="M72" s="3"/>
    </row>
    <row r="73" spans="1:13" x14ac:dyDescent="0.2">
      <c r="A73" s="3"/>
      <c r="B73" s="3"/>
      <c r="F73" s="3"/>
      <c r="G73" s="3"/>
      <c r="H73" s="3"/>
      <c r="L73" s="3"/>
      <c r="M73" s="3"/>
    </row>
    <row r="74" spans="1:13" x14ac:dyDescent="0.2">
      <c r="A74" s="3"/>
      <c r="B74" s="3"/>
      <c r="F74" s="3"/>
      <c r="G74" s="3"/>
      <c r="H74" s="3"/>
      <c r="L74" s="3"/>
      <c r="M74" s="3"/>
    </row>
    <row r="75" spans="1:13" x14ac:dyDescent="0.2">
      <c r="A75" s="3"/>
      <c r="B75" s="3"/>
      <c r="F75" s="3"/>
      <c r="G75" s="3"/>
      <c r="H75" s="3"/>
      <c r="L75" s="3"/>
      <c r="M75" s="3"/>
    </row>
    <row r="76" spans="1:13" x14ac:dyDescent="0.2">
      <c r="A76" s="3"/>
      <c r="B76" s="3"/>
      <c r="F76" s="3"/>
      <c r="G76" s="3"/>
      <c r="H76" s="3"/>
      <c r="L76" s="3"/>
      <c r="M76" s="3"/>
    </row>
    <row r="77" spans="1:13" x14ac:dyDescent="0.2">
      <c r="A77" s="3"/>
      <c r="B77" s="3"/>
      <c r="F77" s="3"/>
      <c r="G77" s="3"/>
      <c r="H77" s="3"/>
      <c r="L77" s="3"/>
      <c r="M77" s="3"/>
    </row>
    <row r="78" spans="1:13" x14ac:dyDescent="0.2">
      <c r="A78" s="3"/>
      <c r="B78" s="3"/>
      <c r="F78" s="3"/>
      <c r="G78" s="3"/>
      <c r="H78" s="3"/>
      <c r="L78" s="3"/>
      <c r="M78" s="3"/>
    </row>
    <row r="79" spans="1:13" x14ac:dyDescent="0.2">
      <c r="A79" s="3"/>
      <c r="B79" s="3"/>
      <c r="F79" s="3"/>
      <c r="G79" s="3"/>
      <c r="H79" s="3"/>
      <c r="L79" s="3"/>
      <c r="M79" s="3"/>
    </row>
    <row r="80" spans="1:13" x14ac:dyDescent="0.2">
      <c r="A80" s="3"/>
      <c r="B80" s="3"/>
      <c r="F80" s="3"/>
      <c r="G80" s="3"/>
      <c r="H80" s="3"/>
      <c r="L80" s="3"/>
      <c r="M80" s="3"/>
    </row>
    <row r="81" spans="1:13" x14ac:dyDescent="0.2">
      <c r="A81" s="3"/>
      <c r="B81" s="3"/>
      <c r="F81" s="3"/>
      <c r="G81" s="3"/>
      <c r="H81" s="3"/>
      <c r="L81" s="3"/>
      <c r="M81" s="3"/>
    </row>
    <row r="82" spans="1:13" x14ac:dyDescent="0.2">
      <c r="A82" s="3"/>
      <c r="B82" s="3"/>
      <c r="F82" s="3"/>
      <c r="G82" s="3"/>
      <c r="H82" s="3"/>
      <c r="L82" s="3"/>
      <c r="M82" s="3"/>
    </row>
    <row r="83" spans="1:13" x14ac:dyDescent="0.2">
      <c r="A83" s="3"/>
      <c r="B83" s="3"/>
      <c r="F83" s="3"/>
      <c r="G83" s="3"/>
      <c r="H83" s="3"/>
      <c r="L83" s="3"/>
      <c r="M83" s="3"/>
    </row>
    <row r="84" spans="1:13" x14ac:dyDescent="0.2">
      <c r="A84" s="3"/>
      <c r="B84" s="3"/>
      <c r="F84" s="3"/>
      <c r="G84" s="3"/>
      <c r="H84" s="3"/>
      <c r="L84" s="3"/>
      <c r="M84" s="3"/>
    </row>
    <row r="85" spans="1:13" x14ac:dyDescent="0.2">
      <c r="A85" s="3"/>
      <c r="B85" s="3"/>
      <c r="F85" s="3"/>
      <c r="G85" s="3"/>
      <c r="H85" s="3"/>
      <c r="L85" s="3"/>
      <c r="M85" s="3"/>
    </row>
    <row r="86" spans="1:13" x14ac:dyDescent="0.2">
      <c r="A86" s="3"/>
      <c r="B86" s="3"/>
      <c r="F86" s="3"/>
      <c r="G86" s="3"/>
      <c r="H86" s="3"/>
      <c r="L86" s="3"/>
      <c r="M86" s="3"/>
    </row>
    <row r="87" spans="1:13" x14ac:dyDescent="0.2">
      <c r="A87" s="3"/>
      <c r="B87" s="3"/>
      <c r="F87" s="3"/>
      <c r="G87" s="3"/>
      <c r="H87" s="3"/>
      <c r="L87" s="3"/>
      <c r="M87" s="3"/>
    </row>
    <row r="88" spans="1:13" x14ac:dyDescent="0.2">
      <c r="A88" s="3"/>
      <c r="B88" s="3"/>
      <c r="F88" s="3"/>
      <c r="G88" s="3"/>
      <c r="H88" s="3"/>
      <c r="L88" s="3"/>
      <c r="M88" s="3"/>
    </row>
    <row r="89" spans="1:13" x14ac:dyDescent="0.2">
      <c r="A89" s="3"/>
      <c r="B89" s="3"/>
      <c r="F89" s="3"/>
      <c r="G89" s="3"/>
      <c r="H89" s="3"/>
      <c r="L89" s="3"/>
      <c r="M89" s="3"/>
    </row>
    <row r="90" spans="1:13" x14ac:dyDescent="0.2">
      <c r="A90" s="3"/>
      <c r="B90" s="3"/>
      <c r="F90" s="3"/>
      <c r="G90" s="3"/>
      <c r="H90" s="3"/>
      <c r="L90" s="3"/>
      <c r="M90" s="3"/>
    </row>
    <row r="91" spans="1:13" x14ac:dyDescent="0.2">
      <c r="A91" s="3"/>
      <c r="B91" s="3"/>
      <c r="F91" s="3"/>
      <c r="G91" s="3"/>
      <c r="H91" s="3"/>
      <c r="L91" s="3"/>
      <c r="M91" s="3"/>
    </row>
    <row r="92" spans="1:13" x14ac:dyDescent="0.2">
      <c r="A92" s="3"/>
      <c r="B92" s="3"/>
      <c r="F92" s="3"/>
      <c r="G92" s="3"/>
      <c r="H92" s="3"/>
      <c r="L92" s="3"/>
      <c r="M92" s="3"/>
    </row>
    <row r="93" spans="1:13" x14ac:dyDescent="0.2">
      <c r="A93" s="3"/>
      <c r="B93" s="3"/>
      <c r="F93" s="3"/>
      <c r="G93" s="3"/>
      <c r="H93" s="3"/>
      <c r="L93" s="3"/>
      <c r="M93" s="3"/>
    </row>
    <row r="94" spans="1:13" x14ac:dyDescent="0.2">
      <c r="A94" s="3"/>
      <c r="B94" s="3"/>
      <c r="F94" s="3"/>
      <c r="G94" s="3"/>
      <c r="H94" s="3"/>
      <c r="L94" s="3"/>
      <c r="M94" s="3"/>
    </row>
    <row r="95" spans="1:13" x14ac:dyDescent="0.2">
      <c r="A95" s="3"/>
      <c r="B95" s="3"/>
      <c r="F95" s="3"/>
      <c r="G95" s="3"/>
      <c r="H95" s="3"/>
      <c r="L95" s="3"/>
      <c r="M95" s="3"/>
    </row>
    <row r="96" spans="1:13" x14ac:dyDescent="0.2">
      <c r="A96" s="3"/>
      <c r="B96" s="3"/>
      <c r="F96" s="3"/>
      <c r="G96" s="3"/>
      <c r="H96" s="3"/>
      <c r="L96" s="3"/>
      <c r="M96" s="3"/>
    </row>
    <row r="97" spans="1:13" x14ac:dyDescent="0.2">
      <c r="A97" s="3"/>
      <c r="B97" s="3"/>
      <c r="F97" s="3"/>
      <c r="G97" s="3"/>
      <c r="H97" s="3"/>
      <c r="L97" s="3"/>
      <c r="M97" s="3"/>
    </row>
    <row r="98" spans="1:13" x14ac:dyDescent="0.2">
      <c r="A98" s="3"/>
      <c r="B98" s="3"/>
      <c r="F98" s="3"/>
      <c r="G98" s="3"/>
      <c r="H98" s="3"/>
      <c r="L98" s="3"/>
      <c r="M98" s="3"/>
    </row>
    <row r="99" spans="1:13" x14ac:dyDescent="0.2">
      <c r="A99" s="3"/>
      <c r="B99" s="3"/>
      <c r="F99" s="3"/>
      <c r="G99" s="3"/>
      <c r="H99" s="3"/>
      <c r="L99" s="3"/>
      <c r="M99" s="3"/>
    </row>
    <row r="100" spans="1:13" x14ac:dyDescent="0.2">
      <c r="A100" s="3"/>
      <c r="B100" s="3"/>
      <c r="F100" s="3"/>
      <c r="G100" s="3"/>
      <c r="H100" s="3"/>
      <c r="L100" s="3"/>
      <c r="M100" s="3"/>
    </row>
    <row r="101" spans="1:13" x14ac:dyDescent="0.2">
      <c r="A101" s="3"/>
      <c r="B101" s="3"/>
      <c r="F101" s="3"/>
      <c r="G101" s="3"/>
      <c r="H101" s="3"/>
      <c r="L101" s="3"/>
      <c r="M101" s="3"/>
    </row>
    <row r="102" spans="1:13" x14ac:dyDescent="0.2">
      <c r="A102" s="3"/>
      <c r="B102" s="3"/>
      <c r="F102" s="3"/>
      <c r="G102" s="3"/>
      <c r="H102" s="3"/>
      <c r="L102" s="3"/>
      <c r="M102" s="3"/>
    </row>
    <row r="103" spans="1:13" x14ac:dyDescent="0.2">
      <c r="A103" s="3"/>
      <c r="B103" s="3"/>
      <c r="F103" s="3"/>
      <c r="G103" s="3"/>
      <c r="H103" s="3"/>
      <c r="L103" s="3"/>
      <c r="M103" s="3"/>
    </row>
    <row r="104" spans="1:13" x14ac:dyDescent="0.2">
      <c r="A104" s="3"/>
      <c r="B104" s="3"/>
      <c r="F104" s="3"/>
      <c r="G104" s="3"/>
      <c r="H104" s="3"/>
      <c r="L104" s="3"/>
      <c r="M104" s="3"/>
    </row>
    <row r="105" spans="1:13" x14ac:dyDescent="0.2">
      <c r="A105" s="3"/>
      <c r="B105" s="3"/>
      <c r="F105" s="3"/>
      <c r="G105" s="3"/>
      <c r="H105" s="3"/>
      <c r="L105" s="3"/>
      <c r="M105" s="3"/>
    </row>
    <row r="106" spans="1:13" x14ac:dyDescent="0.2">
      <c r="A106" s="3"/>
      <c r="B106" s="3"/>
      <c r="F106" s="3"/>
      <c r="G106" s="3"/>
      <c r="H106" s="3"/>
      <c r="L106" s="3"/>
      <c r="M106" s="3"/>
    </row>
    <row r="107" spans="1:13" x14ac:dyDescent="0.2">
      <c r="A107" s="3"/>
      <c r="B107" s="3"/>
      <c r="F107" s="3"/>
      <c r="G107" s="3"/>
      <c r="H107" s="3"/>
      <c r="L107" s="3"/>
      <c r="M107" s="3"/>
    </row>
    <row r="108" spans="1:13" x14ac:dyDescent="0.2">
      <c r="A108" s="3"/>
      <c r="B108" s="3"/>
      <c r="F108" s="3"/>
      <c r="G108" s="3"/>
      <c r="H108" s="3"/>
      <c r="L108" s="3"/>
      <c r="M108" s="3"/>
    </row>
    <row r="109" spans="1:13" x14ac:dyDescent="0.2">
      <c r="A109" s="3"/>
      <c r="B109" s="3"/>
      <c r="F109" s="3"/>
      <c r="G109" s="3"/>
      <c r="H109" s="3"/>
      <c r="L109" s="3"/>
      <c r="M109" s="3"/>
    </row>
    <row r="110" spans="1:13" x14ac:dyDescent="0.2">
      <c r="A110" s="3"/>
      <c r="B110" s="3"/>
      <c r="F110" s="3"/>
      <c r="G110" s="3"/>
      <c r="H110" s="3"/>
      <c r="L110" s="3"/>
      <c r="M110" s="3"/>
    </row>
    <row r="111" spans="1:13" x14ac:dyDescent="0.2">
      <c r="A111" s="3"/>
      <c r="B111" s="3"/>
      <c r="F111" s="3"/>
      <c r="G111" s="3"/>
      <c r="H111" s="3"/>
      <c r="L111" s="3"/>
      <c r="M111" s="3"/>
    </row>
    <row r="112" spans="1:13" x14ac:dyDescent="0.2">
      <c r="A112" s="3"/>
      <c r="B112" s="3"/>
      <c r="F112" s="3"/>
      <c r="G112" s="3"/>
      <c r="H112" s="3"/>
      <c r="L112" s="3"/>
      <c r="M112" s="3"/>
    </row>
    <row r="113" spans="1:13" x14ac:dyDescent="0.2">
      <c r="A113" s="3"/>
      <c r="B113" s="3"/>
      <c r="F113" s="3"/>
      <c r="G113" s="3"/>
      <c r="H113" s="3"/>
      <c r="L113" s="3"/>
      <c r="M113" s="3"/>
    </row>
    <row r="114" spans="1:13" x14ac:dyDescent="0.2">
      <c r="A114" s="3"/>
      <c r="B114" s="3"/>
      <c r="F114" s="3"/>
      <c r="G114" s="3"/>
      <c r="H114" s="3"/>
      <c r="L114" s="3"/>
      <c r="M114" s="3"/>
    </row>
    <row r="115" spans="1:13" x14ac:dyDescent="0.2">
      <c r="A115" s="3"/>
      <c r="B115" s="3"/>
      <c r="F115" s="3"/>
      <c r="G115" s="3"/>
      <c r="H115" s="3"/>
      <c r="L115" s="3"/>
      <c r="M115" s="3"/>
    </row>
    <row r="116" spans="1:13" x14ac:dyDescent="0.2">
      <c r="A116" s="3"/>
      <c r="B116" s="3"/>
      <c r="F116" s="3"/>
      <c r="G116" s="3"/>
      <c r="H116" s="3"/>
      <c r="L116" s="3"/>
      <c r="M116" s="3"/>
    </row>
    <row r="117" spans="1:13" x14ac:dyDescent="0.2">
      <c r="A117" s="3"/>
      <c r="B117" s="3"/>
      <c r="F117" s="3"/>
      <c r="G117" s="3"/>
      <c r="H117" s="3"/>
      <c r="L117" s="3"/>
      <c r="M117" s="3"/>
    </row>
    <row r="118" spans="1:13" x14ac:dyDescent="0.2">
      <c r="A118" s="3"/>
      <c r="B118" s="3"/>
      <c r="F118" s="3"/>
      <c r="G118" s="3"/>
      <c r="H118" s="3"/>
      <c r="L118" s="3"/>
      <c r="M118" s="3"/>
    </row>
    <row r="119" spans="1:13" x14ac:dyDescent="0.2">
      <c r="A119" s="3"/>
      <c r="B119" s="3"/>
      <c r="F119" s="3"/>
      <c r="G119" s="3"/>
      <c r="H119" s="3"/>
      <c r="L119" s="3"/>
      <c r="M119" s="3"/>
    </row>
    <row r="120" spans="1:13" x14ac:dyDescent="0.2">
      <c r="A120" s="3"/>
      <c r="B120" s="3"/>
      <c r="F120" s="3"/>
      <c r="G120" s="3"/>
      <c r="H120" s="3"/>
      <c r="L120" s="3"/>
      <c r="M120" s="3"/>
    </row>
    <row r="121" spans="1:13" x14ac:dyDescent="0.2">
      <c r="A121" s="3"/>
      <c r="B121" s="3"/>
      <c r="F121" s="3"/>
      <c r="G121" s="3"/>
      <c r="H121" s="3"/>
      <c r="L121" s="3"/>
      <c r="M121" s="3"/>
    </row>
    <row r="122" spans="1:13" x14ac:dyDescent="0.2">
      <c r="A122" s="3"/>
      <c r="B122" s="3"/>
      <c r="F122" s="3"/>
      <c r="G122" s="3"/>
      <c r="H122" s="3"/>
      <c r="L122" s="3"/>
      <c r="M122" s="3"/>
    </row>
    <row r="123" spans="1:13" x14ac:dyDescent="0.2">
      <c r="A123" s="3"/>
      <c r="B123" s="3"/>
      <c r="F123" s="3"/>
      <c r="G123" s="3"/>
      <c r="H123" s="3"/>
      <c r="L123" s="3"/>
      <c r="M123" s="3"/>
    </row>
    <row r="124" spans="1:13" x14ac:dyDescent="0.2">
      <c r="A124" s="3"/>
      <c r="B124" s="3"/>
      <c r="F124" s="3"/>
      <c r="G124" s="3"/>
      <c r="H124" s="3"/>
      <c r="L124" s="3"/>
      <c r="M124" s="3"/>
    </row>
    <row r="125" spans="1:13" x14ac:dyDescent="0.2">
      <c r="A125" s="3"/>
      <c r="B125" s="3"/>
      <c r="F125" s="3"/>
      <c r="G125" s="3"/>
      <c r="H125" s="3"/>
      <c r="L125" s="3"/>
      <c r="M125" s="3"/>
    </row>
    <row r="126" spans="1:13" x14ac:dyDescent="0.2">
      <c r="A126" s="3"/>
      <c r="B126" s="3"/>
      <c r="F126" s="3"/>
      <c r="G126" s="3"/>
      <c r="H126" s="3"/>
      <c r="L126" s="3"/>
      <c r="M126" s="3"/>
    </row>
    <row r="127" spans="1:13" x14ac:dyDescent="0.2">
      <c r="A127" s="3"/>
      <c r="B127" s="3"/>
      <c r="F127" s="3"/>
      <c r="G127" s="3"/>
      <c r="H127" s="3"/>
      <c r="L127" s="3"/>
      <c r="M127" s="3"/>
    </row>
    <row r="128" spans="1:13" x14ac:dyDescent="0.2">
      <c r="A128" s="3"/>
      <c r="B128" s="3"/>
      <c r="F128" s="3"/>
      <c r="G128" s="3"/>
      <c r="H128" s="3"/>
      <c r="L128" s="3"/>
      <c r="M128" s="3"/>
    </row>
    <row r="129" spans="1:13" x14ac:dyDescent="0.2">
      <c r="A129" s="3"/>
      <c r="B129" s="3"/>
      <c r="F129" s="3"/>
      <c r="G129" s="3"/>
      <c r="H129" s="3"/>
      <c r="L129" s="3"/>
      <c r="M129" s="3"/>
    </row>
    <row r="130" spans="1:13" x14ac:dyDescent="0.2">
      <c r="A130" s="3"/>
      <c r="B130" s="3"/>
      <c r="F130" s="3"/>
      <c r="G130" s="3"/>
      <c r="H130" s="3"/>
      <c r="L130" s="3"/>
      <c r="M130" s="3"/>
    </row>
    <row r="131" spans="1:13" x14ac:dyDescent="0.2">
      <c r="A131" s="3"/>
      <c r="B131" s="3"/>
      <c r="F131" s="3"/>
      <c r="G131" s="3"/>
      <c r="H131" s="3"/>
      <c r="L131" s="3"/>
      <c r="M131" s="3"/>
    </row>
    <row r="132" spans="1:13" x14ac:dyDescent="0.2">
      <c r="A132" s="3"/>
      <c r="B132" s="3"/>
      <c r="F132" s="3"/>
      <c r="G132" s="3"/>
      <c r="H132" s="3"/>
      <c r="L132" s="3"/>
      <c r="M132" s="3"/>
    </row>
    <row r="133" spans="1:13" x14ac:dyDescent="0.2">
      <c r="A133" s="3"/>
      <c r="B133" s="3"/>
      <c r="F133" s="3"/>
      <c r="G133" s="3"/>
      <c r="H133" s="3"/>
      <c r="L133" s="3"/>
      <c r="M133" s="3"/>
    </row>
    <row r="134" spans="1:13" x14ac:dyDescent="0.2">
      <c r="A134" s="3"/>
      <c r="B134" s="3"/>
      <c r="F134" s="3"/>
      <c r="G134" s="3"/>
      <c r="H134" s="3"/>
      <c r="L134" s="3"/>
      <c r="M134" s="3"/>
    </row>
    <row r="135" spans="1:13" x14ac:dyDescent="0.2">
      <c r="A135" s="3"/>
      <c r="B135" s="3"/>
      <c r="F135" s="3"/>
      <c r="G135" s="3"/>
      <c r="H135" s="3"/>
      <c r="L135" s="3"/>
      <c r="M135" s="3"/>
    </row>
    <row r="136" spans="1:13" x14ac:dyDescent="0.2">
      <c r="A136" s="3"/>
      <c r="B136" s="3"/>
      <c r="F136" s="3"/>
      <c r="G136" s="3"/>
      <c r="H136" s="3"/>
      <c r="L136" s="3"/>
      <c r="M136" s="3"/>
    </row>
    <row r="137" spans="1:13" x14ac:dyDescent="0.2">
      <c r="A137" s="3"/>
      <c r="B137" s="3"/>
      <c r="F137" s="3"/>
      <c r="G137" s="3"/>
      <c r="H137" s="3"/>
      <c r="L137" s="3"/>
      <c r="M137" s="3"/>
    </row>
    <row r="138" spans="1:13" x14ac:dyDescent="0.2">
      <c r="A138" s="3"/>
      <c r="B138" s="3"/>
      <c r="F138" s="3"/>
      <c r="G138" s="3"/>
      <c r="H138" s="3"/>
      <c r="L138" s="3"/>
      <c r="M138" s="3"/>
    </row>
    <row r="139" spans="1:13" x14ac:dyDescent="0.2">
      <c r="A139" s="3"/>
      <c r="B139" s="3"/>
      <c r="F139" s="3"/>
      <c r="G139" s="3"/>
      <c r="H139" s="3"/>
      <c r="L139" s="3"/>
      <c r="M139" s="3"/>
    </row>
    <row r="140" spans="1:13" x14ac:dyDescent="0.2">
      <c r="A140" s="3"/>
      <c r="B140" s="3"/>
      <c r="F140" s="3"/>
      <c r="G140" s="3"/>
      <c r="H140" s="3"/>
      <c r="L140" s="3"/>
      <c r="M140" s="3"/>
    </row>
    <row r="141" spans="1:13" x14ac:dyDescent="0.2">
      <c r="A141" s="3"/>
      <c r="B141" s="3"/>
      <c r="F141" s="3"/>
      <c r="G141" s="3"/>
      <c r="H141" s="3"/>
      <c r="L141" s="3"/>
      <c r="M141" s="3"/>
    </row>
    <row r="142" spans="1:13" x14ac:dyDescent="0.2">
      <c r="A142" s="3"/>
      <c r="B142" s="3"/>
      <c r="F142" s="3"/>
      <c r="G142" s="3"/>
      <c r="H142" s="3"/>
      <c r="L142" s="3"/>
      <c r="M142" s="3"/>
    </row>
    <row r="143" spans="1:13" x14ac:dyDescent="0.2">
      <c r="A143" s="3"/>
      <c r="B143" s="3"/>
      <c r="F143" s="3"/>
      <c r="G143" s="3"/>
      <c r="H143" s="3"/>
      <c r="L143" s="3"/>
      <c r="M143" s="3"/>
    </row>
    <row r="144" spans="1:13" x14ac:dyDescent="0.2">
      <c r="A144" s="3"/>
      <c r="B144" s="3"/>
      <c r="F144" s="3"/>
      <c r="G144" s="3"/>
      <c r="H144" s="3"/>
      <c r="L144" s="3"/>
      <c r="M144" s="3"/>
    </row>
    <row r="145" spans="1:13" x14ac:dyDescent="0.2">
      <c r="A145" s="3"/>
      <c r="B145" s="3"/>
      <c r="F145" s="3"/>
      <c r="G145" s="3"/>
      <c r="H145" s="3"/>
      <c r="L145" s="3"/>
      <c r="M145" s="3"/>
    </row>
    <row r="146" spans="1:13" x14ac:dyDescent="0.2">
      <c r="A146" s="3"/>
      <c r="B146" s="3"/>
      <c r="F146" s="3"/>
      <c r="G146" s="3"/>
      <c r="H146" s="3"/>
      <c r="L146" s="3"/>
      <c r="M146" s="3"/>
    </row>
    <row r="147" spans="1:13" x14ac:dyDescent="0.2">
      <c r="A147" s="3"/>
      <c r="B147" s="3"/>
      <c r="F147" s="3"/>
      <c r="G147" s="3"/>
      <c r="H147" s="3"/>
      <c r="L147" s="3"/>
      <c r="M147" s="3"/>
    </row>
    <row r="148" spans="1:13" x14ac:dyDescent="0.2">
      <c r="F148" s="3"/>
      <c r="G148" s="3"/>
      <c r="H148" s="3"/>
      <c r="K148" s="3"/>
      <c r="M148" s="3"/>
    </row>
    <row r="149" spans="1:13" x14ac:dyDescent="0.2">
      <c r="F149" s="3"/>
      <c r="G149" s="3"/>
      <c r="H149" s="3"/>
      <c r="K149" s="3"/>
      <c r="M149" s="3"/>
    </row>
    <row r="150" spans="1:13" x14ac:dyDescent="0.2">
      <c r="F150" s="3"/>
      <c r="G150" s="3"/>
      <c r="H150" s="3"/>
      <c r="K150" s="3"/>
      <c r="M150" s="3"/>
    </row>
    <row r="151" spans="1:13" x14ac:dyDescent="0.2">
      <c r="K151" s="3"/>
    </row>
    <row r="152" spans="1:13" x14ac:dyDescent="0.2">
      <c r="H152" t="s">
        <v>48</v>
      </c>
      <c r="I152">
        <f>SUM(I2:I150)</f>
        <v>15.968134838582689</v>
      </c>
      <c r="J152">
        <f>SUM(J2:J150)</f>
        <v>-75.989852372807036</v>
      </c>
      <c r="K152" s="3"/>
    </row>
    <row r="153" spans="1:13" x14ac:dyDescent="0.2">
      <c r="K153" s="3"/>
    </row>
    <row r="154" spans="1:13" x14ac:dyDescent="0.2">
      <c r="K154" s="3"/>
    </row>
    <row r="155" spans="1:13" x14ac:dyDescent="0.2">
      <c r="K155" s="3"/>
    </row>
    <row r="156" spans="1:13" x14ac:dyDescent="0.2">
      <c r="K156" s="3"/>
    </row>
    <row r="157" spans="1:13" x14ac:dyDescent="0.2">
      <c r="K157" s="3"/>
    </row>
    <row r="158" spans="1:13" x14ac:dyDescent="0.2">
      <c r="K158" s="3"/>
    </row>
    <row r="159" spans="1:13" x14ac:dyDescent="0.2">
      <c r="K159" s="3"/>
    </row>
    <row r="160" spans="1:13" x14ac:dyDescent="0.2">
      <c r="K160" s="3"/>
    </row>
    <row r="161" spans="11:11" x14ac:dyDescent="0.2">
      <c r="K161" s="3"/>
    </row>
    <row r="162" spans="11:11" x14ac:dyDescent="0.2">
      <c r="K162" s="3"/>
    </row>
    <row r="163" spans="11:11" x14ac:dyDescent="0.2">
      <c r="K163" s="3"/>
    </row>
    <row r="164" spans="11:11" x14ac:dyDescent="0.2">
      <c r="K164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970C0-F345-4E4D-902E-1933DB7D11D3}">
  <dimension ref="A1:G52"/>
  <sheetViews>
    <sheetView workbookViewId="0">
      <selection activeCell="D3" sqref="D3"/>
    </sheetView>
  </sheetViews>
  <sheetFormatPr baseColWidth="10" defaultColWidth="8.83203125" defaultRowHeight="15" x14ac:dyDescent="0.2"/>
  <cols>
    <col min="1" max="2" width="10.6640625" bestFit="1" customWidth="1"/>
    <col min="3" max="3" width="10.6640625" customWidth="1"/>
    <col min="4" max="4" width="13.1640625" bestFit="1" customWidth="1"/>
    <col min="6" max="7" width="18.5" bestFit="1" customWidth="1"/>
  </cols>
  <sheetData>
    <row r="1" spans="1:6" x14ac:dyDescent="0.2">
      <c r="A1" s="16" t="s">
        <v>44</v>
      </c>
      <c r="B1" s="16" t="s">
        <v>45</v>
      </c>
      <c r="C1" s="16" t="s">
        <v>46</v>
      </c>
      <c r="D1" s="10" t="s">
        <v>131</v>
      </c>
      <c r="E1" s="10" t="s">
        <v>47</v>
      </c>
      <c r="F1" t="s">
        <v>132</v>
      </c>
    </row>
    <row r="2" spans="1:6" x14ac:dyDescent="0.2">
      <c r="A2" s="3">
        <v>45982</v>
      </c>
      <c r="B2" s="3">
        <v>45982</v>
      </c>
      <c r="C2">
        <v>0</v>
      </c>
      <c r="D2">
        <v>0</v>
      </c>
      <c r="E2">
        <v>0</v>
      </c>
      <c r="F2">
        <f>D2+E2</f>
        <v>0</v>
      </c>
    </row>
    <row r="3" spans="1:6" x14ac:dyDescent="0.2">
      <c r="A3" s="3">
        <v>45985</v>
      </c>
      <c r="B3" s="3">
        <v>45985</v>
      </c>
      <c r="C3" s="17">
        <v>-7.8841016036021756</v>
      </c>
      <c r="D3">
        <v>-6.8438381975713334</v>
      </c>
      <c r="E3">
        <v>-14.692398256065189</v>
      </c>
      <c r="F3">
        <f t="shared" ref="F3:F49" si="0">D3+E3</f>
        <v>-21.536236453636523</v>
      </c>
    </row>
    <row r="4" spans="1:6" x14ac:dyDescent="0.2">
      <c r="A4" s="3">
        <v>45986</v>
      </c>
      <c r="B4" s="3">
        <v>45986</v>
      </c>
      <c r="C4" s="17">
        <v>17.100411771025847</v>
      </c>
      <c r="D4">
        <v>14.781235863969096</v>
      </c>
      <c r="E4">
        <v>-14.93511237500843</v>
      </c>
      <c r="F4">
        <f t="shared" si="0"/>
        <v>-0.15387651103933386</v>
      </c>
    </row>
    <row r="5" spans="1:6" x14ac:dyDescent="0.2">
      <c r="A5" s="3">
        <v>45987</v>
      </c>
      <c r="B5" s="3">
        <v>45987</v>
      </c>
      <c r="C5" s="17">
        <v>12.550217294217873</v>
      </c>
      <c r="D5">
        <v>10.824751849420281</v>
      </c>
      <c r="E5">
        <v>13.395550453506985</v>
      </c>
      <c r="F5">
        <f t="shared" si="0"/>
        <v>24.220302302927266</v>
      </c>
    </row>
    <row r="6" spans="1:6" x14ac:dyDescent="0.2">
      <c r="A6" s="3">
        <v>45988</v>
      </c>
      <c r="B6" s="3">
        <v>45988</v>
      </c>
      <c r="C6" s="17">
        <v>0</v>
      </c>
      <c r="D6">
        <v>0</v>
      </c>
      <c r="E6">
        <v>5.9892110343939748</v>
      </c>
      <c r="F6">
        <f t="shared" si="0"/>
        <v>5.9892110343939748</v>
      </c>
    </row>
    <row r="7" spans="1:6" x14ac:dyDescent="0.2">
      <c r="A7" s="3">
        <v>45989</v>
      </c>
      <c r="B7" s="3">
        <v>45989</v>
      </c>
      <c r="C7" s="17">
        <v>-5.9820145573671653</v>
      </c>
      <c r="D7">
        <v>-5.159132865344688</v>
      </c>
      <c r="E7">
        <v>-5.3614658398000756</v>
      </c>
      <c r="F7">
        <f t="shared" si="0"/>
        <v>-10.520598705144764</v>
      </c>
    </row>
    <row r="8" spans="1:6" x14ac:dyDescent="0.2">
      <c r="A8" s="3">
        <v>45992</v>
      </c>
      <c r="B8" s="3">
        <v>45992</v>
      </c>
      <c r="C8" s="17">
        <v>0.67630340870709915</v>
      </c>
      <c r="D8">
        <v>0.58251800922230756</v>
      </c>
      <c r="E8">
        <v>-33.021790171608245</v>
      </c>
      <c r="F8">
        <f t="shared" si="0"/>
        <v>-32.43927216238594</v>
      </c>
    </row>
    <row r="9" spans="1:6" x14ac:dyDescent="0.2">
      <c r="A9" s="3">
        <v>45993</v>
      </c>
      <c r="B9" s="3">
        <v>45993</v>
      </c>
      <c r="C9" s="17">
        <v>-5.3730949278606204</v>
      </c>
      <c r="D9">
        <v>-4.6228124648202868</v>
      </c>
      <c r="E9">
        <v>14.644973868809757</v>
      </c>
      <c r="F9">
        <f t="shared" si="0"/>
        <v>10.02216140398947</v>
      </c>
    </row>
    <row r="10" spans="1:6" x14ac:dyDescent="0.2">
      <c r="A10" s="3">
        <v>45994</v>
      </c>
      <c r="B10" s="3">
        <v>45994</v>
      </c>
      <c r="C10" s="17">
        <v>-0.51872787943284493</v>
      </c>
      <c r="D10">
        <v>-0.44449689754314048</v>
      </c>
      <c r="E10">
        <v>-0.77895336819938166</v>
      </c>
      <c r="F10">
        <f t="shared" si="0"/>
        <v>-1.2234502657425221</v>
      </c>
    </row>
    <row r="11" spans="1:6" x14ac:dyDescent="0.2">
      <c r="A11" s="3">
        <v>45995</v>
      </c>
      <c r="B11" s="3">
        <v>45995</v>
      </c>
      <c r="C11" s="17">
        <v>17.320575446202383</v>
      </c>
      <c r="D11">
        <v>14.876385335568482</v>
      </c>
      <c r="E11">
        <v>0.2359172412038788</v>
      </c>
      <c r="F11">
        <f t="shared" si="0"/>
        <v>15.112302576772361</v>
      </c>
    </row>
    <row r="12" spans="1:6" x14ac:dyDescent="0.2">
      <c r="A12" s="3">
        <v>45996</v>
      </c>
      <c r="B12" s="3">
        <v>45996</v>
      </c>
      <c r="C12" s="17">
        <v>-23.112003367064062</v>
      </c>
      <c r="D12">
        <v>-19.85226195418662</v>
      </c>
      <c r="E12">
        <v>35.342558869638196</v>
      </c>
      <c r="F12">
        <f t="shared" si="0"/>
        <v>15.490296915451577</v>
      </c>
    </row>
    <row r="13" spans="1:6" x14ac:dyDescent="0.2">
      <c r="A13" s="3">
        <v>45999</v>
      </c>
      <c r="B13" s="3">
        <v>45999</v>
      </c>
      <c r="C13" s="17">
        <v>-2.8612213086021256</v>
      </c>
      <c r="D13">
        <v>-2.4589389039206995</v>
      </c>
      <c r="E13">
        <v>39.914541519695376</v>
      </c>
      <c r="F13">
        <f t="shared" si="0"/>
        <v>37.45560261577468</v>
      </c>
    </row>
    <row r="14" spans="1:6" x14ac:dyDescent="0.2">
      <c r="A14" s="3">
        <v>46000</v>
      </c>
      <c r="B14" s="3">
        <v>46000</v>
      </c>
      <c r="C14" s="17">
        <v>-14.60870917993725</v>
      </c>
      <c r="D14">
        <v>-12.566631552634192</v>
      </c>
      <c r="E14">
        <v>15.564799365695762</v>
      </c>
      <c r="F14">
        <f t="shared" si="0"/>
        <v>2.9981678130615705</v>
      </c>
    </row>
    <row r="15" spans="1:6" x14ac:dyDescent="0.2">
      <c r="A15" s="3">
        <v>46001</v>
      </c>
      <c r="B15" s="3">
        <v>46001</v>
      </c>
      <c r="C15" s="17">
        <v>-5.9386312244751025</v>
      </c>
      <c r="D15">
        <v>-5.0783574691936915</v>
      </c>
      <c r="E15">
        <v>10.892840031946434</v>
      </c>
      <c r="F15">
        <f t="shared" si="0"/>
        <v>5.814482562752743</v>
      </c>
    </row>
    <row r="16" spans="1:6" x14ac:dyDescent="0.2">
      <c r="A16" s="3">
        <v>46002</v>
      </c>
      <c r="B16" s="3">
        <v>46002</v>
      </c>
      <c r="C16" s="17">
        <v>-2.0891486895479829</v>
      </c>
      <c r="D16">
        <v>-1.7798165697290707</v>
      </c>
      <c r="E16">
        <v>-22.974378896730741</v>
      </c>
      <c r="F16">
        <f t="shared" si="0"/>
        <v>-24.754195466459812</v>
      </c>
    </row>
    <row r="17" spans="1:6" x14ac:dyDescent="0.2">
      <c r="A17" s="3">
        <v>46003</v>
      </c>
      <c r="B17" s="3">
        <v>46003</v>
      </c>
      <c r="C17" s="17">
        <v>3.9264500642384519</v>
      </c>
      <c r="D17">
        <v>3.3445060172388859</v>
      </c>
      <c r="E17">
        <v>-12.534102549555882</v>
      </c>
      <c r="F17">
        <f t="shared" si="0"/>
        <v>-9.1895965323169975</v>
      </c>
    </row>
    <row r="18" spans="1:6" x14ac:dyDescent="0.2">
      <c r="A18" s="3">
        <v>46006</v>
      </c>
      <c r="B18" s="3">
        <v>46006</v>
      </c>
      <c r="C18" s="17">
        <v>-2.3949388022188032</v>
      </c>
      <c r="D18">
        <v>-2.0378989127117113</v>
      </c>
      <c r="E18">
        <v>-8.0017057228842532</v>
      </c>
      <c r="F18">
        <f t="shared" si="0"/>
        <v>-10.039604635595964</v>
      </c>
    </row>
    <row r="19" spans="1:6" x14ac:dyDescent="0.2">
      <c r="A19" s="3">
        <v>46007</v>
      </c>
      <c r="B19" s="3">
        <v>46007</v>
      </c>
      <c r="C19" s="17">
        <v>18.926877251388305</v>
      </c>
      <c r="D19">
        <v>16.113466074738891</v>
      </c>
      <c r="E19">
        <v>-0.53011782566682086</v>
      </c>
      <c r="F19">
        <f t="shared" si="0"/>
        <v>15.583348249072071</v>
      </c>
    </row>
    <row r="20" spans="1:6" x14ac:dyDescent="0.2">
      <c r="A20" s="3">
        <v>46008</v>
      </c>
      <c r="B20" s="3">
        <v>46008</v>
      </c>
      <c r="C20" s="17">
        <v>-12.308255623995592</v>
      </c>
      <c r="D20">
        <v>-10.484926845553789</v>
      </c>
      <c r="E20">
        <v>-0.59543481059836267</v>
      </c>
      <c r="F20">
        <f t="shared" si="0"/>
        <v>-11.080361656152151</v>
      </c>
    </row>
    <row r="21" spans="1:6" x14ac:dyDescent="0.2">
      <c r="A21" s="3">
        <v>46009</v>
      </c>
      <c r="B21" s="3">
        <v>46009</v>
      </c>
      <c r="C21" s="17">
        <v>19.83883594780491</v>
      </c>
      <c r="D21">
        <v>16.925890237867854</v>
      </c>
      <c r="E21">
        <v>-17.661988013694554</v>
      </c>
      <c r="F21">
        <f t="shared" si="0"/>
        <v>-0.73609777582669977</v>
      </c>
    </row>
    <row r="22" spans="1:6" x14ac:dyDescent="0.2">
      <c r="A22" s="3">
        <v>46010</v>
      </c>
      <c r="B22" s="3">
        <v>46010</v>
      </c>
      <c r="C22" s="17">
        <v>-8.2320381963077125</v>
      </c>
      <c r="D22">
        <v>-7.0311224772016674</v>
      </c>
      <c r="E22">
        <v>-1.6908178468906954</v>
      </c>
      <c r="F22">
        <f t="shared" si="0"/>
        <v>-8.7219403240923619</v>
      </c>
    </row>
    <row r="23" spans="1:6" x14ac:dyDescent="0.2">
      <c r="A23" s="3">
        <v>46013</v>
      </c>
      <c r="B23" s="3">
        <v>46013</v>
      </c>
      <c r="C23" s="17">
        <v>7.3662019848097771</v>
      </c>
      <c r="D23">
        <v>6.2637771979674977</v>
      </c>
      <c r="E23">
        <v>17.560146513927066</v>
      </c>
      <c r="F23">
        <f t="shared" si="0"/>
        <v>23.823923711894565</v>
      </c>
    </row>
    <row r="24" spans="1:6" x14ac:dyDescent="0.2">
      <c r="A24" s="3">
        <v>46014</v>
      </c>
      <c r="B24" s="3">
        <v>46014</v>
      </c>
      <c r="C24" s="17">
        <v>12.06660410725226</v>
      </c>
      <c r="D24">
        <v>10.231137957649873</v>
      </c>
      <c r="E24">
        <v>6.8171753579822507</v>
      </c>
      <c r="F24">
        <f t="shared" si="0"/>
        <v>17.048313315632122</v>
      </c>
    </row>
    <row r="25" spans="1:6" x14ac:dyDescent="0.2">
      <c r="A25" s="3">
        <v>46015</v>
      </c>
      <c r="B25" s="3">
        <v>46015</v>
      </c>
      <c r="C25" s="17">
        <v>-6.5793798009303828</v>
      </c>
      <c r="D25">
        <v>-5.5861604694603351</v>
      </c>
      <c r="E25">
        <v>-0.42523247662120411</v>
      </c>
      <c r="F25">
        <f t="shared" si="0"/>
        <v>-6.0113929460815392</v>
      </c>
    </row>
    <row r="26" spans="1:6" x14ac:dyDescent="0.2">
      <c r="A26" s="3">
        <v>46017</v>
      </c>
      <c r="B26" s="3">
        <v>46020</v>
      </c>
      <c r="C26" s="17">
        <v>7.3560546562807758</v>
      </c>
      <c r="D26">
        <v>6.2493030806904901</v>
      </c>
      <c r="E26">
        <v>9.1890521868181168</v>
      </c>
      <c r="F26">
        <f t="shared" si="0"/>
        <v>15.438355267508607</v>
      </c>
    </row>
    <row r="27" spans="1:6" x14ac:dyDescent="0.2">
      <c r="A27" s="3">
        <v>46020</v>
      </c>
      <c r="B27" s="3">
        <v>46021</v>
      </c>
      <c r="C27" s="17">
        <v>9.8364301302758577</v>
      </c>
      <c r="D27">
        <v>8.3557850240195872</v>
      </c>
      <c r="E27">
        <v>10.748550113915371</v>
      </c>
      <c r="F27">
        <f t="shared" si="0"/>
        <v>19.10433513793496</v>
      </c>
    </row>
    <row r="28" spans="1:6" x14ac:dyDescent="0.2">
      <c r="A28" s="3">
        <v>46021</v>
      </c>
      <c r="B28" s="3">
        <v>46022</v>
      </c>
      <c r="C28" s="17">
        <v>4.9513389898579589</v>
      </c>
      <c r="D28">
        <v>4.2153405328264588</v>
      </c>
      <c r="E28">
        <v>2.8238066879162034</v>
      </c>
      <c r="F28">
        <f t="shared" si="0"/>
        <v>7.0391472207426622</v>
      </c>
    </row>
    <row r="29" spans="1:6" x14ac:dyDescent="0.2">
      <c r="A29" s="3">
        <v>46022</v>
      </c>
      <c r="B29" s="3">
        <v>46024</v>
      </c>
      <c r="C29" s="17">
        <v>1.7077654360023189</v>
      </c>
      <c r="D29">
        <v>1.4540361311215997</v>
      </c>
      <c r="E29">
        <v>3.0938778490121877</v>
      </c>
      <c r="F29">
        <f t="shared" si="0"/>
        <v>4.5479139801337869</v>
      </c>
    </row>
    <row r="30" spans="1:6" x14ac:dyDescent="0.2">
      <c r="A30" s="3">
        <v>46024</v>
      </c>
      <c r="B30" s="3">
        <v>46027</v>
      </c>
      <c r="C30" s="17">
        <v>-7.1529273702299179</v>
      </c>
      <c r="D30">
        <v>-6.1037011436384656</v>
      </c>
      <c r="E30">
        <v>54.887153190748904</v>
      </c>
      <c r="F30">
        <f t="shared" si="0"/>
        <v>48.783452047110437</v>
      </c>
    </row>
    <row r="31" spans="1:6" x14ac:dyDescent="0.2">
      <c r="A31" s="3">
        <v>46027</v>
      </c>
      <c r="B31" s="3">
        <v>46028</v>
      </c>
      <c r="C31" s="17">
        <v>14.587210380651868</v>
      </c>
      <c r="D31">
        <v>12.446425239464052</v>
      </c>
      <c r="E31">
        <v>-41.770133899774464</v>
      </c>
      <c r="F31">
        <f t="shared" si="0"/>
        <v>-29.323708660310412</v>
      </c>
    </row>
    <row r="32" spans="1:6" x14ac:dyDescent="0.2">
      <c r="A32" s="3">
        <v>46028</v>
      </c>
      <c r="B32" s="3">
        <v>46029</v>
      </c>
      <c r="C32" s="17">
        <v>-19.80142416939907</v>
      </c>
      <c r="D32">
        <v>-16.943119850602436</v>
      </c>
      <c r="E32">
        <v>42.243696305961294</v>
      </c>
      <c r="F32">
        <f t="shared" si="0"/>
        <v>25.300576455358858</v>
      </c>
    </row>
    <row r="33" spans="1:6" x14ac:dyDescent="0.2">
      <c r="A33" s="3">
        <v>46029</v>
      </c>
      <c r="B33" s="3">
        <v>46030</v>
      </c>
      <c r="C33" s="17">
        <v>-11.358281385962528</v>
      </c>
      <c r="D33">
        <v>-9.7303875490127023</v>
      </c>
      <c r="E33">
        <v>-29.568304286581224</v>
      </c>
      <c r="F33">
        <f t="shared" si="0"/>
        <v>-39.298691835593928</v>
      </c>
    </row>
    <row r="34" spans="1:6" x14ac:dyDescent="0.2">
      <c r="A34" s="3">
        <v>46030</v>
      </c>
      <c r="B34" s="3">
        <v>46031</v>
      </c>
      <c r="C34" s="17">
        <v>43.054331915172042</v>
      </c>
      <c r="D34">
        <v>36.931147636963495</v>
      </c>
      <c r="E34">
        <v>31.52485707847427</v>
      </c>
      <c r="F34">
        <f t="shared" si="0"/>
        <v>68.456004715437757</v>
      </c>
    </row>
    <row r="35" spans="1:6" x14ac:dyDescent="0.2">
      <c r="A35" s="3">
        <v>46031</v>
      </c>
      <c r="B35" s="3">
        <v>46034</v>
      </c>
      <c r="C35" s="17">
        <v>13.372626169149498</v>
      </c>
      <c r="D35">
        <v>11.491472174228322</v>
      </c>
      <c r="E35">
        <v>7.0471616636496037E-2</v>
      </c>
      <c r="F35">
        <f t="shared" si="0"/>
        <v>11.561943790864818</v>
      </c>
    </row>
    <row r="36" spans="1:6" x14ac:dyDescent="0.2">
      <c r="A36" s="3">
        <v>46034</v>
      </c>
      <c r="B36" s="3">
        <v>46035</v>
      </c>
      <c r="C36" s="17">
        <v>7.4622628564638944</v>
      </c>
      <c r="D36">
        <v>6.3960425614672953</v>
      </c>
      <c r="E36">
        <v>14.998329279446352</v>
      </c>
      <c r="F36">
        <f t="shared" si="0"/>
        <v>21.394371840913649</v>
      </c>
    </row>
    <row r="37" spans="1:6" x14ac:dyDescent="0.2">
      <c r="A37" s="3">
        <v>46035</v>
      </c>
      <c r="B37" s="3">
        <v>46036</v>
      </c>
      <c r="C37" s="17">
        <v>-21.148867754997354</v>
      </c>
      <c r="D37">
        <v>-18.167569585943955</v>
      </c>
      <c r="E37">
        <v>-71.549776942098561</v>
      </c>
      <c r="F37">
        <f t="shared" si="0"/>
        <v>-89.717346528042512</v>
      </c>
    </row>
    <row r="38" spans="1:6" x14ac:dyDescent="0.2">
      <c r="A38" s="3">
        <v>46036</v>
      </c>
      <c r="B38" s="3">
        <v>46037</v>
      </c>
      <c r="C38" s="17">
        <v>-10.928772893811583</v>
      </c>
      <c r="D38">
        <v>-9.3873671996320081</v>
      </c>
      <c r="E38">
        <v>13.97682065362369</v>
      </c>
      <c r="F38">
        <f t="shared" si="0"/>
        <v>4.5894534539916823</v>
      </c>
    </row>
    <row r="39" spans="1:6" x14ac:dyDescent="0.2">
      <c r="A39" s="3">
        <v>46037</v>
      </c>
      <c r="B39" s="3">
        <v>46038</v>
      </c>
      <c r="C39" s="17">
        <v>8.7478527429434507</v>
      </c>
      <c r="D39">
        <v>7.5373537333650269</v>
      </c>
      <c r="E39">
        <v>22.230258974398566</v>
      </c>
      <c r="F39">
        <f t="shared" si="0"/>
        <v>29.767612707763593</v>
      </c>
    </row>
    <row r="40" spans="1:6" x14ac:dyDescent="0.2">
      <c r="A40" s="3">
        <v>46038</v>
      </c>
      <c r="B40" s="3">
        <v>46041</v>
      </c>
      <c r="C40" s="17">
        <v>6.5569396343107655E-2</v>
      </c>
      <c r="D40">
        <v>5.6539964079596154E-2</v>
      </c>
      <c r="E40">
        <v>-36.567280733892858</v>
      </c>
      <c r="F40">
        <f t="shared" si="0"/>
        <v>-36.51074076981326</v>
      </c>
    </row>
    <row r="41" spans="1:6" x14ac:dyDescent="0.2">
      <c r="A41" s="3">
        <v>46042</v>
      </c>
      <c r="B41" s="3">
        <v>46042</v>
      </c>
      <c r="C41" s="17">
        <v>-8.9436316419109971</v>
      </c>
      <c r="D41">
        <v>-7.6284814414116315</v>
      </c>
      <c r="E41">
        <v>-39.877930032788299</v>
      </c>
      <c r="F41">
        <f t="shared" si="0"/>
        <v>-47.506411474199929</v>
      </c>
    </row>
    <row r="42" spans="1:6" x14ac:dyDescent="0.2">
      <c r="A42" s="3">
        <v>46043</v>
      </c>
      <c r="B42" s="3">
        <v>46043</v>
      </c>
      <c r="C42" s="17">
        <v>-6.643218823978259</v>
      </c>
      <c r="D42">
        <v>-5.6867135969682074</v>
      </c>
      <c r="E42">
        <v>-36.226343526049732</v>
      </c>
      <c r="F42">
        <f t="shared" si="0"/>
        <v>-41.913057123017936</v>
      </c>
    </row>
    <row r="43" spans="1:6" x14ac:dyDescent="0.2">
      <c r="A43" s="3">
        <v>46044</v>
      </c>
      <c r="B43" s="3">
        <v>46044</v>
      </c>
      <c r="C43" s="17">
        <v>6.1637821654726395</v>
      </c>
      <c r="D43">
        <v>5.2439868687022626</v>
      </c>
      <c r="E43">
        <v>3.8827229425892256</v>
      </c>
      <c r="F43">
        <f t="shared" si="0"/>
        <v>9.1267098112914873</v>
      </c>
    </row>
    <row r="44" spans="1:6" x14ac:dyDescent="0.2">
      <c r="A44" s="3">
        <v>46045</v>
      </c>
      <c r="B44" s="3">
        <v>46045</v>
      </c>
      <c r="C44" s="17">
        <v>3.6009914232540723</v>
      </c>
      <c r="D44">
        <v>3.0449783724455202</v>
      </c>
      <c r="E44">
        <v>15.289746737353198</v>
      </c>
      <c r="F44">
        <f t="shared" si="0"/>
        <v>18.334725109798718</v>
      </c>
    </row>
    <row r="45" spans="1:6" x14ac:dyDescent="0.2">
      <c r="A45" s="3">
        <v>46048</v>
      </c>
      <c r="B45" s="3">
        <v>46048</v>
      </c>
      <c r="C45" s="17">
        <v>-7.0653873252772428</v>
      </c>
      <c r="D45">
        <v>-5.9477963846091786</v>
      </c>
      <c r="E45">
        <v>-25.955457373916943</v>
      </c>
      <c r="F45">
        <f t="shared" si="0"/>
        <v>-31.90325375852612</v>
      </c>
    </row>
    <row r="46" spans="1:6" x14ac:dyDescent="0.2">
      <c r="A46" s="3">
        <v>46049</v>
      </c>
      <c r="B46" s="3">
        <v>46049</v>
      </c>
      <c r="C46" s="17">
        <v>-9.9073141798930919</v>
      </c>
      <c r="D46">
        <v>-8.2279828750876938</v>
      </c>
      <c r="E46">
        <v>-0.6281960969663487</v>
      </c>
      <c r="F46">
        <f t="shared" si="0"/>
        <v>-8.8561789720540425</v>
      </c>
    </row>
    <row r="47" spans="1:6" x14ac:dyDescent="0.2">
      <c r="A47" s="3">
        <v>46050</v>
      </c>
      <c r="B47" s="3">
        <v>46050</v>
      </c>
      <c r="C47" s="17">
        <v>-21.82458910118612</v>
      </c>
      <c r="D47">
        <v>-18.260198377833099</v>
      </c>
      <c r="E47">
        <v>10.629196534780931</v>
      </c>
      <c r="F47">
        <f t="shared" si="0"/>
        <v>-7.631001843052168</v>
      </c>
    </row>
    <row r="48" spans="1:6" x14ac:dyDescent="0.2">
      <c r="A48" s="3">
        <v>46051</v>
      </c>
      <c r="B48" s="3">
        <v>46051</v>
      </c>
      <c r="C48" s="17">
        <v>-4.4463046991700139</v>
      </c>
      <c r="D48">
        <v>-3.7148506133929433</v>
      </c>
      <c r="E48">
        <v>-25.589794519413772</v>
      </c>
      <c r="F48">
        <f t="shared" si="0"/>
        <v>-29.304645132806716</v>
      </c>
    </row>
    <row r="49" spans="1:7" x14ac:dyDescent="0.2">
      <c r="A49" s="3">
        <v>46052</v>
      </c>
      <c r="B49" s="3">
        <v>46052</v>
      </c>
      <c r="C49" s="17">
        <v>14.628274396844972</v>
      </c>
      <c r="D49">
        <v>12.346619173569355</v>
      </c>
      <c r="E49">
        <v>-30.999391216475487</v>
      </c>
      <c r="F49">
        <f t="shared" si="0"/>
        <v>-18.652772042906133</v>
      </c>
    </row>
    <row r="52" spans="1:7" x14ac:dyDescent="0.2">
      <c r="F52">
        <f>SUM(F2:F49)</f>
        <v>-60.021717534224365</v>
      </c>
      <c r="G52" t="s">
        <v>132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3EF34-BEE0-4D84-A668-BEC2C582FC12}">
  <dimension ref="A1:R153"/>
  <sheetViews>
    <sheetView zoomScale="70" zoomScaleNormal="70" workbookViewId="0">
      <selection activeCell="G15" sqref="G15"/>
    </sheetView>
  </sheetViews>
  <sheetFormatPr baseColWidth="10" defaultColWidth="8.83203125" defaultRowHeight="15" x14ac:dyDescent="0.2"/>
  <cols>
    <col min="1" max="1" width="15.6640625" customWidth="1"/>
    <col min="2" max="2" width="17.83203125" customWidth="1"/>
    <col min="3" max="3" width="19.83203125" customWidth="1"/>
    <col min="4" max="4" width="26.5" customWidth="1"/>
    <col min="9" max="9" width="18.83203125" customWidth="1"/>
    <col min="10" max="10" width="27.6640625" customWidth="1"/>
    <col min="13" max="13" width="17.83203125" customWidth="1"/>
    <col min="16" max="16" width="16.33203125" customWidth="1"/>
    <col min="18" max="18" width="17.83203125" customWidth="1"/>
  </cols>
  <sheetData>
    <row r="1" spans="1:18" x14ac:dyDescent="0.2">
      <c r="A1" s="10" t="s">
        <v>47</v>
      </c>
      <c r="B1" s="10" t="s">
        <v>46</v>
      </c>
      <c r="C1" s="10" t="s">
        <v>49</v>
      </c>
      <c r="D1" s="16" t="s">
        <v>14</v>
      </c>
      <c r="I1" s="9" t="s">
        <v>20</v>
      </c>
      <c r="J1" s="9" t="s">
        <v>50</v>
      </c>
      <c r="M1" s="10" t="s">
        <v>51</v>
      </c>
      <c r="P1" s="10" t="s">
        <v>52</v>
      </c>
      <c r="R1" t="s">
        <v>53</v>
      </c>
    </row>
    <row r="2" spans="1:18" x14ac:dyDescent="0.2">
      <c r="A2">
        <v>0</v>
      </c>
      <c r="B2">
        <v>0</v>
      </c>
      <c r="C2">
        <v>40438.519999999997</v>
      </c>
      <c r="D2" s="3">
        <v>45775</v>
      </c>
      <c r="I2" s="3">
        <v>45775</v>
      </c>
      <c r="J2">
        <v>0</v>
      </c>
      <c r="M2">
        <v>1</v>
      </c>
      <c r="P2">
        <v>0</v>
      </c>
      <c r="R2">
        <f>(AVERAGE(P3:P150)/_xlfn.STDEV.S(P3:P150))*SQRT(252)</f>
        <v>2.2751600949024775</v>
      </c>
    </row>
    <row r="3" spans="1:18" x14ac:dyDescent="0.2">
      <c r="A3">
        <v>66.402647332633933</v>
      </c>
      <c r="B3">
        <v>-151.97597577912165</v>
      </c>
      <c r="C3">
        <f>A3+B3+C2</f>
        <v>40352.946671553509</v>
      </c>
      <c r="D3" s="3">
        <v>45776</v>
      </c>
      <c r="I3" s="3">
        <v>45776</v>
      </c>
      <c r="J3">
        <f>C3-$C$2</f>
        <v>-85.573328446487722</v>
      </c>
      <c r="M3">
        <f>C3/$C$2</f>
        <v>0.99788386596624978</v>
      </c>
      <c r="P3">
        <f>A3+B3</f>
        <v>-85.573328446487722</v>
      </c>
    </row>
    <row r="4" spans="1:18" x14ac:dyDescent="0.2">
      <c r="A4">
        <v>-354.27025161518395</v>
      </c>
      <c r="B4">
        <v>-261.1822441275981</v>
      </c>
      <c r="C4">
        <f t="shared" ref="C4:C67" si="0">A4+B4+C3</f>
        <v>39737.494175810731</v>
      </c>
      <c r="D4" s="3">
        <v>45777</v>
      </c>
      <c r="I4" s="3">
        <v>45777</v>
      </c>
      <c r="J4">
        <f t="shared" ref="J4:J67" si="1">C4-$C$2</f>
        <v>-701.02582418926613</v>
      </c>
      <c r="M4">
        <f t="shared" ref="M4:M67" si="2">C4/$C$2</f>
        <v>0.9826644045284233</v>
      </c>
      <c r="P4">
        <f t="shared" ref="P4:P67" si="3">A4+B4</f>
        <v>-615.45249574278205</v>
      </c>
    </row>
    <row r="5" spans="1:18" x14ac:dyDescent="0.2">
      <c r="A5">
        <v>-87.236390385256527</v>
      </c>
      <c r="B5">
        <v>27.491863173127058</v>
      </c>
      <c r="C5">
        <f t="shared" si="0"/>
        <v>39677.749648598605</v>
      </c>
      <c r="D5" s="3">
        <v>45778</v>
      </c>
      <c r="I5" s="3">
        <v>45778</v>
      </c>
      <c r="J5">
        <f t="shared" si="1"/>
        <v>-760.77035140139196</v>
      </c>
      <c r="M5">
        <f t="shared" si="2"/>
        <v>0.98118698826264183</v>
      </c>
      <c r="P5">
        <f t="shared" si="3"/>
        <v>-59.744527212129469</v>
      </c>
    </row>
    <row r="6" spans="1:18" x14ac:dyDescent="0.2">
      <c r="A6">
        <v>200.64749591079453</v>
      </c>
      <c r="B6">
        <v>231.71584888967118</v>
      </c>
      <c r="C6">
        <f t="shared" si="0"/>
        <v>40110.112993399074</v>
      </c>
      <c r="D6" s="3">
        <v>45779</v>
      </c>
      <c r="I6" s="3">
        <v>45779</v>
      </c>
      <c r="J6">
        <f t="shared" si="1"/>
        <v>-328.40700660092261</v>
      </c>
      <c r="M6">
        <f t="shared" si="2"/>
        <v>0.9918788569264918</v>
      </c>
      <c r="P6">
        <f t="shared" si="3"/>
        <v>432.36334480046571</v>
      </c>
    </row>
    <row r="7" spans="1:18" x14ac:dyDescent="0.2">
      <c r="A7">
        <v>0</v>
      </c>
      <c r="B7">
        <v>169.88365010805501</v>
      </c>
      <c r="C7">
        <f t="shared" si="0"/>
        <v>40279.996643507126</v>
      </c>
      <c r="D7" s="3">
        <v>45782</v>
      </c>
      <c r="I7" s="3">
        <v>45782</v>
      </c>
      <c r="J7">
        <f t="shared" si="1"/>
        <v>-158.52335649287124</v>
      </c>
      <c r="M7">
        <f t="shared" si="2"/>
        <v>0.99607989222916982</v>
      </c>
      <c r="P7">
        <f t="shared" si="3"/>
        <v>169.88365010805501</v>
      </c>
    </row>
    <row r="8" spans="1:18" x14ac:dyDescent="0.2">
      <c r="A8">
        <v>-125.07852225080933</v>
      </c>
      <c r="B8">
        <v>34.137910026820464</v>
      </c>
      <c r="C8">
        <f t="shared" si="0"/>
        <v>40189.056031283137</v>
      </c>
      <c r="D8" s="3">
        <v>45783</v>
      </c>
      <c r="I8" s="3">
        <v>45783</v>
      </c>
      <c r="J8">
        <f t="shared" si="1"/>
        <v>-249.46396871686011</v>
      </c>
      <c r="M8">
        <f t="shared" si="2"/>
        <v>0.99383103118717353</v>
      </c>
      <c r="P8">
        <f t="shared" si="3"/>
        <v>-90.940612223988865</v>
      </c>
    </row>
    <row r="9" spans="1:18" x14ac:dyDescent="0.2">
      <c r="A9">
        <v>120.26600179975139</v>
      </c>
      <c r="B9">
        <v>-266.20915261434857</v>
      </c>
      <c r="C9">
        <f t="shared" si="0"/>
        <v>40043.112880468543</v>
      </c>
      <c r="D9" s="3">
        <v>45784</v>
      </c>
      <c r="I9" s="3">
        <v>45784</v>
      </c>
      <c r="J9">
        <f t="shared" si="1"/>
        <v>-395.40711953145365</v>
      </c>
      <c r="M9">
        <f t="shared" si="2"/>
        <v>0.99022201802807186</v>
      </c>
      <c r="P9">
        <f t="shared" si="3"/>
        <v>-145.94315081459717</v>
      </c>
    </row>
    <row r="10" spans="1:18" x14ac:dyDescent="0.2">
      <c r="A10">
        <v>163.92435457036845</v>
      </c>
      <c r="B10">
        <v>-58.273247526885825</v>
      </c>
      <c r="C10">
        <f t="shared" si="0"/>
        <v>40148.763987512022</v>
      </c>
      <c r="D10" s="3">
        <v>45785</v>
      </c>
      <c r="I10" s="3">
        <v>45785</v>
      </c>
      <c r="J10">
        <f t="shared" si="1"/>
        <v>-289.75601248797466</v>
      </c>
      <c r="M10">
        <f t="shared" si="2"/>
        <v>0.99283465338276533</v>
      </c>
      <c r="P10">
        <f t="shared" si="3"/>
        <v>105.65110704348263</v>
      </c>
    </row>
    <row r="11" spans="1:18" x14ac:dyDescent="0.2">
      <c r="A11">
        <v>437.81941919786914</v>
      </c>
      <c r="B11">
        <v>24.373871494299237</v>
      </c>
      <c r="C11">
        <f t="shared" si="0"/>
        <v>40610.957278204194</v>
      </c>
      <c r="D11" s="3">
        <v>45786</v>
      </c>
      <c r="I11" s="3">
        <v>45786</v>
      </c>
      <c r="J11">
        <f t="shared" si="1"/>
        <v>172.43727820419736</v>
      </c>
      <c r="M11">
        <f t="shared" si="2"/>
        <v>1.004264183709102</v>
      </c>
      <c r="P11">
        <f t="shared" si="3"/>
        <v>462.19329069216838</v>
      </c>
    </row>
    <row r="12" spans="1:18" x14ac:dyDescent="0.2">
      <c r="A12">
        <v>-10.428465542940103</v>
      </c>
      <c r="B12">
        <v>-266.16265989699241</v>
      </c>
      <c r="C12">
        <f t="shared" si="0"/>
        <v>40334.366152764262</v>
      </c>
      <c r="D12" s="3">
        <v>45789</v>
      </c>
      <c r="I12" s="3">
        <v>45789</v>
      </c>
      <c r="J12">
        <f t="shared" si="1"/>
        <v>-104.15384723573516</v>
      </c>
      <c r="M12">
        <f t="shared" si="2"/>
        <v>0.99742439022902585</v>
      </c>
      <c r="P12">
        <f t="shared" si="3"/>
        <v>-276.59112543993251</v>
      </c>
    </row>
    <row r="13" spans="1:18" x14ac:dyDescent="0.2">
      <c r="A13">
        <v>-32.492329244465509</v>
      </c>
      <c r="B13">
        <v>312.3459957652085</v>
      </c>
      <c r="C13">
        <f t="shared" si="0"/>
        <v>40614.219819285005</v>
      </c>
      <c r="D13" s="3">
        <v>45790</v>
      </c>
      <c r="I13" s="3">
        <v>45790</v>
      </c>
      <c r="J13">
        <f t="shared" si="1"/>
        <v>175.69981928500783</v>
      </c>
      <c r="M13">
        <f t="shared" si="2"/>
        <v>1.0043448627517775</v>
      </c>
      <c r="P13">
        <f t="shared" si="3"/>
        <v>279.85366652074299</v>
      </c>
    </row>
    <row r="14" spans="1:18" x14ac:dyDescent="0.2">
      <c r="A14">
        <v>76.59280625476822</v>
      </c>
      <c r="B14">
        <v>178.94198511592549</v>
      </c>
      <c r="C14">
        <f t="shared" si="0"/>
        <v>40869.754610655698</v>
      </c>
      <c r="D14" s="3">
        <v>45791</v>
      </c>
      <c r="I14" s="3">
        <v>45791</v>
      </c>
      <c r="J14">
        <f t="shared" si="1"/>
        <v>431.23461065570154</v>
      </c>
      <c r="M14">
        <f t="shared" si="2"/>
        <v>1.0106639563133295</v>
      </c>
      <c r="P14">
        <f t="shared" si="3"/>
        <v>255.53479137069371</v>
      </c>
    </row>
    <row r="15" spans="1:18" x14ac:dyDescent="0.2">
      <c r="A15">
        <v>42.771761327556305</v>
      </c>
      <c r="B15">
        <v>-107.07632984298107</v>
      </c>
      <c r="C15">
        <f t="shared" si="0"/>
        <v>40805.450042140277</v>
      </c>
      <c r="D15" s="3">
        <v>45792</v>
      </c>
      <c r="I15" s="3">
        <v>45792</v>
      </c>
      <c r="J15">
        <f t="shared" si="1"/>
        <v>366.93004214028042</v>
      </c>
      <c r="M15">
        <f t="shared" si="2"/>
        <v>1.0090737752553822</v>
      </c>
      <c r="P15">
        <f t="shared" si="3"/>
        <v>-64.304568515424762</v>
      </c>
    </row>
    <row r="16" spans="1:18" x14ac:dyDescent="0.2">
      <c r="A16">
        <v>-106.85829236561403</v>
      </c>
      <c r="B16">
        <v>146.52582772693495</v>
      </c>
      <c r="C16">
        <f t="shared" si="0"/>
        <v>40845.117577501602</v>
      </c>
      <c r="D16" s="3">
        <v>45793</v>
      </c>
      <c r="I16" s="3">
        <v>45793</v>
      </c>
      <c r="J16">
        <f t="shared" si="1"/>
        <v>406.59757750160497</v>
      </c>
      <c r="M16">
        <f t="shared" si="2"/>
        <v>1.0100547096555859</v>
      </c>
      <c r="P16">
        <f t="shared" si="3"/>
        <v>39.667535361320915</v>
      </c>
    </row>
    <row r="17" spans="1:16" x14ac:dyDescent="0.2">
      <c r="A17">
        <v>197.36478288520448</v>
      </c>
      <c r="B17">
        <v>83.606083100265096</v>
      </c>
      <c r="C17">
        <f t="shared" si="0"/>
        <v>41126.088443487068</v>
      </c>
      <c r="D17" s="3">
        <v>45796</v>
      </c>
      <c r="I17" s="3">
        <v>45796</v>
      </c>
      <c r="J17">
        <f t="shared" si="1"/>
        <v>687.56844348707091</v>
      </c>
      <c r="M17">
        <f t="shared" si="2"/>
        <v>1.017002809288942</v>
      </c>
      <c r="P17">
        <f t="shared" si="3"/>
        <v>280.97086598546957</v>
      </c>
    </row>
    <row r="18" spans="1:16" x14ac:dyDescent="0.2">
      <c r="A18">
        <v>-165.3715326821839</v>
      </c>
      <c r="B18">
        <v>-142.42353073631966</v>
      </c>
      <c r="C18">
        <f t="shared" si="0"/>
        <v>40818.293380068564</v>
      </c>
      <c r="D18" s="3">
        <v>45797</v>
      </c>
      <c r="I18" s="3">
        <v>45797</v>
      </c>
      <c r="J18">
        <f t="shared" si="1"/>
        <v>379.77338006856735</v>
      </c>
      <c r="M18">
        <f t="shared" si="2"/>
        <v>1.0093913768374452</v>
      </c>
      <c r="P18">
        <f t="shared" si="3"/>
        <v>-307.79506341850356</v>
      </c>
    </row>
    <row r="19" spans="1:16" x14ac:dyDescent="0.2">
      <c r="A19">
        <v>201.92109828862158</v>
      </c>
      <c r="B19">
        <v>-119.28825715477069</v>
      </c>
      <c r="C19">
        <f t="shared" si="0"/>
        <v>40900.926221202419</v>
      </c>
      <c r="D19" s="3">
        <v>45798</v>
      </c>
      <c r="I19" s="3">
        <v>45798</v>
      </c>
      <c r="J19">
        <f t="shared" si="1"/>
        <v>462.40622120242188</v>
      </c>
      <c r="M19">
        <f t="shared" si="2"/>
        <v>1.0114347958630143</v>
      </c>
      <c r="P19">
        <f t="shared" si="3"/>
        <v>82.632841133850889</v>
      </c>
    </row>
    <row r="20" spans="1:16" x14ac:dyDescent="0.2">
      <c r="A20">
        <v>301.03290155992727</v>
      </c>
      <c r="B20">
        <v>37.203566351847257</v>
      </c>
      <c r="C20">
        <f t="shared" si="0"/>
        <v>41239.162689114193</v>
      </c>
      <c r="D20" s="3">
        <v>45799</v>
      </c>
      <c r="I20" s="3">
        <v>45799</v>
      </c>
      <c r="J20">
        <f t="shared" si="1"/>
        <v>800.6426891141964</v>
      </c>
      <c r="M20">
        <f t="shared" si="2"/>
        <v>1.0197990106738377</v>
      </c>
      <c r="P20">
        <f t="shared" si="3"/>
        <v>338.23646791177453</v>
      </c>
    </row>
    <row r="21" spans="1:16" x14ac:dyDescent="0.2">
      <c r="A21">
        <v>-146.97405642107697</v>
      </c>
      <c r="B21">
        <v>228.2259053904927</v>
      </c>
      <c r="C21">
        <f t="shared" si="0"/>
        <v>41320.414538083613</v>
      </c>
      <c r="D21" s="3">
        <v>45800</v>
      </c>
      <c r="I21" s="3">
        <v>45800</v>
      </c>
      <c r="J21">
        <f t="shared" si="1"/>
        <v>881.89453808361577</v>
      </c>
      <c r="M21">
        <f t="shared" si="2"/>
        <v>1.021808279286275</v>
      </c>
      <c r="P21">
        <f t="shared" si="3"/>
        <v>81.251848969415732</v>
      </c>
    </row>
    <row r="22" spans="1:16" x14ac:dyDescent="0.2">
      <c r="A22">
        <v>268.48417954171236</v>
      </c>
      <c r="B22">
        <v>207.63663207204081</v>
      </c>
      <c r="C22">
        <f t="shared" si="0"/>
        <v>41796.535349697369</v>
      </c>
      <c r="D22" s="3">
        <v>45804</v>
      </c>
      <c r="I22" s="3">
        <v>45804</v>
      </c>
      <c r="J22">
        <f t="shared" si="1"/>
        <v>1358.0153496973726</v>
      </c>
      <c r="M22">
        <f t="shared" si="2"/>
        <v>1.0335822218443547</v>
      </c>
      <c r="P22">
        <f t="shared" si="3"/>
        <v>476.12081161375318</v>
      </c>
    </row>
    <row r="23" spans="1:16" x14ac:dyDescent="0.2">
      <c r="A23">
        <v>133.47045875556068</v>
      </c>
      <c r="B23">
        <v>60.646449755589856</v>
      </c>
      <c r="C23">
        <f t="shared" si="0"/>
        <v>41990.652258208516</v>
      </c>
      <c r="D23" s="3">
        <v>45805</v>
      </c>
      <c r="I23" s="3">
        <v>45805</v>
      </c>
      <c r="J23">
        <f t="shared" si="1"/>
        <v>1552.1322582085195</v>
      </c>
      <c r="M23">
        <f t="shared" si="2"/>
        <v>1.0383825189005067</v>
      </c>
      <c r="P23">
        <f t="shared" si="3"/>
        <v>194.11690851115054</v>
      </c>
    </row>
    <row r="24" spans="1:16" x14ac:dyDescent="0.2">
      <c r="A24">
        <v>-77.701619756906439</v>
      </c>
      <c r="B24">
        <v>-126.87896378397636</v>
      </c>
      <c r="C24">
        <f t="shared" si="0"/>
        <v>41786.071674667633</v>
      </c>
      <c r="D24" s="3">
        <v>45806</v>
      </c>
      <c r="I24" s="3">
        <v>45806</v>
      </c>
      <c r="J24">
        <f t="shared" si="1"/>
        <v>1347.5516746676367</v>
      </c>
      <c r="M24">
        <f t="shared" si="2"/>
        <v>1.0333234667012452</v>
      </c>
      <c r="P24">
        <f t="shared" si="3"/>
        <v>-204.5805835408828</v>
      </c>
    </row>
    <row r="25" spans="1:16" x14ac:dyDescent="0.2">
      <c r="A25">
        <v>-35.673981954569172</v>
      </c>
      <c r="B25">
        <v>45.367821410389297</v>
      </c>
      <c r="C25">
        <f t="shared" si="0"/>
        <v>41795.765514123457</v>
      </c>
      <c r="D25" s="3">
        <v>45807</v>
      </c>
      <c r="I25" s="3">
        <v>45807</v>
      </c>
      <c r="J25">
        <f t="shared" si="1"/>
        <v>1357.2455141234605</v>
      </c>
      <c r="M25">
        <f t="shared" si="2"/>
        <v>1.0335631846596627</v>
      </c>
      <c r="P25">
        <f t="shared" si="3"/>
        <v>9.6938394558201253</v>
      </c>
    </row>
    <row r="26" spans="1:16" x14ac:dyDescent="0.2">
      <c r="A26">
        <v>206.76573869735148</v>
      </c>
      <c r="B26">
        <v>291.18902688241724</v>
      </c>
      <c r="C26">
        <f t="shared" si="0"/>
        <v>42293.720279703222</v>
      </c>
      <c r="D26" s="3">
        <v>45810</v>
      </c>
      <c r="I26" s="3">
        <v>45810</v>
      </c>
      <c r="J26">
        <f t="shared" si="1"/>
        <v>1855.2002797032255</v>
      </c>
      <c r="M26">
        <f t="shared" si="2"/>
        <v>1.0458770568186775</v>
      </c>
      <c r="P26">
        <f t="shared" si="3"/>
        <v>497.95476557976872</v>
      </c>
    </row>
    <row r="27" spans="1:16" x14ac:dyDescent="0.2">
      <c r="A27">
        <v>242.52867126891579</v>
      </c>
      <c r="B27">
        <v>-167.53862455748094</v>
      </c>
      <c r="C27">
        <f t="shared" si="0"/>
        <v>42368.710326414657</v>
      </c>
      <c r="D27" s="3">
        <v>45811</v>
      </c>
      <c r="I27" s="3">
        <v>45811</v>
      </c>
      <c r="J27">
        <f t="shared" si="1"/>
        <v>1930.1903264146604</v>
      </c>
      <c r="M27">
        <f t="shared" si="2"/>
        <v>1.0477314779674098</v>
      </c>
      <c r="P27">
        <f t="shared" si="3"/>
        <v>74.990046711434843</v>
      </c>
    </row>
    <row r="28" spans="1:16" x14ac:dyDescent="0.2">
      <c r="A28">
        <v>-324.43871397332259</v>
      </c>
      <c r="B28">
        <v>-72.406206688796374</v>
      </c>
      <c r="C28">
        <f t="shared" si="0"/>
        <v>41971.865405752542</v>
      </c>
      <c r="D28" s="3">
        <v>45812</v>
      </c>
      <c r="I28" s="3">
        <v>45812</v>
      </c>
      <c r="J28">
        <f t="shared" si="1"/>
        <v>1533.345405752545</v>
      </c>
      <c r="M28">
        <f t="shared" si="2"/>
        <v>1.0379179407592698</v>
      </c>
      <c r="P28">
        <f t="shared" si="3"/>
        <v>-396.84492066211897</v>
      </c>
    </row>
    <row r="29" spans="1:16" x14ac:dyDescent="0.2">
      <c r="A29">
        <v>222.70373206555814</v>
      </c>
      <c r="B29">
        <v>251.56231180842951</v>
      </c>
      <c r="C29">
        <f t="shared" si="0"/>
        <v>42446.131449626526</v>
      </c>
      <c r="D29" s="3">
        <v>45813</v>
      </c>
      <c r="I29" s="3">
        <v>45813</v>
      </c>
      <c r="J29">
        <f t="shared" si="1"/>
        <v>2007.6114496265291</v>
      </c>
      <c r="M29">
        <f t="shared" si="2"/>
        <v>1.0496460169567663</v>
      </c>
      <c r="P29">
        <f t="shared" si="3"/>
        <v>474.26604387398766</v>
      </c>
    </row>
    <row r="30" spans="1:16" x14ac:dyDescent="0.2">
      <c r="A30">
        <v>43.076143943872012</v>
      </c>
      <c r="B30">
        <v>91.460619338115066</v>
      </c>
      <c r="C30">
        <f t="shared" si="0"/>
        <v>42580.668212908509</v>
      </c>
      <c r="D30" s="3">
        <v>45814</v>
      </c>
      <c r="I30" s="3">
        <v>45814</v>
      </c>
      <c r="J30">
        <f t="shared" si="1"/>
        <v>2142.1482129085125</v>
      </c>
      <c r="M30">
        <f t="shared" si="2"/>
        <v>1.0529729627322788</v>
      </c>
      <c r="P30">
        <f t="shared" si="3"/>
        <v>134.53676328198708</v>
      </c>
    </row>
    <row r="31" spans="1:16" x14ac:dyDescent="0.2">
      <c r="A31">
        <v>-102.04477903985753</v>
      </c>
      <c r="B31">
        <v>-60.484979586912232</v>
      </c>
      <c r="C31">
        <f t="shared" si="0"/>
        <v>42418.13845428174</v>
      </c>
      <c r="D31" s="3">
        <v>45817</v>
      </c>
      <c r="I31" s="3">
        <v>45817</v>
      </c>
      <c r="J31">
        <f t="shared" si="1"/>
        <v>1979.6184542817427</v>
      </c>
      <c r="M31">
        <f t="shared" si="2"/>
        <v>1.048953781055334</v>
      </c>
      <c r="P31">
        <f t="shared" si="3"/>
        <v>-162.52975862676976</v>
      </c>
    </row>
    <row r="32" spans="1:16" x14ac:dyDescent="0.2">
      <c r="A32">
        <v>-413.46701226011646</v>
      </c>
      <c r="B32">
        <v>-361.92668490398501</v>
      </c>
      <c r="C32">
        <f t="shared" si="0"/>
        <v>41642.744757117638</v>
      </c>
      <c r="D32" s="3">
        <v>45818</v>
      </c>
      <c r="I32" s="3">
        <v>45818</v>
      </c>
      <c r="J32">
        <f t="shared" si="1"/>
        <v>1204.2247571176413</v>
      </c>
      <c r="M32">
        <f t="shared" si="2"/>
        <v>1.0297791501053362</v>
      </c>
      <c r="P32">
        <f t="shared" si="3"/>
        <v>-775.39369716410147</v>
      </c>
    </row>
    <row r="33" spans="1:16" x14ac:dyDescent="0.2">
      <c r="A33">
        <v>128.45580826574587</v>
      </c>
      <c r="B33">
        <v>57.726784759237489</v>
      </c>
      <c r="C33">
        <f t="shared" si="0"/>
        <v>41828.927350142621</v>
      </c>
      <c r="D33" s="3">
        <v>45819</v>
      </c>
      <c r="I33" s="3">
        <v>45819</v>
      </c>
      <c r="J33">
        <f t="shared" si="1"/>
        <v>1390.4073501426246</v>
      </c>
      <c r="M33">
        <f t="shared" si="2"/>
        <v>1.0343832402902635</v>
      </c>
      <c r="P33">
        <f t="shared" si="3"/>
        <v>186.18259302498336</v>
      </c>
    </row>
    <row r="34" spans="1:16" x14ac:dyDescent="0.2">
      <c r="A34">
        <v>121.96666914942398</v>
      </c>
      <c r="B34">
        <v>-12.226850634768198</v>
      </c>
      <c r="C34">
        <f t="shared" si="0"/>
        <v>41938.667168657281</v>
      </c>
      <c r="D34" s="3">
        <v>45820</v>
      </c>
      <c r="I34" s="3">
        <v>45820</v>
      </c>
      <c r="J34">
        <f t="shared" si="1"/>
        <v>1500.1471686572841</v>
      </c>
      <c r="M34">
        <f t="shared" si="2"/>
        <v>1.0370969849702039</v>
      </c>
      <c r="P34">
        <f t="shared" si="3"/>
        <v>109.73981851465578</v>
      </c>
    </row>
    <row r="35" spans="1:16" x14ac:dyDescent="0.2">
      <c r="A35">
        <v>-72.217206980592891</v>
      </c>
      <c r="B35">
        <v>130.11112346127265</v>
      </c>
      <c r="C35">
        <f t="shared" si="0"/>
        <v>41996.561085137961</v>
      </c>
      <c r="D35" s="3">
        <v>45821</v>
      </c>
      <c r="I35" s="3">
        <v>45821</v>
      </c>
      <c r="J35">
        <f t="shared" si="1"/>
        <v>1558.0410851379638</v>
      </c>
      <c r="M35">
        <f t="shared" si="2"/>
        <v>1.0385286376736331</v>
      </c>
      <c r="P35">
        <f t="shared" si="3"/>
        <v>57.893916480679763</v>
      </c>
    </row>
    <row r="36" spans="1:16" x14ac:dyDescent="0.2">
      <c r="A36">
        <v>436.81889486689033</v>
      </c>
      <c r="B36">
        <v>5.3807710593318916</v>
      </c>
      <c r="C36">
        <f t="shared" si="0"/>
        <v>42438.760751064183</v>
      </c>
      <c r="D36" s="3">
        <v>45824</v>
      </c>
      <c r="I36" s="3">
        <v>45824</v>
      </c>
      <c r="J36">
        <f t="shared" si="1"/>
        <v>2000.240751064186</v>
      </c>
      <c r="M36">
        <f t="shared" si="2"/>
        <v>1.0494637477104549</v>
      </c>
      <c r="P36">
        <f t="shared" si="3"/>
        <v>442.19966592622222</v>
      </c>
    </row>
    <row r="37" spans="1:16" x14ac:dyDescent="0.2">
      <c r="A37">
        <v>-197.56137172984745</v>
      </c>
      <c r="B37">
        <v>-4.9361226376458944</v>
      </c>
      <c r="C37">
        <f t="shared" si="0"/>
        <v>42236.263256696693</v>
      </c>
      <c r="D37" s="3">
        <v>45825</v>
      </c>
      <c r="I37" s="3">
        <v>45825</v>
      </c>
      <c r="J37">
        <f t="shared" si="1"/>
        <v>1797.7432566966963</v>
      </c>
      <c r="M37">
        <f t="shared" si="2"/>
        <v>1.0444562080090145</v>
      </c>
      <c r="P37">
        <f t="shared" si="3"/>
        <v>-202.49749436749335</v>
      </c>
    </row>
    <row r="38" spans="1:16" x14ac:dyDescent="0.2">
      <c r="A38">
        <v>188.61458435148234</v>
      </c>
      <c r="B38">
        <v>88.058600200474757</v>
      </c>
      <c r="C38">
        <f t="shared" si="0"/>
        <v>42512.936441248647</v>
      </c>
      <c r="D38" s="3">
        <v>45826</v>
      </c>
      <c r="I38" s="3">
        <v>45826</v>
      </c>
      <c r="J38">
        <f t="shared" si="1"/>
        <v>2074.4164412486498</v>
      </c>
      <c r="M38">
        <f t="shared" si="2"/>
        <v>1.0512980307204283</v>
      </c>
      <c r="P38">
        <f t="shared" si="3"/>
        <v>276.67318455195709</v>
      </c>
    </row>
    <row r="39" spans="1:16" x14ac:dyDescent="0.2">
      <c r="A39">
        <v>-210.83838336622648</v>
      </c>
      <c r="B39">
        <v>0</v>
      </c>
      <c r="C39">
        <f t="shared" si="0"/>
        <v>42302.098057882424</v>
      </c>
      <c r="D39" s="3">
        <v>45827</v>
      </c>
      <c r="I39" s="3">
        <v>45827</v>
      </c>
      <c r="J39">
        <f t="shared" si="1"/>
        <v>1863.5780578824269</v>
      </c>
      <c r="M39">
        <f t="shared" si="2"/>
        <v>1.0460842300332067</v>
      </c>
      <c r="P39">
        <f t="shared" si="3"/>
        <v>-210.83838336622648</v>
      </c>
    </row>
    <row r="40" spans="1:16" x14ac:dyDescent="0.2">
      <c r="A40">
        <v>165.23467542366416</v>
      </c>
      <c r="B40">
        <v>128.93275003677991</v>
      </c>
      <c r="C40">
        <f t="shared" si="0"/>
        <v>42596.265483342868</v>
      </c>
      <c r="D40" s="3">
        <v>45828</v>
      </c>
      <c r="I40" s="3">
        <v>45828</v>
      </c>
      <c r="J40">
        <f t="shared" si="1"/>
        <v>2157.745483342871</v>
      </c>
      <c r="M40">
        <f t="shared" si="2"/>
        <v>1.0533586660279077</v>
      </c>
      <c r="P40">
        <f t="shared" si="3"/>
        <v>294.16742546044406</v>
      </c>
    </row>
    <row r="41" spans="1:16" x14ac:dyDescent="0.2">
      <c r="A41">
        <v>-139.60218531384453</v>
      </c>
      <c r="B41">
        <v>-306.90085053462462</v>
      </c>
      <c r="C41">
        <f t="shared" si="0"/>
        <v>42149.762447494402</v>
      </c>
      <c r="D41" s="3">
        <v>45831</v>
      </c>
      <c r="I41" s="3">
        <v>45831</v>
      </c>
      <c r="J41">
        <f t="shared" si="1"/>
        <v>1711.2424474944055</v>
      </c>
      <c r="M41">
        <f t="shared" si="2"/>
        <v>1.042317138399091</v>
      </c>
      <c r="P41">
        <f t="shared" si="3"/>
        <v>-446.50303584846915</v>
      </c>
    </row>
    <row r="42" spans="1:16" x14ac:dyDescent="0.2">
      <c r="A42">
        <v>192.96714773972417</v>
      </c>
      <c r="B42">
        <v>302.7994231565317</v>
      </c>
      <c r="C42">
        <f t="shared" si="0"/>
        <v>42645.529018390662</v>
      </c>
      <c r="D42" s="3">
        <v>45832</v>
      </c>
      <c r="I42" s="3">
        <v>45832</v>
      </c>
      <c r="J42">
        <f t="shared" si="1"/>
        <v>2207.009018390665</v>
      </c>
      <c r="M42">
        <f t="shared" si="2"/>
        <v>1.0545768989169402</v>
      </c>
      <c r="P42">
        <f t="shared" si="3"/>
        <v>495.76657089625587</v>
      </c>
    </row>
    <row r="43" spans="1:16" x14ac:dyDescent="0.2">
      <c r="A43">
        <v>93.832948864794162</v>
      </c>
      <c r="B43">
        <v>303.98097592058184</v>
      </c>
      <c r="C43">
        <f t="shared" si="0"/>
        <v>43043.342943176038</v>
      </c>
      <c r="D43" s="3">
        <v>45833</v>
      </c>
      <c r="I43" s="3">
        <v>45833</v>
      </c>
      <c r="J43">
        <f t="shared" si="1"/>
        <v>2604.822943176041</v>
      </c>
      <c r="M43">
        <f t="shared" si="2"/>
        <v>1.064414398528335</v>
      </c>
      <c r="P43">
        <f t="shared" si="3"/>
        <v>397.813924785376</v>
      </c>
    </row>
    <row r="44" spans="1:16" x14ac:dyDescent="0.2">
      <c r="A44">
        <v>167.25041083252654</v>
      </c>
      <c r="B44">
        <v>389.31344053282373</v>
      </c>
      <c r="C44">
        <f t="shared" si="0"/>
        <v>43599.906794541384</v>
      </c>
      <c r="D44" s="3">
        <v>45834</v>
      </c>
      <c r="I44" s="3">
        <v>45834</v>
      </c>
      <c r="J44">
        <f t="shared" si="1"/>
        <v>3161.3867945413876</v>
      </c>
      <c r="M44">
        <f t="shared" si="2"/>
        <v>1.0781776087389299</v>
      </c>
      <c r="P44">
        <f t="shared" si="3"/>
        <v>556.56385136535027</v>
      </c>
    </row>
    <row r="45" spans="1:16" x14ac:dyDescent="0.2">
      <c r="A45">
        <v>6.9637914213853946</v>
      </c>
      <c r="B45">
        <v>67.814351557215559</v>
      </c>
      <c r="C45">
        <f t="shared" si="0"/>
        <v>43674.684937519982</v>
      </c>
      <c r="D45" s="3">
        <v>45835</v>
      </c>
      <c r="I45" s="3">
        <v>45835</v>
      </c>
      <c r="J45">
        <f t="shared" si="1"/>
        <v>3236.164937519985</v>
      </c>
      <c r="M45">
        <f t="shared" si="2"/>
        <v>1.0800267897420575</v>
      </c>
      <c r="P45">
        <f t="shared" si="3"/>
        <v>74.778142978600954</v>
      </c>
    </row>
    <row r="46" spans="1:16" x14ac:dyDescent="0.2">
      <c r="A46">
        <v>476.71175746483641</v>
      </c>
      <c r="B46">
        <v>111.95986926931073</v>
      </c>
      <c r="C46">
        <f t="shared" si="0"/>
        <v>44263.356564254129</v>
      </c>
      <c r="D46" s="3">
        <v>45838</v>
      </c>
      <c r="I46" s="3">
        <v>45838</v>
      </c>
      <c r="J46">
        <f t="shared" si="1"/>
        <v>3824.8365642541321</v>
      </c>
      <c r="M46">
        <f t="shared" si="2"/>
        <v>1.094583989825892</v>
      </c>
      <c r="P46">
        <f t="shared" si="3"/>
        <v>588.67162673414714</v>
      </c>
    </row>
    <row r="47" spans="1:16" x14ac:dyDescent="0.2">
      <c r="A47">
        <v>-615.26116129885122</v>
      </c>
      <c r="B47">
        <v>-546.68966817148976</v>
      </c>
      <c r="C47">
        <f t="shared" si="0"/>
        <v>43101.405734783788</v>
      </c>
      <c r="D47" s="3">
        <v>45839</v>
      </c>
      <c r="I47" s="3">
        <v>45839</v>
      </c>
      <c r="J47">
        <f t="shared" si="1"/>
        <v>2662.8857347837911</v>
      </c>
      <c r="M47">
        <f t="shared" si="2"/>
        <v>1.0658502273274044</v>
      </c>
      <c r="P47">
        <f t="shared" si="3"/>
        <v>-1161.950829470341</v>
      </c>
    </row>
    <row r="48" spans="1:16" x14ac:dyDescent="0.2">
      <c r="A48">
        <v>-1.5440130643873999</v>
      </c>
      <c r="B48">
        <v>275.07790788695638</v>
      </c>
      <c r="C48">
        <f t="shared" si="0"/>
        <v>43374.939629606357</v>
      </c>
      <c r="D48" s="3">
        <v>45840</v>
      </c>
      <c r="I48" s="3">
        <v>45840</v>
      </c>
      <c r="J48">
        <f t="shared" si="1"/>
        <v>2936.4196296063601</v>
      </c>
      <c r="M48">
        <f t="shared" si="2"/>
        <v>1.0726144188661297</v>
      </c>
      <c r="P48">
        <f t="shared" si="3"/>
        <v>273.53389482256898</v>
      </c>
    </row>
    <row r="49" spans="1:16" x14ac:dyDescent="0.2">
      <c r="A49">
        <v>132.50371718010865</v>
      </c>
      <c r="B49">
        <v>170.44693309157446</v>
      </c>
      <c r="C49">
        <f t="shared" si="0"/>
        <v>43677.89027987804</v>
      </c>
      <c r="D49" s="3">
        <v>45841</v>
      </c>
      <c r="I49" s="3">
        <v>45841</v>
      </c>
      <c r="J49">
        <f t="shared" si="1"/>
        <v>3239.3702798780432</v>
      </c>
      <c r="M49">
        <f t="shared" si="2"/>
        <v>1.0801060543234036</v>
      </c>
      <c r="P49">
        <f t="shared" si="3"/>
        <v>302.95065027168312</v>
      </c>
    </row>
    <row r="50" spans="1:16" x14ac:dyDescent="0.2">
      <c r="A50">
        <v>-24.032783989277998</v>
      </c>
      <c r="B50">
        <v>0</v>
      </c>
      <c r="C50">
        <f t="shared" si="0"/>
        <v>43653.857495888762</v>
      </c>
      <c r="D50" s="3">
        <v>45842</v>
      </c>
      <c r="I50" s="3">
        <v>45842</v>
      </c>
      <c r="J50">
        <f t="shared" si="1"/>
        <v>3215.3374958887653</v>
      </c>
      <c r="M50">
        <f t="shared" si="2"/>
        <v>1.0795117500810802</v>
      </c>
      <c r="P50">
        <f t="shared" si="3"/>
        <v>-24.032783989277998</v>
      </c>
    </row>
    <row r="51" spans="1:16" x14ac:dyDescent="0.2">
      <c r="A51">
        <v>373.06596872567388</v>
      </c>
      <c r="B51">
        <v>100.84761302078914</v>
      </c>
      <c r="C51">
        <f t="shared" si="0"/>
        <v>44127.771077635225</v>
      </c>
      <c r="D51" s="3">
        <v>45845</v>
      </c>
      <c r="I51" s="3">
        <v>45845</v>
      </c>
      <c r="J51">
        <f t="shared" si="1"/>
        <v>3689.2510776352283</v>
      </c>
      <c r="M51">
        <f t="shared" si="2"/>
        <v>1.0912311102788932</v>
      </c>
      <c r="P51">
        <f t="shared" si="3"/>
        <v>473.91358174646302</v>
      </c>
    </row>
    <row r="52" spans="1:16" x14ac:dyDescent="0.2">
      <c r="A52">
        <v>-190.15685903966732</v>
      </c>
      <c r="B52">
        <v>72.068343530412676</v>
      </c>
      <c r="C52">
        <f t="shared" si="0"/>
        <v>44009.68256212597</v>
      </c>
      <c r="D52" s="3">
        <v>45846</v>
      </c>
      <c r="I52" s="3">
        <v>45846</v>
      </c>
      <c r="J52">
        <f t="shared" si="1"/>
        <v>3571.1625621259736</v>
      </c>
      <c r="M52">
        <f t="shared" si="2"/>
        <v>1.0883109115300456</v>
      </c>
      <c r="P52">
        <f t="shared" si="3"/>
        <v>-118.08851550925465</v>
      </c>
    </row>
    <row r="53" spans="1:16" x14ac:dyDescent="0.2">
      <c r="A53">
        <v>170.79819131240947</v>
      </c>
      <c r="B53">
        <v>0.21107868170292932</v>
      </c>
      <c r="C53">
        <f t="shared" si="0"/>
        <v>44180.691832120079</v>
      </c>
      <c r="D53" s="3">
        <v>45847</v>
      </c>
      <c r="I53" s="3">
        <v>45847</v>
      </c>
      <c r="J53">
        <f t="shared" si="1"/>
        <v>3742.1718321200824</v>
      </c>
      <c r="M53">
        <f t="shared" si="2"/>
        <v>1.0925397821710607</v>
      </c>
      <c r="P53">
        <f t="shared" si="3"/>
        <v>171.0092699941124</v>
      </c>
    </row>
    <row r="54" spans="1:16" x14ac:dyDescent="0.2">
      <c r="A54">
        <v>-513.93495127625283</v>
      </c>
      <c r="B54">
        <v>263.24120820908138</v>
      </c>
      <c r="C54">
        <f t="shared" si="0"/>
        <v>43929.998089052911</v>
      </c>
      <c r="D54" s="3">
        <v>45848</v>
      </c>
      <c r="I54" s="3">
        <v>45848</v>
      </c>
      <c r="J54">
        <f t="shared" si="1"/>
        <v>3491.4780890529146</v>
      </c>
      <c r="M54">
        <f t="shared" si="2"/>
        <v>1.086340402394868</v>
      </c>
      <c r="P54">
        <f t="shared" si="3"/>
        <v>-250.69374306717145</v>
      </c>
    </row>
    <row r="55" spans="1:16" x14ac:dyDescent="0.2">
      <c r="A55">
        <v>51.991268734487676</v>
      </c>
      <c r="B55">
        <v>44.552426045233005</v>
      </c>
      <c r="C55">
        <f t="shared" si="0"/>
        <v>44026.541783832632</v>
      </c>
      <c r="D55" s="3">
        <v>45849</v>
      </c>
      <c r="I55" s="3">
        <v>45849</v>
      </c>
      <c r="J55">
        <f t="shared" si="1"/>
        <v>3588.0217838326353</v>
      </c>
      <c r="M55">
        <f t="shared" si="2"/>
        <v>1.0887278214888338</v>
      </c>
      <c r="P55">
        <f t="shared" si="3"/>
        <v>96.543694779720681</v>
      </c>
    </row>
    <row r="56" spans="1:16" x14ac:dyDescent="0.2">
      <c r="A56">
        <v>313.89072921780462</v>
      </c>
      <c r="B56">
        <v>270.93113791275027</v>
      </c>
      <c r="C56">
        <f t="shared" si="0"/>
        <v>44611.363650963191</v>
      </c>
      <c r="D56" s="3">
        <v>45852</v>
      </c>
      <c r="I56" s="3">
        <v>45852</v>
      </c>
      <c r="J56">
        <f t="shared" si="1"/>
        <v>4172.8436509631938</v>
      </c>
      <c r="M56">
        <f t="shared" si="2"/>
        <v>1.1031898212635673</v>
      </c>
      <c r="P56">
        <f t="shared" si="3"/>
        <v>584.82186713055489</v>
      </c>
    </row>
    <row r="57" spans="1:16" x14ac:dyDescent="0.2">
      <c r="A57">
        <v>3.5962027468340239</v>
      </c>
      <c r="B57">
        <v>34.964201764491008</v>
      </c>
      <c r="C57">
        <f t="shared" si="0"/>
        <v>44649.924055474519</v>
      </c>
      <c r="D57" s="3">
        <v>45853</v>
      </c>
      <c r="I57" s="3">
        <v>45853</v>
      </c>
      <c r="J57">
        <f t="shared" si="1"/>
        <v>4211.4040554745225</v>
      </c>
      <c r="M57">
        <f t="shared" si="2"/>
        <v>1.104143377538904</v>
      </c>
      <c r="P57">
        <f t="shared" si="3"/>
        <v>38.560404511325032</v>
      </c>
    </row>
    <row r="58" spans="1:16" x14ac:dyDescent="0.2">
      <c r="A58">
        <v>92.99745794428236</v>
      </c>
      <c r="B58">
        <v>-114.81380359555624</v>
      </c>
      <c r="C58">
        <f t="shared" si="0"/>
        <v>44628.107709823249</v>
      </c>
      <c r="D58" s="3">
        <v>45854</v>
      </c>
      <c r="I58" s="3">
        <v>45854</v>
      </c>
      <c r="J58">
        <f t="shared" si="1"/>
        <v>4189.5877098232522</v>
      </c>
      <c r="M58">
        <f t="shared" si="2"/>
        <v>1.1036038833721722</v>
      </c>
      <c r="P58">
        <f t="shared" si="3"/>
        <v>-21.816345651273878</v>
      </c>
    </row>
    <row r="59" spans="1:16" x14ac:dyDescent="0.2">
      <c r="A59">
        <v>334.19193674271082</v>
      </c>
      <c r="B59">
        <v>108.74031569130602</v>
      </c>
      <c r="C59">
        <f t="shared" si="0"/>
        <v>45071.039962257266</v>
      </c>
      <c r="D59" s="3">
        <v>45855</v>
      </c>
      <c r="I59" s="3">
        <v>45855</v>
      </c>
      <c r="J59">
        <f t="shared" si="1"/>
        <v>4632.5199622572691</v>
      </c>
      <c r="M59">
        <f t="shared" si="2"/>
        <v>1.114557109465363</v>
      </c>
      <c r="P59">
        <f t="shared" si="3"/>
        <v>442.93225243401685</v>
      </c>
    </row>
    <row r="60" spans="1:16" x14ac:dyDescent="0.2">
      <c r="A60">
        <v>14.184688455683499</v>
      </c>
      <c r="B60">
        <v>118.9774383214899</v>
      </c>
      <c r="C60">
        <f t="shared" si="0"/>
        <v>45204.202089034443</v>
      </c>
      <c r="D60" s="3">
        <v>45856</v>
      </c>
      <c r="I60" s="3">
        <v>45856</v>
      </c>
      <c r="J60">
        <f t="shared" si="1"/>
        <v>4765.6820890344461</v>
      </c>
      <c r="M60">
        <f t="shared" si="2"/>
        <v>1.1178500619961969</v>
      </c>
      <c r="P60">
        <f t="shared" si="3"/>
        <v>133.1621267771734</v>
      </c>
    </row>
    <row r="61" spans="1:16" x14ac:dyDescent="0.2">
      <c r="A61">
        <v>-139.94522413338927</v>
      </c>
      <c r="B61">
        <v>-41.231714081379323</v>
      </c>
      <c r="C61">
        <f t="shared" si="0"/>
        <v>45023.025150819674</v>
      </c>
      <c r="D61" s="3">
        <v>45859</v>
      </c>
      <c r="I61" s="3">
        <v>45859</v>
      </c>
      <c r="J61">
        <f t="shared" si="1"/>
        <v>4584.5051508196775</v>
      </c>
      <c r="M61">
        <f t="shared" si="2"/>
        <v>1.113369756133995</v>
      </c>
      <c r="P61">
        <f t="shared" si="3"/>
        <v>-181.1769382147686</v>
      </c>
    </row>
    <row r="62" spans="1:16" x14ac:dyDescent="0.2">
      <c r="A62">
        <v>72.51404606505821</v>
      </c>
      <c r="B62">
        <v>-253.60853572942142</v>
      </c>
      <c r="C62">
        <f t="shared" si="0"/>
        <v>44841.930661155311</v>
      </c>
      <c r="D62" s="3">
        <v>45860</v>
      </c>
      <c r="I62" s="3">
        <v>45860</v>
      </c>
      <c r="J62">
        <f t="shared" si="1"/>
        <v>4403.4106611553143</v>
      </c>
      <c r="M62">
        <f t="shared" si="2"/>
        <v>1.1088914891335122</v>
      </c>
      <c r="P62">
        <f t="shared" si="3"/>
        <v>-181.09448966436321</v>
      </c>
    </row>
    <row r="63" spans="1:16" x14ac:dyDescent="0.2">
      <c r="A63">
        <v>50.375353955445462</v>
      </c>
      <c r="B63">
        <v>257.81257455788727</v>
      </c>
      <c r="C63">
        <f t="shared" si="0"/>
        <v>45150.118589668644</v>
      </c>
      <c r="D63" s="3">
        <v>45861</v>
      </c>
      <c r="I63" s="3">
        <v>45861</v>
      </c>
      <c r="J63">
        <f t="shared" si="1"/>
        <v>4711.598589668647</v>
      </c>
      <c r="M63">
        <f t="shared" si="2"/>
        <v>1.1165126367055136</v>
      </c>
      <c r="P63">
        <f t="shared" si="3"/>
        <v>308.18792851333274</v>
      </c>
    </row>
    <row r="64" spans="1:16" x14ac:dyDescent="0.2">
      <c r="A64">
        <v>243.90468868746029</v>
      </c>
      <c r="B64">
        <v>120.91840106092059</v>
      </c>
      <c r="C64">
        <f t="shared" si="0"/>
        <v>45514.941679417025</v>
      </c>
      <c r="D64" s="3">
        <v>45862</v>
      </c>
      <c r="I64" s="3">
        <v>45862</v>
      </c>
      <c r="J64">
        <f t="shared" si="1"/>
        <v>5076.4216794170279</v>
      </c>
      <c r="M64">
        <f t="shared" si="2"/>
        <v>1.1255343093519998</v>
      </c>
      <c r="P64">
        <f t="shared" si="3"/>
        <v>364.82308974838088</v>
      </c>
    </row>
    <row r="65" spans="1:16" x14ac:dyDescent="0.2">
      <c r="A65">
        <v>-24.166090502516454</v>
      </c>
      <c r="B65">
        <v>193.57466393815776</v>
      </c>
      <c r="C65">
        <f t="shared" si="0"/>
        <v>45684.350252852666</v>
      </c>
      <c r="D65" s="3">
        <v>45863</v>
      </c>
      <c r="I65" s="3">
        <v>45863</v>
      </c>
      <c r="J65">
        <f t="shared" si="1"/>
        <v>5245.8302528526692</v>
      </c>
      <c r="M65">
        <f t="shared" si="2"/>
        <v>1.1297235965325305</v>
      </c>
      <c r="P65">
        <f t="shared" si="3"/>
        <v>169.4085734356413</v>
      </c>
    </row>
    <row r="66" spans="1:16" x14ac:dyDescent="0.2">
      <c r="A66">
        <v>55.336456546508998</v>
      </c>
      <c r="B66">
        <v>99.107600310326234</v>
      </c>
      <c r="C66">
        <f t="shared" si="0"/>
        <v>45838.794309709498</v>
      </c>
      <c r="D66" s="3">
        <v>45866</v>
      </c>
      <c r="I66" s="3">
        <v>45866</v>
      </c>
      <c r="J66">
        <f t="shared" si="1"/>
        <v>5400.2743097095008</v>
      </c>
      <c r="M66">
        <f t="shared" si="2"/>
        <v>1.1335428277224167</v>
      </c>
      <c r="P66">
        <f t="shared" si="3"/>
        <v>154.44405685683523</v>
      </c>
    </row>
    <row r="67" spans="1:16" x14ac:dyDescent="0.2">
      <c r="A67">
        <v>808.42338771164214</v>
      </c>
      <c r="B67">
        <v>-352.44411289060372</v>
      </c>
      <c r="C67">
        <f t="shared" si="0"/>
        <v>46294.773584530536</v>
      </c>
      <c r="D67" s="3">
        <v>45867</v>
      </c>
      <c r="I67" s="3">
        <v>45867</v>
      </c>
      <c r="J67">
        <f t="shared" si="1"/>
        <v>5856.2535845305392</v>
      </c>
      <c r="M67">
        <f t="shared" si="2"/>
        <v>1.1448186922896917</v>
      </c>
      <c r="P67">
        <f t="shared" si="3"/>
        <v>455.97927482103842</v>
      </c>
    </row>
    <row r="68" spans="1:16" x14ac:dyDescent="0.2">
      <c r="A68">
        <v>381.14355264606638</v>
      </c>
      <c r="B68">
        <v>60.117548020596587</v>
      </c>
      <c r="C68">
        <f t="shared" ref="C68:C131" si="4">A68+B68+C67</f>
        <v>46736.034685197199</v>
      </c>
      <c r="D68" s="3">
        <v>45868</v>
      </c>
      <c r="I68" s="3">
        <v>45868</v>
      </c>
      <c r="J68">
        <f t="shared" ref="J68:J131" si="5">C68-$C$2</f>
        <v>6297.5146851972022</v>
      </c>
      <c r="M68">
        <f t="shared" ref="M68:M131" si="6">C68/$C$2</f>
        <v>1.1557305926427872</v>
      </c>
      <c r="P68">
        <f t="shared" ref="P68:P131" si="7">A68+B68</f>
        <v>441.26110066666297</v>
      </c>
    </row>
    <row r="69" spans="1:16" x14ac:dyDescent="0.2">
      <c r="A69">
        <v>185.31525177813819</v>
      </c>
      <c r="B69">
        <v>-334.92154378958003</v>
      </c>
      <c r="C69">
        <f t="shared" si="4"/>
        <v>46586.428393185757</v>
      </c>
      <c r="D69" s="3">
        <v>45869</v>
      </c>
      <c r="I69" s="3">
        <v>45869</v>
      </c>
      <c r="J69">
        <f t="shared" si="5"/>
        <v>6147.9083931857604</v>
      </c>
      <c r="M69">
        <f t="shared" si="6"/>
        <v>1.152030994041962</v>
      </c>
      <c r="P69">
        <f t="shared" si="7"/>
        <v>-149.60629201144184</v>
      </c>
    </row>
    <row r="70" spans="1:16" x14ac:dyDescent="0.2">
      <c r="A70">
        <v>0</v>
      </c>
      <c r="B70">
        <v>-122.899751353743</v>
      </c>
      <c r="C70">
        <f t="shared" si="4"/>
        <v>46463.528641832017</v>
      </c>
      <c r="D70" s="3">
        <v>45870</v>
      </c>
      <c r="I70" s="3">
        <v>45870</v>
      </c>
      <c r="J70">
        <f t="shared" si="5"/>
        <v>6025.0086418320207</v>
      </c>
      <c r="M70">
        <f t="shared" si="6"/>
        <v>1.148991818736987</v>
      </c>
      <c r="P70">
        <f t="shared" si="7"/>
        <v>-122.899751353743</v>
      </c>
    </row>
    <row r="71" spans="1:16" x14ac:dyDescent="0.2">
      <c r="A71">
        <v>-313.6439530655407</v>
      </c>
      <c r="B71">
        <v>79.646816983997269</v>
      </c>
      <c r="C71">
        <f t="shared" si="4"/>
        <v>46229.531505750478</v>
      </c>
      <c r="D71" s="3">
        <v>45873</v>
      </c>
      <c r="I71" s="3">
        <v>45873</v>
      </c>
      <c r="J71">
        <f t="shared" si="5"/>
        <v>5791.0115057504809</v>
      </c>
      <c r="M71">
        <f t="shared" si="6"/>
        <v>1.143205327636879</v>
      </c>
      <c r="P71">
        <f t="shared" si="7"/>
        <v>-233.99713608154343</v>
      </c>
    </row>
    <row r="72" spans="1:16" x14ac:dyDescent="0.2">
      <c r="A72">
        <v>-183.40606857009698</v>
      </c>
      <c r="B72">
        <v>-61.586330695790821</v>
      </c>
      <c r="C72">
        <f t="shared" si="4"/>
        <v>45984.53910648459</v>
      </c>
      <c r="D72" s="3">
        <v>45874</v>
      </c>
      <c r="I72" s="3">
        <v>45874</v>
      </c>
      <c r="J72">
        <f t="shared" si="5"/>
        <v>5546.0191064845931</v>
      </c>
      <c r="M72">
        <f t="shared" si="6"/>
        <v>1.1371469358048858</v>
      </c>
      <c r="P72">
        <f t="shared" si="7"/>
        <v>-244.9923992658878</v>
      </c>
    </row>
    <row r="73" spans="1:16" x14ac:dyDescent="0.2">
      <c r="A73">
        <v>549.16029255231479</v>
      </c>
      <c r="B73">
        <v>-252.90471517193873</v>
      </c>
      <c r="C73">
        <f t="shared" si="4"/>
        <v>46280.794683864966</v>
      </c>
      <c r="D73" s="3">
        <v>45875</v>
      </c>
      <c r="I73" s="3">
        <v>45875</v>
      </c>
      <c r="J73">
        <f t="shared" si="5"/>
        <v>5842.2746838649691</v>
      </c>
      <c r="M73">
        <f t="shared" si="6"/>
        <v>1.1444730094935465</v>
      </c>
      <c r="P73">
        <f t="shared" si="7"/>
        <v>296.25557738037605</v>
      </c>
    </row>
    <row r="74" spans="1:16" x14ac:dyDescent="0.2">
      <c r="A74">
        <v>122.76780310150934</v>
      </c>
      <c r="B74">
        <v>-71.569512885209406</v>
      </c>
      <c r="C74">
        <f t="shared" si="4"/>
        <v>46331.992974081266</v>
      </c>
      <c r="D74" s="3">
        <v>45876</v>
      </c>
      <c r="I74" s="3">
        <v>45876</v>
      </c>
      <c r="J74">
        <f t="shared" si="5"/>
        <v>5893.4729740812691</v>
      </c>
      <c r="M74">
        <f t="shared" si="6"/>
        <v>1.1457390867440567</v>
      </c>
      <c r="P74">
        <f t="shared" si="7"/>
        <v>51.198290216299938</v>
      </c>
    </row>
    <row r="75" spans="1:16" x14ac:dyDescent="0.2">
      <c r="A75">
        <v>257.62805362818472</v>
      </c>
      <c r="B75">
        <v>-391.14051371052119</v>
      </c>
      <c r="C75">
        <f t="shared" si="4"/>
        <v>46198.480513998933</v>
      </c>
      <c r="D75" s="3">
        <v>45877</v>
      </c>
      <c r="I75" s="3">
        <v>45877</v>
      </c>
      <c r="J75">
        <f t="shared" si="5"/>
        <v>5759.9605139989362</v>
      </c>
      <c r="M75">
        <f t="shared" si="6"/>
        <v>1.1424374708569685</v>
      </c>
      <c r="P75">
        <f t="shared" si="7"/>
        <v>-133.51246008233647</v>
      </c>
    </row>
    <row r="76" spans="1:16" x14ac:dyDescent="0.2">
      <c r="A76">
        <v>709.14114179629178</v>
      </c>
      <c r="B76">
        <v>127.27885129543574</v>
      </c>
      <c r="C76">
        <f t="shared" si="4"/>
        <v>47034.900507090657</v>
      </c>
      <c r="D76" s="3">
        <v>45880</v>
      </c>
      <c r="I76" s="3">
        <v>45880</v>
      </c>
      <c r="J76">
        <f t="shared" si="5"/>
        <v>6596.3805070906601</v>
      </c>
      <c r="M76">
        <f t="shared" si="6"/>
        <v>1.1631212147994205</v>
      </c>
      <c r="P76">
        <f t="shared" si="7"/>
        <v>836.41999309172752</v>
      </c>
    </row>
    <row r="77" spans="1:16" x14ac:dyDescent="0.2">
      <c r="A77">
        <v>224.90520385585114</v>
      </c>
      <c r="B77">
        <v>194.14525666015106</v>
      </c>
      <c r="C77">
        <f t="shared" si="4"/>
        <v>47453.950967606659</v>
      </c>
      <c r="D77" s="3">
        <v>45881</v>
      </c>
      <c r="I77" s="3">
        <v>45881</v>
      </c>
      <c r="J77">
        <f t="shared" si="5"/>
        <v>7015.4309676066623</v>
      </c>
      <c r="M77">
        <f t="shared" si="6"/>
        <v>1.1734838705176813</v>
      </c>
      <c r="P77">
        <f t="shared" si="7"/>
        <v>419.0504605160022</v>
      </c>
    </row>
    <row r="78" spans="1:16" x14ac:dyDescent="0.2">
      <c r="A78">
        <v>-90.728387969465984</v>
      </c>
      <c r="B78">
        <v>-362.29252564188937</v>
      </c>
      <c r="C78">
        <f t="shared" si="4"/>
        <v>47000.930053995304</v>
      </c>
      <c r="D78" s="3">
        <v>45882</v>
      </c>
      <c r="I78" s="3">
        <v>45882</v>
      </c>
      <c r="J78">
        <f t="shared" si="5"/>
        <v>6562.410053995307</v>
      </c>
      <c r="M78">
        <f t="shared" si="6"/>
        <v>1.1622811629603484</v>
      </c>
      <c r="P78">
        <f t="shared" si="7"/>
        <v>-453.02091361135535</v>
      </c>
    </row>
    <row r="79" spans="1:16" x14ac:dyDescent="0.2">
      <c r="A79">
        <v>45.998531346911477</v>
      </c>
      <c r="B79">
        <v>298.07831963729768</v>
      </c>
      <c r="C79">
        <f t="shared" si="4"/>
        <v>47345.006904979513</v>
      </c>
      <c r="D79" s="3">
        <v>45883</v>
      </c>
      <c r="I79" s="3">
        <v>45883</v>
      </c>
      <c r="J79">
        <f t="shared" si="5"/>
        <v>6906.4869049795161</v>
      </c>
      <c r="M79">
        <f t="shared" si="6"/>
        <v>1.1707898040032008</v>
      </c>
      <c r="P79">
        <f t="shared" si="7"/>
        <v>344.07685098420916</v>
      </c>
    </row>
    <row r="80" spans="1:16" x14ac:dyDescent="0.2">
      <c r="A80">
        <v>-275.77704979820555</v>
      </c>
      <c r="B80">
        <v>179.98956873089264</v>
      </c>
      <c r="C80">
        <f t="shared" si="4"/>
        <v>47249.219423912204</v>
      </c>
      <c r="D80" s="3">
        <v>45884</v>
      </c>
      <c r="I80" s="3">
        <v>45884</v>
      </c>
      <c r="J80">
        <f t="shared" si="5"/>
        <v>6810.6994239122068</v>
      </c>
      <c r="M80">
        <f t="shared" si="6"/>
        <v>1.1684210852403156</v>
      </c>
      <c r="P80">
        <f t="shared" si="7"/>
        <v>-95.78748106731291</v>
      </c>
    </row>
    <row r="81" spans="1:16" x14ac:dyDescent="0.2">
      <c r="A81">
        <v>162.77781853953638</v>
      </c>
      <c r="B81">
        <v>192.13149813514246</v>
      </c>
      <c r="C81">
        <f t="shared" si="4"/>
        <v>47604.128740586879</v>
      </c>
      <c r="D81" s="3">
        <v>45887</v>
      </c>
      <c r="I81" s="3">
        <v>45887</v>
      </c>
      <c r="J81">
        <f t="shared" si="5"/>
        <v>7165.608740586882</v>
      </c>
      <c r="M81">
        <f t="shared" si="6"/>
        <v>1.1771976012125787</v>
      </c>
      <c r="P81">
        <f t="shared" si="7"/>
        <v>354.90931667467885</v>
      </c>
    </row>
    <row r="82" spans="1:16" x14ac:dyDescent="0.2">
      <c r="A82">
        <v>-363.86782968860643</v>
      </c>
      <c r="B82">
        <v>-167.27543826520559</v>
      </c>
      <c r="C82">
        <f t="shared" si="4"/>
        <v>47072.985472633067</v>
      </c>
      <c r="D82" s="3">
        <v>45888</v>
      </c>
      <c r="I82" s="3">
        <v>45888</v>
      </c>
      <c r="J82">
        <f t="shared" si="5"/>
        <v>6634.46547263307</v>
      </c>
      <c r="M82">
        <f t="shared" si="6"/>
        <v>1.1640630139934169</v>
      </c>
      <c r="P82">
        <f t="shared" si="7"/>
        <v>-531.14326795381203</v>
      </c>
    </row>
    <row r="83" spans="1:16" x14ac:dyDescent="0.2">
      <c r="A83">
        <v>-514.49802173389617</v>
      </c>
      <c r="B83">
        <v>159.80139026464167</v>
      </c>
      <c r="C83">
        <f t="shared" si="4"/>
        <v>46718.288841163812</v>
      </c>
      <c r="D83" s="3">
        <v>45889</v>
      </c>
      <c r="I83" s="3">
        <v>45889</v>
      </c>
      <c r="J83">
        <f t="shared" si="5"/>
        <v>6279.7688411638155</v>
      </c>
      <c r="M83">
        <f t="shared" si="6"/>
        <v>1.1552917574917136</v>
      </c>
      <c r="P83">
        <f t="shared" si="7"/>
        <v>-354.6966314692545</v>
      </c>
    </row>
    <row r="84" spans="1:16" x14ac:dyDescent="0.2">
      <c r="A84">
        <v>330.37755106325858</v>
      </c>
      <c r="B84">
        <v>-31.908375673476257</v>
      </c>
      <c r="C84">
        <f t="shared" si="4"/>
        <v>47016.758016553591</v>
      </c>
      <c r="D84" s="3">
        <v>45890</v>
      </c>
      <c r="I84" s="3">
        <v>45890</v>
      </c>
      <c r="J84">
        <f t="shared" si="5"/>
        <v>6578.2380165535942</v>
      </c>
      <c r="M84">
        <f t="shared" si="6"/>
        <v>1.1626725710177721</v>
      </c>
      <c r="P84">
        <f t="shared" si="7"/>
        <v>298.46917538978232</v>
      </c>
    </row>
    <row r="85" spans="1:16" x14ac:dyDescent="0.2">
      <c r="A85">
        <v>-301.94363659465307</v>
      </c>
      <c r="B85">
        <v>55.426038821431575</v>
      </c>
      <c r="C85">
        <f t="shared" si="4"/>
        <v>46770.24041878037</v>
      </c>
      <c r="D85" s="3">
        <v>45891</v>
      </c>
      <c r="I85" s="3">
        <v>45891</v>
      </c>
      <c r="J85">
        <f t="shared" si="5"/>
        <v>6331.7204187803727</v>
      </c>
      <c r="M85">
        <f t="shared" si="6"/>
        <v>1.1565764627088324</v>
      </c>
      <c r="P85">
        <f t="shared" si="7"/>
        <v>-246.5175977732215</v>
      </c>
    </row>
    <row r="86" spans="1:16" x14ac:dyDescent="0.2">
      <c r="A86">
        <v>0</v>
      </c>
      <c r="B86">
        <v>142.66911493056614</v>
      </c>
      <c r="C86">
        <f t="shared" si="4"/>
        <v>46912.909533710932</v>
      </c>
      <c r="D86" s="3">
        <v>45894</v>
      </c>
      <c r="I86" s="3">
        <v>45894</v>
      </c>
      <c r="J86">
        <f t="shared" si="5"/>
        <v>6474.3895337109352</v>
      </c>
      <c r="M86">
        <f t="shared" si="6"/>
        <v>1.1601045125714526</v>
      </c>
      <c r="P86">
        <f t="shared" si="7"/>
        <v>142.66911493056614</v>
      </c>
    </row>
    <row r="87" spans="1:16" x14ac:dyDescent="0.2">
      <c r="A87">
        <v>254.62701552814906</v>
      </c>
      <c r="B87">
        <v>256.25161796796601</v>
      </c>
      <c r="C87">
        <f t="shared" si="4"/>
        <v>47423.788167207051</v>
      </c>
      <c r="D87" s="3">
        <v>45895</v>
      </c>
      <c r="I87" s="3">
        <v>45895</v>
      </c>
      <c r="J87">
        <f t="shared" si="5"/>
        <v>6985.2681672070539</v>
      </c>
      <c r="M87">
        <f t="shared" si="6"/>
        <v>1.1727379777303188</v>
      </c>
      <c r="P87">
        <f t="shared" si="7"/>
        <v>510.87863349611507</v>
      </c>
    </row>
    <row r="88" spans="1:16" x14ac:dyDescent="0.2">
      <c r="A88">
        <v>-374.63325017661919</v>
      </c>
      <c r="B88">
        <v>-74.930110397239332</v>
      </c>
      <c r="C88">
        <f t="shared" si="4"/>
        <v>46974.224806633196</v>
      </c>
      <c r="D88" s="3">
        <v>45896</v>
      </c>
      <c r="I88" s="3">
        <v>45896</v>
      </c>
      <c r="J88">
        <f t="shared" si="5"/>
        <v>6535.704806633199</v>
      </c>
      <c r="M88">
        <f t="shared" si="6"/>
        <v>1.1616207716462719</v>
      </c>
      <c r="P88">
        <f t="shared" si="7"/>
        <v>-449.56336057385852</v>
      </c>
    </row>
    <row r="89" spans="1:16" x14ac:dyDescent="0.2">
      <c r="A89">
        <v>-77.975558389221987</v>
      </c>
      <c r="B89">
        <v>198.59268217388308</v>
      </c>
      <c r="C89">
        <f t="shared" si="4"/>
        <v>47094.841930417853</v>
      </c>
      <c r="D89" s="3">
        <v>45897</v>
      </c>
      <c r="I89" s="3">
        <v>45897</v>
      </c>
      <c r="J89">
        <f t="shared" si="5"/>
        <v>6656.3219304178565</v>
      </c>
      <c r="M89">
        <f t="shared" si="6"/>
        <v>1.164603500088971</v>
      </c>
      <c r="P89">
        <f t="shared" si="7"/>
        <v>120.61712378466109</v>
      </c>
    </row>
    <row r="90" spans="1:16" x14ac:dyDescent="0.2">
      <c r="A90">
        <v>39.366494297210011</v>
      </c>
      <c r="B90">
        <v>7.9830652162563638</v>
      </c>
      <c r="C90">
        <f t="shared" si="4"/>
        <v>47142.19148993132</v>
      </c>
      <c r="D90" s="3">
        <v>45898</v>
      </c>
      <c r="I90" s="3">
        <v>45898</v>
      </c>
      <c r="J90">
        <f t="shared" si="5"/>
        <v>6703.6714899313229</v>
      </c>
      <c r="M90">
        <f t="shared" si="6"/>
        <v>1.1657744024739611</v>
      </c>
      <c r="P90">
        <f t="shared" si="7"/>
        <v>47.349559513466374</v>
      </c>
    </row>
    <row r="91" spans="1:16" x14ac:dyDescent="0.2">
      <c r="A91">
        <v>239.67885781079895</v>
      </c>
      <c r="B91">
        <v>0</v>
      </c>
      <c r="C91">
        <f t="shared" si="4"/>
        <v>47381.870347742122</v>
      </c>
      <c r="D91" s="3">
        <v>45901</v>
      </c>
      <c r="I91" s="3">
        <v>45901</v>
      </c>
      <c r="J91">
        <f t="shared" si="5"/>
        <v>6943.3503477421255</v>
      </c>
      <c r="M91">
        <f t="shared" si="6"/>
        <v>1.171701396286069</v>
      </c>
      <c r="P91">
        <f t="shared" si="7"/>
        <v>239.67885781079895</v>
      </c>
    </row>
    <row r="92" spans="1:16" x14ac:dyDescent="0.2">
      <c r="A92">
        <v>-344.95248534224811</v>
      </c>
      <c r="B92">
        <v>199.97756216497146</v>
      </c>
      <c r="C92">
        <f t="shared" si="4"/>
        <v>47236.895424564849</v>
      </c>
      <c r="D92" s="3">
        <v>45902</v>
      </c>
      <c r="I92" s="3">
        <v>45902</v>
      </c>
      <c r="J92">
        <f t="shared" si="5"/>
        <v>6798.3754245648524</v>
      </c>
      <c r="M92">
        <f t="shared" si="6"/>
        <v>1.1681163263285812</v>
      </c>
      <c r="P92">
        <f t="shared" si="7"/>
        <v>-144.97492317727665</v>
      </c>
    </row>
    <row r="93" spans="1:16" x14ac:dyDescent="0.2">
      <c r="A93">
        <v>43.897597064402362</v>
      </c>
      <c r="B93">
        <v>5.2383416586199019</v>
      </c>
      <c r="C93">
        <f t="shared" si="4"/>
        <v>47286.031363287868</v>
      </c>
      <c r="D93" s="3">
        <v>45903</v>
      </c>
      <c r="I93" s="3">
        <v>45903</v>
      </c>
      <c r="J93">
        <f t="shared" si="5"/>
        <v>6847.5113632878711</v>
      </c>
      <c r="M93">
        <f t="shared" si="6"/>
        <v>1.1693314039012277</v>
      </c>
      <c r="P93">
        <f t="shared" si="7"/>
        <v>49.135938723022264</v>
      </c>
    </row>
    <row r="94" spans="1:16" x14ac:dyDescent="0.2">
      <c r="A94">
        <v>91.232148311995843</v>
      </c>
      <c r="B94">
        <v>-58.31681856405703</v>
      </c>
      <c r="C94">
        <f t="shared" si="4"/>
        <v>47318.946693035803</v>
      </c>
      <c r="D94" s="3">
        <v>45904</v>
      </c>
      <c r="I94" s="3">
        <v>45904</v>
      </c>
      <c r="J94">
        <f t="shared" si="5"/>
        <v>6880.4266930358062</v>
      </c>
      <c r="M94">
        <f t="shared" si="6"/>
        <v>1.1701453637036126</v>
      </c>
      <c r="P94">
        <f t="shared" si="7"/>
        <v>32.915329747938813</v>
      </c>
    </row>
    <row r="95" spans="1:16" x14ac:dyDescent="0.2">
      <c r="A95">
        <v>-219.28096683066178</v>
      </c>
      <c r="B95">
        <v>-191.44499218853525</v>
      </c>
      <c r="C95">
        <f t="shared" si="4"/>
        <v>46908.220734016606</v>
      </c>
      <c r="D95" s="3">
        <v>45905</v>
      </c>
      <c r="I95" s="3">
        <v>45905</v>
      </c>
      <c r="J95">
        <f t="shared" si="5"/>
        <v>6469.7007340166092</v>
      </c>
      <c r="M95">
        <f t="shared" si="6"/>
        <v>1.1599885637262839</v>
      </c>
      <c r="P95">
        <f t="shared" si="7"/>
        <v>-410.72595901919703</v>
      </c>
    </row>
    <row r="96" spans="1:16" x14ac:dyDescent="0.2">
      <c r="A96">
        <v>242.41355775329066</v>
      </c>
      <c r="B96">
        <v>-94.224541468924144</v>
      </c>
      <c r="C96">
        <f t="shared" si="4"/>
        <v>47056.409750300969</v>
      </c>
      <c r="D96" s="3">
        <v>45908</v>
      </c>
      <c r="I96" s="3">
        <v>45908</v>
      </c>
      <c r="J96">
        <f t="shared" si="5"/>
        <v>6617.8897503009721</v>
      </c>
      <c r="M96">
        <f t="shared" si="6"/>
        <v>1.1636531146614904</v>
      </c>
      <c r="P96">
        <f t="shared" si="7"/>
        <v>148.18901628436652</v>
      </c>
    </row>
    <row r="97" spans="1:16" x14ac:dyDescent="0.2">
      <c r="A97">
        <v>185.09630185215428</v>
      </c>
      <c r="B97">
        <v>105.03172408988758</v>
      </c>
      <c r="C97">
        <f t="shared" si="4"/>
        <v>47346.537776243014</v>
      </c>
      <c r="D97" s="3">
        <v>45909</v>
      </c>
      <c r="I97" s="3">
        <v>45909</v>
      </c>
      <c r="J97">
        <f t="shared" si="5"/>
        <v>6908.0177762430176</v>
      </c>
      <c r="M97">
        <f t="shared" si="6"/>
        <v>1.170827660761151</v>
      </c>
      <c r="P97">
        <f t="shared" si="7"/>
        <v>290.12802594204186</v>
      </c>
    </row>
    <row r="98" spans="1:16" x14ac:dyDescent="0.2">
      <c r="A98">
        <v>432.53663808031342</v>
      </c>
      <c r="B98">
        <v>793.10367971065716</v>
      </c>
      <c r="C98">
        <f t="shared" si="4"/>
        <v>48572.178094033981</v>
      </c>
      <c r="D98" s="3">
        <v>45910</v>
      </c>
      <c r="I98" s="3">
        <v>45910</v>
      </c>
      <c r="J98">
        <f t="shared" si="5"/>
        <v>8133.6580940339845</v>
      </c>
      <c r="M98">
        <f t="shared" si="6"/>
        <v>1.2011363940627398</v>
      </c>
      <c r="P98">
        <f t="shared" si="7"/>
        <v>1225.6403177909706</v>
      </c>
    </row>
    <row r="99" spans="1:16" x14ac:dyDescent="0.2">
      <c r="A99">
        <v>104.70384252694203</v>
      </c>
      <c r="B99">
        <v>-22.211766302196338</v>
      </c>
      <c r="C99">
        <f t="shared" si="4"/>
        <v>48654.670170258731</v>
      </c>
      <c r="D99" s="3">
        <v>45911</v>
      </c>
      <c r="I99" s="3">
        <v>45911</v>
      </c>
      <c r="J99">
        <f t="shared" si="5"/>
        <v>8216.1501702587339</v>
      </c>
      <c r="M99">
        <f t="shared" si="6"/>
        <v>1.2031763321273561</v>
      </c>
      <c r="P99">
        <f t="shared" si="7"/>
        <v>82.492076224745688</v>
      </c>
    </row>
    <row r="100" spans="1:16" x14ac:dyDescent="0.2">
      <c r="A100">
        <v>258.98554110695841</v>
      </c>
      <c r="B100">
        <v>-0.93071859565679915</v>
      </c>
      <c r="C100">
        <f t="shared" si="4"/>
        <v>48912.724992770032</v>
      </c>
      <c r="D100" s="3">
        <v>45912</v>
      </c>
      <c r="I100" s="3">
        <v>45912</v>
      </c>
      <c r="J100">
        <f t="shared" si="5"/>
        <v>8474.2049927700355</v>
      </c>
      <c r="M100">
        <f t="shared" si="6"/>
        <v>1.2095577432796758</v>
      </c>
      <c r="P100">
        <f t="shared" si="7"/>
        <v>258.05482251130161</v>
      </c>
    </row>
    <row r="101" spans="1:16" x14ac:dyDescent="0.2">
      <c r="A101">
        <v>282.55434937871178</v>
      </c>
      <c r="B101">
        <v>-60.336626499843987</v>
      </c>
      <c r="C101">
        <f t="shared" si="4"/>
        <v>49134.942715648896</v>
      </c>
      <c r="D101" s="3">
        <v>45915</v>
      </c>
      <c r="I101" s="3">
        <v>45915</v>
      </c>
      <c r="J101">
        <f t="shared" si="5"/>
        <v>8696.4227156488996</v>
      </c>
      <c r="M101">
        <f t="shared" si="6"/>
        <v>1.2150529424827838</v>
      </c>
      <c r="P101">
        <f t="shared" si="7"/>
        <v>222.21772287886779</v>
      </c>
    </row>
    <row r="102" spans="1:16" x14ac:dyDescent="0.2">
      <c r="A102">
        <v>-232.07048298076188</v>
      </c>
      <c r="B102">
        <v>-309.69306520314422</v>
      </c>
      <c r="C102">
        <f t="shared" si="4"/>
        <v>48593.179167464987</v>
      </c>
      <c r="D102" s="3">
        <v>45916</v>
      </c>
      <c r="I102" s="3">
        <v>45916</v>
      </c>
      <c r="J102">
        <f t="shared" si="5"/>
        <v>8154.6591674649899</v>
      </c>
      <c r="M102">
        <f t="shared" si="6"/>
        <v>1.2016557274466273</v>
      </c>
      <c r="P102">
        <f t="shared" si="7"/>
        <v>-541.7635481839061</v>
      </c>
    </row>
    <row r="103" spans="1:16" x14ac:dyDescent="0.2">
      <c r="A103">
        <v>-248.54197607667084</v>
      </c>
      <c r="B103">
        <v>-221.8237621588305</v>
      </c>
      <c r="C103">
        <f t="shared" si="4"/>
        <v>48122.813429229485</v>
      </c>
      <c r="D103" s="3">
        <v>45917</v>
      </c>
      <c r="I103" s="3">
        <v>45917</v>
      </c>
      <c r="J103">
        <f t="shared" si="5"/>
        <v>7684.2934292294885</v>
      </c>
      <c r="M103">
        <f t="shared" si="6"/>
        <v>1.1900241015059276</v>
      </c>
      <c r="P103">
        <f t="shared" si="7"/>
        <v>-470.36573823550134</v>
      </c>
    </row>
    <row r="104" spans="1:16" x14ac:dyDescent="0.2">
      <c r="A104">
        <v>-53.446826520888862</v>
      </c>
      <c r="B104">
        <v>18.272757616086892</v>
      </c>
      <c r="C104">
        <f t="shared" si="4"/>
        <v>48087.639360324683</v>
      </c>
      <c r="D104" s="3">
        <v>45918</v>
      </c>
      <c r="I104" s="3">
        <v>45918</v>
      </c>
      <c r="J104">
        <f t="shared" si="5"/>
        <v>7649.1193603246866</v>
      </c>
      <c r="M104">
        <f t="shared" si="6"/>
        <v>1.1891542855753545</v>
      </c>
      <c r="P104">
        <f t="shared" si="7"/>
        <v>-35.17406890480197</v>
      </c>
    </row>
    <row r="105" spans="1:16" x14ac:dyDescent="0.2">
      <c r="A105">
        <v>257.10193840977445</v>
      </c>
      <c r="B105">
        <v>62.896241548420221</v>
      </c>
      <c r="C105">
        <f t="shared" si="4"/>
        <v>48407.637540282878</v>
      </c>
      <c r="D105" s="3">
        <v>45919</v>
      </c>
      <c r="I105" s="3">
        <v>45919</v>
      </c>
      <c r="J105">
        <f t="shared" si="5"/>
        <v>7969.1175402828812</v>
      </c>
      <c r="M105">
        <f t="shared" si="6"/>
        <v>1.197067487640074</v>
      </c>
      <c r="P105">
        <f t="shared" si="7"/>
        <v>319.99817995819467</v>
      </c>
    </row>
    <row r="106" spans="1:16" x14ac:dyDescent="0.2">
      <c r="A106">
        <v>-86.230596283930936</v>
      </c>
      <c r="B106">
        <v>110.07270823826912</v>
      </c>
      <c r="C106">
        <f t="shared" si="4"/>
        <v>48431.47965223722</v>
      </c>
      <c r="D106" s="3">
        <v>45922</v>
      </c>
      <c r="I106" s="3">
        <v>45922</v>
      </c>
      <c r="J106">
        <f t="shared" si="5"/>
        <v>7992.9596522372231</v>
      </c>
      <c r="M106">
        <f t="shared" si="6"/>
        <v>1.1976570767732653</v>
      </c>
      <c r="P106">
        <f t="shared" si="7"/>
        <v>23.842111954338179</v>
      </c>
    </row>
    <row r="107" spans="1:16" x14ac:dyDescent="0.2">
      <c r="A107">
        <v>-73.772331497129926</v>
      </c>
      <c r="B107">
        <v>114.67705098791703</v>
      </c>
      <c r="C107">
        <f t="shared" si="4"/>
        <v>48472.384371728011</v>
      </c>
      <c r="D107" s="3">
        <v>45923</v>
      </c>
      <c r="I107" s="3">
        <v>45923</v>
      </c>
      <c r="J107">
        <f t="shared" si="5"/>
        <v>8033.8643717280138</v>
      </c>
      <c r="M107">
        <f t="shared" si="6"/>
        <v>1.1986686053725015</v>
      </c>
      <c r="P107">
        <f t="shared" si="7"/>
        <v>40.904719490787102</v>
      </c>
    </row>
    <row r="108" spans="1:16" x14ac:dyDescent="0.2">
      <c r="A108">
        <v>523.13543708739235</v>
      </c>
      <c r="B108">
        <v>-95.570341660109989</v>
      </c>
      <c r="C108">
        <f t="shared" si="4"/>
        <v>48899.949467155297</v>
      </c>
      <c r="D108" s="3">
        <v>45924</v>
      </c>
      <c r="I108" s="3">
        <v>45924</v>
      </c>
      <c r="J108">
        <f t="shared" si="5"/>
        <v>8461.4294671552998</v>
      </c>
      <c r="M108">
        <f t="shared" si="6"/>
        <v>1.2092418186213367</v>
      </c>
      <c r="P108">
        <f t="shared" si="7"/>
        <v>427.56509542728236</v>
      </c>
    </row>
    <row r="109" spans="1:16" x14ac:dyDescent="0.2">
      <c r="A109">
        <v>26.057464048226393</v>
      </c>
      <c r="B109">
        <v>-153.33233978210774</v>
      </c>
      <c r="C109">
        <f t="shared" si="4"/>
        <v>48772.674591421412</v>
      </c>
      <c r="D109" s="3">
        <v>45925</v>
      </c>
      <c r="I109" s="3">
        <v>45925</v>
      </c>
      <c r="J109">
        <f t="shared" si="5"/>
        <v>8334.1545914214148</v>
      </c>
      <c r="M109">
        <f t="shared" si="6"/>
        <v>1.2060944513157608</v>
      </c>
      <c r="P109">
        <f t="shared" si="7"/>
        <v>-127.27487573388134</v>
      </c>
    </row>
    <row r="110" spans="1:16" x14ac:dyDescent="0.2">
      <c r="A110">
        <v>286.79017057527017</v>
      </c>
      <c r="B110">
        <v>82.678272561533959</v>
      </c>
      <c r="C110">
        <f t="shared" si="4"/>
        <v>49142.143034558219</v>
      </c>
      <c r="D110" s="3">
        <v>45926</v>
      </c>
      <c r="I110" s="3">
        <v>45926</v>
      </c>
      <c r="J110">
        <f t="shared" si="5"/>
        <v>8703.6230345582226</v>
      </c>
      <c r="M110">
        <f t="shared" si="6"/>
        <v>1.2152309984281873</v>
      </c>
      <c r="P110">
        <f t="shared" si="7"/>
        <v>369.46844313680413</v>
      </c>
    </row>
    <row r="111" spans="1:16" x14ac:dyDescent="0.2">
      <c r="A111">
        <v>-278.84868946157076</v>
      </c>
      <c r="B111">
        <v>-95.665809850299411</v>
      </c>
      <c r="C111">
        <f t="shared" si="4"/>
        <v>48767.628535246346</v>
      </c>
      <c r="D111" s="3">
        <v>45929</v>
      </c>
      <c r="I111" s="3">
        <v>45929</v>
      </c>
      <c r="J111">
        <f t="shared" si="5"/>
        <v>8329.1085352463488</v>
      </c>
      <c r="M111">
        <f t="shared" si="6"/>
        <v>1.2059696679118412</v>
      </c>
      <c r="P111">
        <f t="shared" si="7"/>
        <v>-374.51449931187017</v>
      </c>
    </row>
    <row r="112" spans="1:16" x14ac:dyDescent="0.2">
      <c r="A112">
        <v>44.332405603032385</v>
      </c>
      <c r="B112">
        <v>51.654693477921683</v>
      </c>
      <c r="C112">
        <f t="shared" si="4"/>
        <v>48863.615634327303</v>
      </c>
      <c r="D112" s="3">
        <v>45930</v>
      </c>
      <c r="I112" s="3">
        <v>45930</v>
      </c>
      <c r="J112">
        <f t="shared" si="5"/>
        <v>8425.0956343273065</v>
      </c>
      <c r="M112">
        <f t="shared" si="6"/>
        <v>1.2083433230080454</v>
      </c>
      <c r="P112">
        <f t="shared" si="7"/>
        <v>95.987099080954067</v>
      </c>
    </row>
    <row r="113" spans="1:16" x14ac:dyDescent="0.2">
      <c r="A113">
        <v>-5.532471653950779</v>
      </c>
      <c r="B113">
        <v>248.56122445113215</v>
      </c>
      <c r="C113">
        <f t="shared" si="4"/>
        <v>49106.644387124485</v>
      </c>
      <c r="D113" s="3">
        <v>45931</v>
      </c>
      <c r="I113" s="3">
        <v>45931</v>
      </c>
      <c r="J113">
        <f t="shared" si="5"/>
        <v>8668.1243871244878</v>
      </c>
      <c r="M113">
        <f t="shared" si="6"/>
        <v>1.214353156028571</v>
      </c>
      <c r="P113">
        <f t="shared" si="7"/>
        <v>243.02875279718137</v>
      </c>
    </row>
    <row r="114" spans="1:16" x14ac:dyDescent="0.2">
      <c r="A114">
        <v>46.685755881142541</v>
      </c>
      <c r="B114">
        <v>59.023650734528928</v>
      </c>
      <c r="C114">
        <f t="shared" si="4"/>
        <v>49212.353793740156</v>
      </c>
      <c r="D114" s="3">
        <v>45932</v>
      </c>
      <c r="I114" s="3">
        <v>45932</v>
      </c>
      <c r="J114">
        <f t="shared" si="5"/>
        <v>8773.8337937401593</v>
      </c>
      <c r="M114">
        <f t="shared" si="6"/>
        <v>1.2169672330673862</v>
      </c>
      <c r="P114">
        <f t="shared" si="7"/>
        <v>105.70940661567147</v>
      </c>
    </row>
    <row r="115" spans="1:16" x14ac:dyDescent="0.2">
      <c r="A115">
        <v>-106.82019524931457</v>
      </c>
      <c r="B115">
        <v>-56.748668234828074</v>
      </c>
      <c r="C115">
        <f t="shared" si="4"/>
        <v>49048.784930256013</v>
      </c>
      <c r="D115" s="3">
        <v>45933</v>
      </c>
      <c r="I115" s="3">
        <v>45933</v>
      </c>
      <c r="J115">
        <f t="shared" si="5"/>
        <v>8610.2649302560167</v>
      </c>
      <c r="M115">
        <f t="shared" si="6"/>
        <v>1.2129223554733461</v>
      </c>
      <c r="P115">
        <f t="shared" si="7"/>
        <v>-163.56886348414264</v>
      </c>
    </row>
    <row r="116" spans="1:16" x14ac:dyDescent="0.2">
      <c r="A116">
        <v>20.995912392365426</v>
      </c>
      <c r="B116">
        <v>192.44373218367764</v>
      </c>
      <c r="C116">
        <f t="shared" si="4"/>
        <v>49262.224574832057</v>
      </c>
      <c r="D116" s="3">
        <v>45936</v>
      </c>
      <c r="I116" s="3">
        <v>45936</v>
      </c>
      <c r="J116">
        <f t="shared" si="5"/>
        <v>8823.7045748320597</v>
      </c>
      <c r="M116">
        <f t="shared" si="6"/>
        <v>1.2182004824813584</v>
      </c>
      <c r="P116">
        <f t="shared" si="7"/>
        <v>213.43964457604307</v>
      </c>
    </row>
    <row r="117" spans="1:16" x14ac:dyDescent="0.2">
      <c r="A117">
        <v>-147.97864933176606</v>
      </c>
      <c r="B117">
        <v>-101.38381978639518</v>
      </c>
      <c r="C117">
        <f t="shared" si="4"/>
        <v>49012.862105713895</v>
      </c>
      <c r="D117" s="3">
        <v>45937</v>
      </c>
      <c r="I117" s="3">
        <v>45937</v>
      </c>
      <c r="J117">
        <f t="shared" si="5"/>
        <v>8574.3421057138985</v>
      </c>
      <c r="M117">
        <f t="shared" si="6"/>
        <v>1.212034023641664</v>
      </c>
      <c r="P117">
        <f t="shared" si="7"/>
        <v>-249.36246911816124</v>
      </c>
    </row>
    <row r="118" spans="1:16" x14ac:dyDescent="0.2">
      <c r="A118">
        <v>305.36931759744766</v>
      </c>
      <c r="B118">
        <v>-26.214959200322483</v>
      </c>
      <c r="C118">
        <f t="shared" si="4"/>
        <v>49292.016464111017</v>
      </c>
      <c r="D118" s="3">
        <v>45938</v>
      </c>
      <c r="I118" s="3">
        <v>45938</v>
      </c>
      <c r="J118">
        <f t="shared" si="5"/>
        <v>8853.49646411102</v>
      </c>
      <c r="M118">
        <f t="shared" si="6"/>
        <v>1.2189372030457846</v>
      </c>
      <c r="P118">
        <f t="shared" si="7"/>
        <v>279.15435839712518</v>
      </c>
    </row>
    <row r="119" spans="1:16" x14ac:dyDescent="0.2">
      <c r="A119">
        <v>101.31221254956836</v>
      </c>
      <c r="B119">
        <v>44.045749986573355</v>
      </c>
      <c r="C119">
        <f t="shared" si="4"/>
        <v>49437.374426647162</v>
      </c>
      <c r="D119" s="3">
        <v>45939</v>
      </c>
      <c r="I119" s="3">
        <v>45939</v>
      </c>
      <c r="J119">
        <f t="shared" si="5"/>
        <v>8998.8544266471654</v>
      </c>
      <c r="M119">
        <f t="shared" si="6"/>
        <v>1.2225317451441637</v>
      </c>
      <c r="P119">
        <f t="shared" si="7"/>
        <v>145.35796253614171</v>
      </c>
    </row>
    <row r="120" spans="1:16" x14ac:dyDescent="0.2">
      <c r="A120">
        <v>-404.63920579021578</v>
      </c>
      <c r="B120">
        <v>75.394374922736461</v>
      </c>
      <c r="C120">
        <f t="shared" si="4"/>
        <v>49108.129595779683</v>
      </c>
      <c r="D120" s="3">
        <v>45940</v>
      </c>
      <c r="I120" s="3">
        <v>45940</v>
      </c>
      <c r="J120">
        <f t="shared" si="5"/>
        <v>8669.6095957796861</v>
      </c>
      <c r="M120">
        <f t="shared" si="6"/>
        <v>1.2143898836005791</v>
      </c>
      <c r="P120">
        <f t="shared" si="7"/>
        <v>-329.24483086747932</v>
      </c>
    </row>
    <row r="121" spans="1:16" x14ac:dyDescent="0.2">
      <c r="A121">
        <v>122.87136727102188</v>
      </c>
      <c r="B121">
        <v>-93.202531453600386</v>
      </c>
      <c r="C121">
        <f t="shared" si="4"/>
        <v>49137.798431597104</v>
      </c>
      <c r="D121" s="3">
        <v>45943</v>
      </c>
      <c r="I121" s="3">
        <v>45943</v>
      </c>
      <c r="J121">
        <f t="shared" si="5"/>
        <v>8699.2784315971076</v>
      </c>
      <c r="M121">
        <f t="shared" si="6"/>
        <v>1.2151235611886169</v>
      </c>
      <c r="P121">
        <f t="shared" si="7"/>
        <v>29.668835817421495</v>
      </c>
    </row>
    <row r="122" spans="1:16" x14ac:dyDescent="0.2">
      <c r="A122">
        <v>103.01174108974374</v>
      </c>
      <c r="B122">
        <v>5.4301217747815826</v>
      </c>
      <c r="C122">
        <f t="shared" si="4"/>
        <v>49246.240294461633</v>
      </c>
      <c r="D122" s="3">
        <v>45944</v>
      </c>
      <c r="I122" s="3">
        <v>45944</v>
      </c>
      <c r="J122">
        <f t="shared" si="5"/>
        <v>8807.7202944616365</v>
      </c>
      <c r="M122">
        <f t="shared" si="6"/>
        <v>1.2178052088568434</v>
      </c>
      <c r="P122">
        <f t="shared" si="7"/>
        <v>108.44186286452532</v>
      </c>
    </row>
    <row r="123" spans="1:16" x14ac:dyDescent="0.2">
      <c r="A123">
        <v>-280.68573273343645</v>
      </c>
      <c r="B123">
        <v>-60.548106264301168</v>
      </c>
      <c r="C123">
        <f t="shared" si="4"/>
        <v>48905.006455463896</v>
      </c>
      <c r="D123" s="3">
        <v>45945</v>
      </c>
      <c r="I123" s="3">
        <v>45945</v>
      </c>
      <c r="J123">
        <f t="shared" si="5"/>
        <v>8466.4864554638989</v>
      </c>
      <c r="M123">
        <f t="shared" si="6"/>
        <v>1.2093668723648616</v>
      </c>
      <c r="P123">
        <f t="shared" si="7"/>
        <v>-341.23383899773762</v>
      </c>
    </row>
    <row r="124" spans="1:16" x14ac:dyDescent="0.2">
      <c r="A124">
        <v>-180.01186493779824</v>
      </c>
      <c r="B124">
        <v>-245.17489568574456</v>
      </c>
      <c r="C124">
        <f t="shared" si="4"/>
        <v>48479.819694840349</v>
      </c>
      <c r="D124" s="3">
        <v>45946</v>
      </c>
      <c r="I124" s="3">
        <v>45946</v>
      </c>
      <c r="J124">
        <f t="shared" si="5"/>
        <v>8041.2996948403525</v>
      </c>
      <c r="M124">
        <f t="shared" si="6"/>
        <v>1.1988524727126599</v>
      </c>
      <c r="P124">
        <f t="shared" si="7"/>
        <v>-425.1867606235428</v>
      </c>
    </row>
    <row r="125" spans="1:16" x14ac:dyDescent="0.2">
      <c r="A125">
        <v>-532.67087092222937</v>
      </c>
      <c r="B125">
        <v>-326.33519490756225</v>
      </c>
      <c r="C125">
        <f t="shared" si="4"/>
        <v>47620.813629010561</v>
      </c>
      <c r="D125" s="3">
        <v>45947</v>
      </c>
      <c r="I125" s="3">
        <v>45947</v>
      </c>
      <c r="J125">
        <f t="shared" si="5"/>
        <v>7182.2936290105645</v>
      </c>
      <c r="M125">
        <f t="shared" si="6"/>
        <v>1.1776102001015509</v>
      </c>
      <c r="P125">
        <f t="shared" si="7"/>
        <v>-859.00606582979162</v>
      </c>
    </row>
    <row r="126" spans="1:16" x14ac:dyDescent="0.2">
      <c r="A126">
        <v>469.68858636495133</v>
      </c>
      <c r="B126">
        <v>296.45407064872052</v>
      </c>
      <c r="C126">
        <f t="shared" si="4"/>
        <v>48386.956286024229</v>
      </c>
      <c r="D126" s="3">
        <v>45950</v>
      </c>
      <c r="I126" s="3">
        <v>45950</v>
      </c>
      <c r="J126">
        <f t="shared" si="5"/>
        <v>7948.4362860242327</v>
      </c>
      <c r="M126">
        <f t="shared" si="6"/>
        <v>1.1965560630315906</v>
      </c>
      <c r="P126">
        <f t="shared" si="7"/>
        <v>766.14265701367185</v>
      </c>
    </row>
    <row r="127" spans="1:16" x14ac:dyDescent="0.2">
      <c r="A127">
        <v>-286.90356764123135</v>
      </c>
      <c r="B127">
        <v>-10.354664315418631</v>
      </c>
      <c r="C127">
        <f t="shared" si="4"/>
        <v>48089.69805406758</v>
      </c>
      <c r="D127" s="3">
        <v>45951</v>
      </c>
      <c r="I127" s="3">
        <v>45951</v>
      </c>
      <c r="J127">
        <f t="shared" si="5"/>
        <v>7651.1780540675827</v>
      </c>
      <c r="M127">
        <f t="shared" si="6"/>
        <v>1.1892051948010853</v>
      </c>
      <c r="P127">
        <f t="shared" si="7"/>
        <v>-297.25823195664998</v>
      </c>
    </row>
    <row r="128" spans="1:16" x14ac:dyDescent="0.2">
      <c r="A128">
        <v>-439.61140756513123</v>
      </c>
      <c r="B128">
        <v>-85.362065859280847</v>
      </c>
      <c r="C128">
        <f t="shared" si="4"/>
        <v>47564.724580643167</v>
      </c>
      <c r="D128" s="3">
        <v>45952</v>
      </c>
      <c r="I128" s="3">
        <v>45952</v>
      </c>
      <c r="J128">
        <f t="shared" si="5"/>
        <v>7126.2045806431706</v>
      </c>
      <c r="M128">
        <f t="shared" si="6"/>
        <v>1.1762231797959759</v>
      </c>
      <c r="P128">
        <f t="shared" si="7"/>
        <v>-524.97347342441208</v>
      </c>
    </row>
    <row r="129" spans="1:16" x14ac:dyDescent="0.2">
      <c r="A129">
        <v>108.42076952131538</v>
      </c>
      <c r="B129">
        <v>-410.00684443641876</v>
      </c>
      <c r="C129">
        <f t="shared" si="4"/>
        <v>47263.138505728064</v>
      </c>
      <c r="D129" s="3">
        <v>45953</v>
      </c>
      <c r="I129" s="3">
        <v>45953</v>
      </c>
      <c r="J129">
        <f t="shared" si="5"/>
        <v>6824.6185057280672</v>
      </c>
      <c r="M129">
        <f t="shared" si="6"/>
        <v>1.1687652887822815</v>
      </c>
      <c r="P129">
        <f t="shared" si="7"/>
        <v>-301.58607491510338</v>
      </c>
    </row>
    <row r="130" spans="1:16" x14ac:dyDescent="0.2">
      <c r="A130">
        <v>147.63298810879496</v>
      </c>
      <c r="B130">
        <v>5.1374444725406647</v>
      </c>
      <c r="C130">
        <f t="shared" si="4"/>
        <v>47415.908938309396</v>
      </c>
      <c r="D130" s="3">
        <v>45954</v>
      </c>
      <c r="I130" s="3">
        <v>45954</v>
      </c>
      <c r="J130">
        <f t="shared" si="5"/>
        <v>6977.3889383093992</v>
      </c>
      <c r="M130">
        <f t="shared" si="6"/>
        <v>1.172543133089673</v>
      </c>
      <c r="P130">
        <f t="shared" si="7"/>
        <v>152.77043258133563</v>
      </c>
    </row>
    <row r="131" spans="1:16" x14ac:dyDescent="0.2">
      <c r="A131">
        <v>228.33647107246361</v>
      </c>
      <c r="B131">
        <v>156.27751937076755</v>
      </c>
      <c r="C131">
        <f t="shared" si="4"/>
        <v>47800.522928752631</v>
      </c>
      <c r="D131" s="3">
        <v>45957</v>
      </c>
      <c r="I131" s="3">
        <v>45957</v>
      </c>
      <c r="J131">
        <f t="shared" si="5"/>
        <v>7362.002928752634</v>
      </c>
      <c r="M131">
        <f t="shared" si="6"/>
        <v>1.1820542128829798</v>
      </c>
      <c r="P131">
        <f t="shared" si="7"/>
        <v>384.61399044323116</v>
      </c>
    </row>
    <row r="132" spans="1:16" x14ac:dyDescent="0.2">
      <c r="A132">
        <v>387.12034292974568</v>
      </c>
      <c r="B132">
        <v>-520.08650094890618</v>
      </c>
      <c r="C132">
        <f t="shared" ref="C132:C150" si="8">A132+B132+C131</f>
        <v>47667.55677073347</v>
      </c>
      <c r="D132" s="3">
        <v>45958</v>
      </c>
      <c r="I132" s="3">
        <v>45958</v>
      </c>
      <c r="J132">
        <f t="shared" ref="J132:J150" si="9">C132-$C$2</f>
        <v>7229.0367707334735</v>
      </c>
      <c r="M132">
        <f t="shared" ref="M132:M150" si="10">C132/$C$2</f>
        <v>1.1787661064433979</v>
      </c>
      <c r="P132">
        <f t="shared" ref="P132:P150" si="11">A132+B132</f>
        <v>-132.9661580191605</v>
      </c>
    </row>
    <row r="133" spans="1:16" x14ac:dyDescent="0.2">
      <c r="A133">
        <v>533.0256712790142</v>
      </c>
      <c r="B133">
        <v>89.200825586376595</v>
      </c>
      <c r="C133">
        <f t="shared" si="8"/>
        <v>48289.783267598861</v>
      </c>
      <c r="D133" s="3">
        <v>45959</v>
      </c>
      <c r="I133" s="3">
        <v>45959</v>
      </c>
      <c r="J133">
        <f t="shared" si="9"/>
        <v>7851.2632675988643</v>
      </c>
      <c r="M133">
        <f t="shared" si="10"/>
        <v>1.1941530814579482</v>
      </c>
      <c r="P133">
        <f t="shared" si="11"/>
        <v>622.2264968653908</v>
      </c>
    </row>
    <row r="134" spans="1:16" x14ac:dyDescent="0.2">
      <c r="A134">
        <v>164.09252723684403</v>
      </c>
      <c r="B134">
        <v>183.39323804844025</v>
      </c>
      <c r="C134">
        <f t="shared" si="8"/>
        <v>48637.269032884142</v>
      </c>
      <c r="D134" s="3">
        <v>45960</v>
      </c>
      <c r="I134" s="3">
        <v>45960</v>
      </c>
      <c r="J134">
        <f t="shared" si="9"/>
        <v>8198.749032884145</v>
      </c>
      <c r="M134">
        <f t="shared" si="10"/>
        <v>1.2027460211917782</v>
      </c>
      <c r="P134">
        <f t="shared" si="11"/>
        <v>347.48576528528429</v>
      </c>
    </row>
    <row r="135" spans="1:16" x14ac:dyDescent="0.2">
      <c r="A135">
        <v>283.66985252818631</v>
      </c>
      <c r="B135">
        <v>300.3305351494455</v>
      </c>
      <c r="C135">
        <f t="shared" si="8"/>
        <v>49221.269420561774</v>
      </c>
      <c r="D135" s="3">
        <v>45961</v>
      </c>
      <c r="I135" s="3">
        <v>45961</v>
      </c>
      <c r="J135">
        <f t="shared" si="9"/>
        <v>8782.7494205617768</v>
      </c>
      <c r="M135">
        <f t="shared" si="10"/>
        <v>1.2171877066856496</v>
      </c>
      <c r="P135">
        <f t="shared" si="11"/>
        <v>584.00038767763181</v>
      </c>
    </row>
    <row r="136" spans="1:16" x14ac:dyDescent="0.2">
      <c r="A136">
        <v>274.54081220953231</v>
      </c>
      <c r="B136">
        <v>253.34619796317565</v>
      </c>
      <c r="C136">
        <f t="shared" si="8"/>
        <v>49749.156430734482</v>
      </c>
      <c r="D136" s="3">
        <v>45964</v>
      </c>
      <c r="I136" s="3">
        <v>45964</v>
      </c>
      <c r="J136">
        <f t="shared" si="9"/>
        <v>9310.6364307344847</v>
      </c>
      <c r="M136">
        <f t="shared" si="10"/>
        <v>1.2302417702412078</v>
      </c>
      <c r="P136">
        <f t="shared" si="11"/>
        <v>527.88701017270796</v>
      </c>
    </row>
    <row r="137" spans="1:16" x14ac:dyDescent="0.2">
      <c r="A137">
        <v>-41.194269802166673</v>
      </c>
      <c r="B137">
        <v>-810.13234997775726</v>
      </c>
      <c r="C137">
        <f t="shared" si="8"/>
        <v>48897.829810954558</v>
      </c>
      <c r="D137" s="3">
        <v>45965</v>
      </c>
      <c r="I137" s="3">
        <v>45965</v>
      </c>
      <c r="J137">
        <f t="shared" si="9"/>
        <v>8459.3098109545608</v>
      </c>
      <c r="M137">
        <f t="shared" si="10"/>
        <v>1.209189401861259</v>
      </c>
      <c r="P137">
        <f t="shared" si="11"/>
        <v>-851.32661977992393</v>
      </c>
    </row>
    <row r="138" spans="1:16" x14ac:dyDescent="0.2">
      <c r="A138">
        <v>-310.42625734307148</v>
      </c>
      <c r="B138">
        <v>1.1488125434552785</v>
      </c>
      <c r="C138">
        <f t="shared" si="8"/>
        <v>48588.552366154938</v>
      </c>
      <c r="D138" s="3">
        <v>45966</v>
      </c>
      <c r="I138" s="3">
        <v>45966</v>
      </c>
      <c r="J138">
        <f t="shared" si="9"/>
        <v>8150.032366154941</v>
      </c>
      <c r="M138">
        <f t="shared" si="10"/>
        <v>1.201541311753124</v>
      </c>
      <c r="P138">
        <f t="shared" si="11"/>
        <v>-309.27744479961621</v>
      </c>
    </row>
    <row r="139" spans="1:16" x14ac:dyDescent="0.2">
      <c r="A139">
        <v>79.63954326682142</v>
      </c>
      <c r="B139">
        <v>221.06702481545653</v>
      </c>
      <c r="C139">
        <f t="shared" si="8"/>
        <v>48889.258934237216</v>
      </c>
      <c r="D139" s="3">
        <v>45967</v>
      </c>
      <c r="I139" s="3">
        <v>45967</v>
      </c>
      <c r="J139">
        <f t="shared" si="9"/>
        <v>8450.7389342372189</v>
      </c>
      <c r="M139">
        <f t="shared" si="10"/>
        <v>1.2089774535328499</v>
      </c>
      <c r="P139">
        <f t="shared" si="11"/>
        <v>300.70656808227795</v>
      </c>
    </row>
    <row r="140" spans="1:16" x14ac:dyDescent="0.2">
      <c r="A140">
        <v>-217.86596017209013</v>
      </c>
      <c r="B140">
        <v>315.30597071778902</v>
      </c>
      <c r="C140">
        <f t="shared" si="8"/>
        <v>48986.698944782911</v>
      </c>
      <c r="D140" s="3">
        <v>45968</v>
      </c>
      <c r="I140" s="3">
        <v>45968</v>
      </c>
      <c r="J140">
        <f t="shared" si="9"/>
        <v>8548.1789447829142</v>
      </c>
      <c r="M140">
        <f t="shared" si="10"/>
        <v>1.2113870375271625</v>
      </c>
      <c r="P140">
        <f t="shared" si="11"/>
        <v>97.440010545698897</v>
      </c>
    </row>
    <row r="141" spans="1:16" x14ac:dyDescent="0.2">
      <c r="A141">
        <v>468.07404664564092</v>
      </c>
      <c r="B141">
        <v>123.29535866608421</v>
      </c>
      <c r="C141">
        <f t="shared" si="8"/>
        <v>49578.068350094632</v>
      </c>
      <c r="D141" s="3">
        <v>45971</v>
      </c>
      <c r="I141" s="3">
        <v>45971</v>
      </c>
      <c r="J141">
        <f t="shared" si="9"/>
        <v>9139.5483500946357</v>
      </c>
      <c r="M141">
        <f t="shared" si="10"/>
        <v>1.2260109506998436</v>
      </c>
      <c r="P141">
        <f t="shared" si="11"/>
        <v>591.36940531172513</v>
      </c>
    </row>
    <row r="142" spans="1:16" x14ac:dyDescent="0.2">
      <c r="A142">
        <v>17.540147850249923</v>
      </c>
      <c r="B142">
        <v>-78.369638344229315</v>
      </c>
      <c r="C142">
        <f t="shared" si="8"/>
        <v>49517.238859600649</v>
      </c>
      <c r="D142" s="3">
        <v>45972</v>
      </c>
      <c r="I142" s="3">
        <v>45972</v>
      </c>
      <c r="J142">
        <f t="shared" si="9"/>
        <v>9078.7188596006526</v>
      </c>
      <c r="M142">
        <f t="shared" si="10"/>
        <v>1.2245067044887066</v>
      </c>
      <c r="P142">
        <f t="shared" si="11"/>
        <v>-60.829490493979392</v>
      </c>
    </row>
    <row r="143" spans="1:16" x14ac:dyDescent="0.2">
      <c r="A143">
        <v>-56.999312546035071</v>
      </c>
      <c r="B143">
        <v>102.69194382577552</v>
      </c>
      <c r="C143">
        <f t="shared" si="8"/>
        <v>49562.931490880394</v>
      </c>
      <c r="D143" s="3">
        <v>45973</v>
      </c>
      <c r="I143" s="3">
        <v>45973</v>
      </c>
      <c r="J143">
        <f t="shared" si="9"/>
        <v>9124.4114908803967</v>
      </c>
      <c r="M143">
        <f t="shared" si="10"/>
        <v>1.225636632865901</v>
      </c>
      <c r="P143">
        <f t="shared" si="11"/>
        <v>45.692631279740453</v>
      </c>
    </row>
    <row r="144" spans="1:16" x14ac:dyDescent="0.2">
      <c r="A144">
        <v>-483.29776599783872</v>
      </c>
      <c r="B144">
        <v>-186.64249047146586</v>
      </c>
      <c r="C144">
        <f t="shared" si="8"/>
        <v>48892.991234411093</v>
      </c>
      <c r="D144" s="3">
        <v>45974</v>
      </c>
      <c r="I144" s="3">
        <v>45974</v>
      </c>
      <c r="J144">
        <f t="shared" si="9"/>
        <v>8454.4712344110958</v>
      </c>
      <c r="M144">
        <f t="shared" si="10"/>
        <v>1.2090697491997999</v>
      </c>
      <c r="P144">
        <f t="shared" si="11"/>
        <v>-669.94025646930459</v>
      </c>
    </row>
    <row r="145" spans="1:16" x14ac:dyDescent="0.2">
      <c r="A145">
        <v>362.4389175682627</v>
      </c>
      <c r="B145">
        <v>82.824056985893549</v>
      </c>
      <c r="C145">
        <f t="shared" si="8"/>
        <v>49338.254208965249</v>
      </c>
      <c r="D145" s="3">
        <v>45975</v>
      </c>
      <c r="I145" s="3">
        <v>45975</v>
      </c>
      <c r="J145">
        <f t="shared" si="9"/>
        <v>8899.734208965252</v>
      </c>
      <c r="M145">
        <f t="shared" si="10"/>
        <v>1.220080611480471</v>
      </c>
      <c r="P145">
        <f t="shared" si="11"/>
        <v>445.26297455415624</v>
      </c>
    </row>
    <row r="146" spans="1:16" x14ac:dyDescent="0.2">
      <c r="A146">
        <v>115.13923052686368</v>
      </c>
      <c r="B146">
        <v>-74.604278642622376</v>
      </c>
      <c r="C146">
        <f t="shared" si="8"/>
        <v>49378.78916084949</v>
      </c>
      <c r="D146" s="3">
        <v>45978</v>
      </c>
      <c r="I146" s="3">
        <v>45978</v>
      </c>
      <c r="J146">
        <f t="shared" si="9"/>
        <v>8940.2691608494933</v>
      </c>
      <c r="M146">
        <f t="shared" si="10"/>
        <v>1.2210829961346137</v>
      </c>
      <c r="P146">
        <f t="shared" si="11"/>
        <v>40.534951884241309</v>
      </c>
    </row>
    <row r="147" spans="1:16" x14ac:dyDescent="0.2">
      <c r="A147">
        <v>-612.64206645774902</v>
      </c>
      <c r="B147">
        <v>455.11924605146851</v>
      </c>
      <c r="C147">
        <f t="shared" si="8"/>
        <v>49221.26634044321</v>
      </c>
      <c r="D147" s="3">
        <v>45979</v>
      </c>
      <c r="I147" s="3">
        <v>45979</v>
      </c>
      <c r="J147">
        <f t="shared" si="9"/>
        <v>8782.7463404432128</v>
      </c>
      <c r="M147">
        <f t="shared" si="10"/>
        <v>1.2171876305177147</v>
      </c>
      <c r="P147">
        <f t="shared" si="11"/>
        <v>-157.52282040628052</v>
      </c>
    </row>
    <row r="148" spans="1:16" x14ac:dyDescent="0.2">
      <c r="A148">
        <v>264.84613462924608</v>
      </c>
      <c r="B148">
        <v>162.23624779648162</v>
      </c>
      <c r="C148">
        <f t="shared" si="8"/>
        <v>49648.348722868934</v>
      </c>
      <c r="D148" s="3">
        <v>45980</v>
      </c>
      <c r="I148" s="3">
        <v>45980</v>
      </c>
      <c r="J148">
        <f t="shared" si="9"/>
        <v>9209.8287228689369</v>
      </c>
      <c r="M148">
        <f t="shared" si="10"/>
        <v>1.2277489068064049</v>
      </c>
      <c r="P148">
        <f t="shared" si="11"/>
        <v>427.0823824257277</v>
      </c>
    </row>
    <row r="149" spans="1:16" x14ac:dyDescent="0.2">
      <c r="A149">
        <v>92.548893583418248</v>
      </c>
      <c r="B149">
        <v>-574.0249263430087</v>
      </c>
      <c r="C149">
        <f t="shared" si="8"/>
        <v>49166.872690109347</v>
      </c>
      <c r="D149" s="3">
        <v>45981</v>
      </c>
      <c r="I149" s="3">
        <v>45981</v>
      </c>
      <c r="J149">
        <f t="shared" si="9"/>
        <v>8728.3526901093501</v>
      </c>
      <c r="M149">
        <f t="shared" si="10"/>
        <v>1.2158425355356564</v>
      </c>
      <c r="P149">
        <f t="shared" si="11"/>
        <v>-481.47603275959045</v>
      </c>
    </row>
    <row r="150" spans="1:16" x14ac:dyDescent="0.2">
      <c r="A150">
        <v>-866.93585448556041</v>
      </c>
      <c r="B150">
        <v>-5.3171624897076981</v>
      </c>
      <c r="C150">
        <f t="shared" si="8"/>
        <v>48294.619673134075</v>
      </c>
      <c r="D150" s="3">
        <v>45982</v>
      </c>
      <c r="I150" s="3">
        <v>45982</v>
      </c>
      <c r="J150">
        <f t="shared" si="9"/>
        <v>7856.0996731340783</v>
      </c>
      <c r="M150">
        <f t="shared" si="10"/>
        <v>1.1942726804327675</v>
      </c>
      <c r="P150">
        <f t="shared" si="11"/>
        <v>-872.25301697526811</v>
      </c>
    </row>
    <row r="153" spans="1:16" x14ac:dyDescent="0.2">
      <c r="A153" t="s">
        <v>54</v>
      </c>
      <c r="B153">
        <f>SUM(A2:A150) + SUM(B2:B150)</f>
        <v>7856.0996731340492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B93E1-A8DA-40F5-83CE-9F8D69A4E78B}">
  <dimension ref="A1:F1131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13.5" customWidth="1"/>
    <col min="2" max="2" width="23.5" customWidth="1"/>
    <col min="4" max="4" width="29.33203125" customWidth="1"/>
    <col min="5" max="5" width="10.5" bestFit="1" customWidth="1"/>
  </cols>
  <sheetData>
    <row r="1" spans="1:6" x14ac:dyDescent="0.2">
      <c r="A1" s="9" t="s">
        <v>20</v>
      </c>
      <c r="B1" s="9" t="s">
        <v>50</v>
      </c>
    </row>
    <row r="2" spans="1:6" ht="16" x14ac:dyDescent="0.2">
      <c r="A2" s="20">
        <v>44521</v>
      </c>
      <c r="B2" s="1" t="s">
        <v>55</v>
      </c>
      <c r="D2" s="19"/>
      <c r="E2" s="3"/>
    </row>
    <row r="3" spans="1:6" ht="16" x14ac:dyDescent="0.2">
      <c r="A3" s="20">
        <v>44522</v>
      </c>
      <c r="B3" s="11">
        <v>1925.5</v>
      </c>
      <c r="D3" s="19"/>
      <c r="E3" s="3"/>
    </row>
    <row r="4" spans="1:6" ht="16" x14ac:dyDescent="0.2">
      <c r="A4" s="20">
        <v>44523</v>
      </c>
      <c r="B4" s="11">
        <v>3226</v>
      </c>
      <c r="D4" s="23">
        <f>B4-B3</f>
        <v>1300.5</v>
      </c>
      <c r="E4" s="3"/>
    </row>
    <row r="5" spans="1:6" ht="16" x14ac:dyDescent="0.2">
      <c r="A5" s="20">
        <v>44524</v>
      </c>
      <c r="B5" s="11">
        <v>2456.5</v>
      </c>
      <c r="D5" s="23">
        <f t="shared" ref="D5:D68" si="0">B5-B4</f>
        <v>-769.5</v>
      </c>
      <c r="E5" s="3"/>
      <c r="F5" t="s">
        <v>53</v>
      </c>
    </row>
    <row r="6" spans="1:6" ht="16" x14ac:dyDescent="0.2">
      <c r="A6" s="20">
        <v>44525</v>
      </c>
      <c r="B6" s="11">
        <v>2186.8000000000002</v>
      </c>
      <c r="D6" s="23">
        <f t="shared" si="0"/>
        <v>-269.69999999999982</v>
      </c>
      <c r="E6" s="3"/>
      <c r="F6">
        <f>(AVERAGE(D4:D1131)/_xlfn.STDEV.S(D4:D1131))*SQRT(252)</f>
        <v>1.3439768870022069</v>
      </c>
    </row>
    <row r="7" spans="1:6" ht="16" x14ac:dyDescent="0.2">
      <c r="A7" s="20">
        <v>44526</v>
      </c>
      <c r="B7" s="11">
        <v>616</v>
      </c>
      <c r="D7" s="23">
        <f t="shared" si="0"/>
        <v>-1570.8000000000002</v>
      </c>
      <c r="E7" s="3"/>
    </row>
    <row r="8" spans="1:6" ht="16" x14ac:dyDescent="0.2">
      <c r="A8" s="20">
        <v>44527</v>
      </c>
      <c r="B8" s="11">
        <v>616</v>
      </c>
      <c r="D8" s="23">
        <f t="shared" si="0"/>
        <v>0</v>
      </c>
      <c r="E8" s="3"/>
    </row>
    <row r="9" spans="1:6" ht="16" x14ac:dyDescent="0.2">
      <c r="A9" s="20">
        <v>44528</v>
      </c>
      <c r="B9" s="11">
        <v>616</v>
      </c>
      <c r="D9" s="23">
        <f t="shared" si="0"/>
        <v>0</v>
      </c>
      <c r="E9" s="3"/>
    </row>
    <row r="10" spans="1:6" ht="16" x14ac:dyDescent="0.2">
      <c r="A10" s="20">
        <v>44529</v>
      </c>
      <c r="B10" s="11">
        <v>770</v>
      </c>
      <c r="D10" s="23">
        <f t="shared" si="0"/>
        <v>154</v>
      </c>
      <c r="E10" s="3"/>
    </row>
    <row r="11" spans="1:6" ht="16" x14ac:dyDescent="0.2">
      <c r="A11" s="20">
        <v>44530</v>
      </c>
      <c r="B11" s="11">
        <v>904.8</v>
      </c>
      <c r="D11" s="23">
        <f t="shared" si="0"/>
        <v>134.79999999999995</v>
      </c>
      <c r="E11" s="3"/>
    </row>
    <row r="12" spans="1:6" ht="16" x14ac:dyDescent="0.2">
      <c r="A12" s="20">
        <v>44531</v>
      </c>
      <c r="B12" s="11">
        <v>2060.9</v>
      </c>
      <c r="D12" s="23">
        <f t="shared" si="0"/>
        <v>1156.1000000000001</v>
      </c>
      <c r="E12" s="3"/>
    </row>
    <row r="13" spans="1:6" ht="16" x14ac:dyDescent="0.2">
      <c r="A13" s="20">
        <v>44532</v>
      </c>
      <c r="B13" s="11">
        <v>3344.1</v>
      </c>
      <c r="D13" s="23">
        <f t="shared" si="0"/>
        <v>1283.1999999999998</v>
      </c>
      <c r="E13" s="3"/>
    </row>
    <row r="14" spans="1:6" ht="16" x14ac:dyDescent="0.2">
      <c r="A14" s="20">
        <v>44533</v>
      </c>
      <c r="B14" s="11">
        <v>5277</v>
      </c>
      <c r="D14" s="23">
        <f t="shared" si="0"/>
        <v>1932.9</v>
      </c>
      <c r="E14" s="3"/>
    </row>
    <row r="15" spans="1:6" ht="16" x14ac:dyDescent="0.2">
      <c r="A15" s="20">
        <v>44534</v>
      </c>
      <c r="B15" s="11">
        <v>5277</v>
      </c>
      <c r="D15" s="23">
        <f t="shared" si="0"/>
        <v>0</v>
      </c>
      <c r="E15" s="3"/>
    </row>
    <row r="16" spans="1:6" ht="16" x14ac:dyDescent="0.2">
      <c r="A16" s="20">
        <v>44535</v>
      </c>
      <c r="B16" s="11">
        <v>5277</v>
      </c>
      <c r="D16" s="23">
        <f t="shared" si="0"/>
        <v>0</v>
      </c>
      <c r="E16" s="3"/>
    </row>
    <row r="17" spans="1:5" ht="16" x14ac:dyDescent="0.2">
      <c r="A17" s="20">
        <v>44536</v>
      </c>
      <c r="B17" s="11">
        <v>5813.7</v>
      </c>
      <c r="D17" s="23">
        <f t="shared" si="0"/>
        <v>536.69999999999982</v>
      </c>
      <c r="E17" s="3"/>
    </row>
    <row r="18" spans="1:5" ht="16" x14ac:dyDescent="0.2">
      <c r="A18" s="20">
        <v>44537</v>
      </c>
      <c r="B18" s="11">
        <v>4684.3</v>
      </c>
      <c r="D18" s="23">
        <f t="shared" si="0"/>
        <v>-1129.3999999999996</v>
      </c>
      <c r="E18" s="3"/>
    </row>
    <row r="19" spans="1:5" ht="16" x14ac:dyDescent="0.2">
      <c r="A19" s="20">
        <v>44538</v>
      </c>
      <c r="B19" s="11">
        <v>4400.8999999999996</v>
      </c>
      <c r="D19" s="23">
        <f t="shared" si="0"/>
        <v>-283.40000000000055</v>
      </c>
      <c r="E19" s="3"/>
    </row>
    <row r="20" spans="1:5" ht="16" x14ac:dyDescent="0.2">
      <c r="A20" s="20">
        <v>44539</v>
      </c>
      <c r="B20" s="11">
        <v>5496.4</v>
      </c>
      <c r="D20" s="23">
        <f t="shared" si="0"/>
        <v>1095.5</v>
      </c>
      <c r="E20" s="3"/>
    </row>
    <row r="21" spans="1:5" ht="16" x14ac:dyDescent="0.2">
      <c r="A21" s="20">
        <v>44540</v>
      </c>
      <c r="B21" s="11">
        <v>6844.2</v>
      </c>
      <c r="D21" s="23">
        <f t="shared" si="0"/>
        <v>1347.8000000000002</v>
      </c>
      <c r="E21" s="3"/>
    </row>
    <row r="22" spans="1:5" ht="16" x14ac:dyDescent="0.2">
      <c r="A22" s="20">
        <v>44541</v>
      </c>
      <c r="B22" s="11">
        <v>6844.2</v>
      </c>
      <c r="D22" s="23">
        <f t="shared" si="0"/>
        <v>0</v>
      </c>
      <c r="E22" s="3"/>
    </row>
    <row r="23" spans="1:5" ht="16" x14ac:dyDescent="0.2">
      <c r="A23" s="20">
        <v>44542</v>
      </c>
      <c r="B23" s="11">
        <v>6844.2</v>
      </c>
      <c r="D23" s="23">
        <f t="shared" si="0"/>
        <v>0</v>
      </c>
      <c r="E23" s="3"/>
    </row>
    <row r="24" spans="1:5" ht="16" x14ac:dyDescent="0.2">
      <c r="A24" s="20">
        <v>44543</v>
      </c>
      <c r="B24" s="11">
        <v>6807.1</v>
      </c>
      <c r="D24" s="23">
        <f t="shared" si="0"/>
        <v>-37.099999999999454</v>
      </c>
      <c r="E24" s="3"/>
    </row>
    <row r="25" spans="1:5" ht="16" x14ac:dyDescent="0.2">
      <c r="A25" s="20">
        <v>44544</v>
      </c>
      <c r="B25" s="11">
        <v>7446</v>
      </c>
      <c r="D25" s="23">
        <f t="shared" si="0"/>
        <v>638.89999999999964</v>
      </c>
      <c r="E25" s="3"/>
    </row>
    <row r="26" spans="1:5" ht="16" x14ac:dyDescent="0.2">
      <c r="A26" s="20">
        <v>44545</v>
      </c>
      <c r="B26" s="11">
        <v>7620.9</v>
      </c>
      <c r="D26" s="23">
        <f t="shared" si="0"/>
        <v>174.89999999999964</v>
      </c>
      <c r="E26" s="3"/>
    </row>
    <row r="27" spans="1:5" ht="16" x14ac:dyDescent="0.2">
      <c r="A27" s="20">
        <v>44546</v>
      </c>
      <c r="B27" s="11">
        <v>8680.4</v>
      </c>
      <c r="D27" s="23">
        <f t="shared" si="0"/>
        <v>1059.5</v>
      </c>
      <c r="E27" s="3"/>
    </row>
    <row r="28" spans="1:5" ht="16" x14ac:dyDescent="0.2">
      <c r="A28" s="20">
        <v>44547</v>
      </c>
      <c r="B28" s="11">
        <v>7669</v>
      </c>
      <c r="D28" s="23">
        <f t="shared" si="0"/>
        <v>-1011.3999999999996</v>
      </c>
      <c r="E28" s="3"/>
    </row>
    <row r="29" spans="1:5" ht="16" x14ac:dyDescent="0.2">
      <c r="A29" s="20">
        <v>44548</v>
      </c>
      <c r="B29" s="11">
        <v>7669</v>
      </c>
      <c r="D29" s="23">
        <f t="shared" si="0"/>
        <v>0</v>
      </c>
      <c r="E29" s="3"/>
    </row>
    <row r="30" spans="1:5" ht="16" x14ac:dyDescent="0.2">
      <c r="A30" s="20">
        <v>44549</v>
      </c>
      <c r="B30" s="11">
        <v>7669</v>
      </c>
      <c r="D30" s="23">
        <f t="shared" si="0"/>
        <v>0</v>
      </c>
      <c r="E30" s="3"/>
    </row>
    <row r="31" spans="1:5" ht="16" x14ac:dyDescent="0.2">
      <c r="A31" s="20">
        <v>44550</v>
      </c>
      <c r="B31" s="11">
        <v>7754</v>
      </c>
      <c r="D31" s="23">
        <f t="shared" si="0"/>
        <v>85</v>
      </c>
      <c r="E31" s="3"/>
    </row>
    <row r="32" spans="1:5" ht="16" x14ac:dyDescent="0.2">
      <c r="A32" s="20">
        <v>44551</v>
      </c>
      <c r="B32" s="11">
        <v>7575.1</v>
      </c>
      <c r="D32" s="23">
        <f t="shared" si="0"/>
        <v>-178.89999999999964</v>
      </c>
      <c r="E32" s="3"/>
    </row>
    <row r="33" spans="1:5" ht="16" x14ac:dyDescent="0.2">
      <c r="A33" s="20">
        <v>44552</v>
      </c>
      <c r="B33" s="11">
        <v>7382.5</v>
      </c>
      <c r="D33" s="23">
        <f t="shared" si="0"/>
        <v>-192.60000000000036</v>
      </c>
      <c r="E33" s="3"/>
    </row>
    <row r="34" spans="1:5" ht="16" x14ac:dyDescent="0.2">
      <c r="A34" s="20">
        <v>44553</v>
      </c>
      <c r="B34" s="11">
        <v>7146.1</v>
      </c>
      <c r="D34" s="23">
        <f t="shared" si="0"/>
        <v>-236.39999999999964</v>
      </c>
      <c r="E34" s="3"/>
    </row>
    <row r="35" spans="1:5" ht="16" x14ac:dyDescent="0.2">
      <c r="A35" s="20">
        <v>44554</v>
      </c>
      <c r="B35" s="11">
        <v>7112.5</v>
      </c>
      <c r="D35" s="23">
        <f t="shared" si="0"/>
        <v>-33.600000000000364</v>
      </c>
      <c r="E35" s="3"/>
    </row>
    <row r="36" spans="1:5" ht="16" x14ac:dyDescent="0.2">
      <c r="A36" s="20">
        <v>44555</v>
      </c>
      <c r="B36" s="11">
        <v>7112.5</v>
      </c>
      <c r="D36" s="23">
        <f t="shared" si="0"/>
        <v>0</v>
      </c>
      <c r="E36" s="3"/>
    </row>
    <row r="37" spans="1:5" ht="16" x14ac:dyDescent="0.2">
      <c r="A37" s="20">
        <v>44556</v>
      </c>
      <c r="B37" s="11">
        <v>7112.5</v>
      </c>
      <c r="D37" s="23">
        <f t="shared" si="0"/>
        <v>0</v>
      </c>
      <c r="E37" s="3"/>
    </row>
    <row r="38" spans="1:5" ht="16" x14ac:dyDescent="0.2">
      <c r="A38" s="20">
        <v>44557</v>
      </c>
      <c r="B38" s="11">
        <v>7631.4</v>
      </c>
      <c r="D38" s="23">
        <f t="shared" si="0"/>
        <v>518.89999999999964</v>
      </c>
      <c r="E38" s="3"/>
    </row>
    <row r="39" spans="1:5" ht="16" x14ac:dyDescent="0.2">
      <c r="A39" s="20">
        <v>44558</v>
      </c>
      <c r="B39" s="11">
        <v>8039.8</v>
      </c>
      <c r="D39" s="23">
        <f t="shared" si="0"/>
        <v>408.40000000000055</v>
      </c>
      <c r="E39" s="3"/>
    </row>
    <row r="40" spans="1:5" ht="16" x14ac:dyDescent="0.2">
      <c r="A40" s="20">
        <v>44559</v>
      </c>
      <c r="B40" s="11">
        <v>8450.7999999999993</v>
      </c>
      <c r="D40" s="23">
        <f t="shared" si="0"/>
        <v>410.99999999999909</v>
      </c>
      <c r="E40" s="3"/>
    </row>
    <row r="41" spans="1:5" ht="16" x14ac:dyDescent="0.2">
      <c r="A41" s="20">
        <v>44560</v>
      </c>
      <c r="B41" s="11">
        <v>7637.1</v>
      </c>
      <c r="D41" s="23">
        <f t="shared" si="0"/>
        <v>-813.69999999999891</v>
      </c>
      <c r="E41" s="3"/>
    </row>
    <row r="42" spans="1:5" ht="16" x14ac:dyDescent="0.2">
      <c r="A42" s="20">
        <v>44561</v>
      </c>
      <c r="B42" s="11">
        <v>7910.6</v>
      </c>
      <c r="D42" s="23">
        <f t="shared" si="0"/>
        <v>273.5</v>
      </c>
      <c r="E42" s="3"/>
    </row>
    <row r="43" spans="1:5" ht="16" x14ac:dyDescent="0.2">
      <c r="A43" s="20">
        <v>44562</v>
      </c>
      <c r="B43" s="11">
        <v>7910.6</v>
      </c>
      <c r="D43" s="23">
        <f t="shared" si="0"/>
        <v>0</v>
      </c>
      <c r="E43" s="3"/>
    </row>
    <row r="44" spans="1:5" ht="16" x14ac:dyDescent="0.2">
      <c r="A44" s="20">
        <v>44563</v>
      </c>
      <c r="B44" s="11">
        <v>7910.6</v>
      </c>
      <c r="D44" s="23">
        <f t="shared" si="0"/>
        <v>0</v>
      </c>
      <c r="E44" s="3"/>
    </row>
    <row r="45" spans="1:5" ht="16" x14ac:dyDescent="0.2">
      <c r="A45" s="20">
        <v>44564</v>
      </c>
      <c r="B45" s="11">
        <v>7375</v>
      </c>
      <c r="D45" s="23">
        <f t="shared" si="0"/>
        <v>-535.60000000000036</v>
      </c>
      <c r="E45" s="3"/>
    </row>
    <row r="46" spans="1:5" ht="16" x14ac:dyDescent="0.2">
      <c r="A46" s="20">
        <v>44565</v>
      </c>
      <c r="B46" s="11">
        <v>10387.5</v>
      </c>
      <c r="D46" s="23">
        <f t="shared" si="0"/>
        <v>3012.5</v>
      </c>
      <c r="E46" s="3"/>
    </row>
    <row r="47" spans="1:5" ht="16" x14ac:dyDescent="0.2">
      <c r="A47" s="20">
        <v>44566</v>
      </c>
      <c r="B47" s="11">
        <v>12155.9</v>
      </c>
      <c r="D47" s="23">
        <f t="shared" si="0"/>
        <v>1768.3999999999996</v>
      </c>
      <c r="E47" s="3"/>
    </row>
    <row r="48" spans="1:5" ht="16" x14ac:dyDescent="0.2">
      <c r="A48" s="20">
        <v>44567</v>
      </c>
      <c r="B48" s="11">
        <v>13864.9</v>
      </c>
      <c r="D48" s="23">
        <f t="shared" si="0"/>
        <v>1709</v>
      </c>
      <c r="E48" s="3"/>
    </row>
    <row r="49" spans="1:5" ht="16" x14ac:dyDescent="0.2">
      <c r="A49" s="20">
        <v>44568</v>
      </c>
      <c r="B49" s="11">
        <v>14753.3</v>
      </c>
      <c r="D49" s="23">
        <f t="shared" si="0"/>
        <v>888.39999999999964</v>
      </c>
      <c r="E49" s="3"/>
    </row>
    <row r="50" spans="1:5" ht="16" x14ac:dyDescent="0.2">
      <c r="A50" s="20">
        <v>44569</v>
      </c>
      <c r="B50" s="11">
        <v>14753.3</v>
      </c>
      <c r="D50" s="23">
        <f t="shared" si="0"/>
        <v>0</v>
      </c>
      <c r="E50" s="3"/>
    </row>
    <row r="51" spans="1:5" ht="16" x14ac:dyDescent="0.2">
      <c r="A51" s="20">
        <v>44570</v>
      </c>
      <c r="B51" s="11">
        <v>14753.3</v>
      </c>
      <c r="D51" s="23">
        <f t="shared" si="0"/>
        <v>0</v>
      </c>
      <c r="E51" s="3"/>
    </row>
    <row r="52" spans="1:5" ht="16" x14ac:dyDescent="0.2">
      <c r="A52" s="20">
        <v>44571</v>
      </c>
      <c r="B52" s="11">
        <v>16208.1</v>
      </c>
      <c r="D52" s="23">
        <f t="shared" si="0"/>
        <v>1454.8000000000011</v>
      </c>
      <c r="E52" s="3"/>
    </row>
    <row r="53" spans="1:5" ht="16" x14ac:dyDescent="0.2">
      <c r="A53" s="20">
        <v>44572</v>
      </c>
      <c r="B53" s="11">
        <v>15575.8</v>
      </c>
      <c r="D53" s="23">
        <f t="shared" si="0"/>
        <v>-632.30000000000109</v>
      </c>
      <c r="E53" s="3"/>
    </row>
    <row r="54" spans="1:5" ht="16" x14ac:dyDescent="0.2">
      <c r="A54" s="20">
        <v>44573</v>
      </c>
      <c r="B54" s="11">
        <v>15649.5</v>
      </c>
      <c r="D54" s="23">
        <f t="shared" si="0"/>
        <v>73.700000000000728</v>
      </c>
      <c r="E54" s="3"/>
    </row>
    <row r="55" spans="1:5" ht="16" x14ac:dyDescent="0.2">
      <c r="A55" s="20">
        <v>44574</v>
      </c>
      <c r="B55" s="11">
        <v>17204</v>
      </c>
      <c r="D55" s="23">
        <f t="shared" si="0"/>
        <v>1554.5</v>
      </c>
      <c r="E55" s="3"/>
    </row>
    <row r="56" spans="1:5" ht="16" x14ac:dyDescent="0.2">
      <c r="A56" s="20">
        <v>44575</v>
      </c>
      <c r="B56" s="11">
        <v>17334.599999999999</v>
      </c>
      <c r="D56" s="23">
        <f t="shared" si="0"/>
        <v>130.59999999999854</v>
      </c>
      <c r="E56" s="3"/>
    </row>
    <row r="57" spans="1:5" ht="16" x14ac:dyDescent="0.2">
      <c r="A57" s="20">
        <v>44576</v>
      </c>
      <c r="B57" s="11">
        <v>17334.599999999999</v>
      </c>
      <c r="D57" s="23">
        <f t="shared" si="0"/>
        <v>0</v>
      </c>
      <c r="E57" s="3"/>
    </row>
    <row r="58" spans="1:5" ht="16" x14ac:dyDescent="0.2">
      <c r="A58" s="20">
        <v>44577</v>
      </c>
      <c r="B58" s="11">
        <v>17334.599999999999</v>
      </c>
      <c r="D58" s="23">
        <f t="shared" si="0"/>
        <v>0</v>
      </c>
      <c r="E58" s="3"/>
    </row>
    <row r="59" spans="1:5" ht="16" x14ac:dyDescent="0.2">
      <c r="A59" s="20">
        <v>44578</v>
      </c>
      <c r="B59" s="11">
        <v>17877.099999999999</v>
      </c>
      <c r="D59" s="23">
        <f t="shared" si="0"/>
        <v>542.5</v>
      </c>
      <c r="E59" s="3"/>
    </row>
    <row r="60" spans="1:5" ht="16" x14ac:dyDescent="0.2">
      <c r="A60" s="20">
        <v>44579</v>
      </c>
      <c r="B60" s="11">
        <v>18158.3</v>
      </c>
      <c r="D60" s="23">
        <f t="shared" si="0"/>
        <v>281.20000000000073</v>
      </c>
      <c r="E60" s="3"/>
    </row>
    <row r="61" spans="1:5" ht="16" x14ac:dyDescent="0.2">
      <c r="A61" s="20">
        <v>44580</v>
      </c>
      <c r="B61" s="11">
        <v>17674.400000000001</v>
      </c>
      <c r="D61" s="23">
        <f t="shared" si="0"/>
        <v>-483.89999999999782</v>
      </c>
      <c r="E61" s="3"/>
    </row>
    <row r="62" spans="1:5" ht="16" x14ac:dyDescent="0.2">
      <c r="A62" s="20">
        <v>44581</v>
      </c>
      <c r="B62" s="11">
        <v>16534.900000000001</v>
      </c>
      <c r="D62" s="23">
        <f t="shared" si="0"/>
        <v>-1139.5</v>
      </c>
      <c r="E62" s="3"/>
    </row>
    <row r="63" spans="1:5" ht="16" x14ac:dyDescent="0.2">
      <c r="A63" s="20">
        <v>44582</v>
      </c>
      <c r="B63" s="11">
        <v>17722.5</v>
      </c>
      <c r="D63" s="23">
        <f t="shared" si="0"/>
        <v>1187.5999999999985</v>
      </c>
      <c r="E63" s="3"/>
    </row>
    <row r="64" spans="1:5" ht="16" x14ac:dyDescent="0.2">
      <c r="A64" s="20">
        <v>44583</v>
      </c>
      <c r="B64" s="11">
        <v>17722.5</v>
      </c>
      <c r="D64" s="23">
        <f t="shared" si="0"/>
        <v>0</v>
      </c>
      <c r="E64" s="3"/>
    </row>
    <row r="65" spans="1:5" ht="16" x14ac:dyDescent="0.2">
      <c r="A65" s="20">
        <v>44584</v>
      </c>
      <c r="B65" s="11">
        <v>17722.5</v>
      </c>
      <c r="D65" s="23">
        <f t="shared" si="0"/>
        <v>0</v>
      </c>
      <c r="E65" s="3"/>
    </row>
    <row r="66" spans="1:5" ht="16" x14ac:dyDescent="0.2">
      <c r="A66" s="20">
        <v>44585</v>
      </c>
      <c r="B66" s="11">
        <v>18731.2</v>
      </c>
      <c r="D66" s="23">
        <f t="shared" si="0"/>
        <v>1008.7000000000007</v>
      </c>
      <c r="E66" s="3"/>
    </row>
    <row r="67" spans="1:5" ht="16" x14ac:dyDescent="0.2">
      <c r="A67" s="20">
        <v>44586</v>
      </c>
      <c r="B67" s="11">
        <v>19610</v>
      </c>
      <c r="D67" s="23">
        <f t="shared" si="0"/>
        <v>878.79999999999927</v>
      </c>
      <c r="E67" s="3"/>
    </row>
    <row r="68" spans="1:5" ht="16" x14ac:dyDescent="0.2">
      <c r="A68" s="20">
        <v>44587</v>
      </c>
      <c r="B68" s="11">
        <v>19515.400000000001</v>
      </c>
      <c r="D68" s="23">
        <f t="shared" si="0"/>
        <v>-94.599999999998545</v>
      </c>
      <c r="E68" s="3"/>
    </row>
    <row r="69" spans="1:5" ht="16" x14ac:dyDescent="0.2">
      <c r="A69" s="20">
        <v>44588</v>
      </c>
      <c r="B69" s="11">
        <v>19517.5</v>
      </c>
      <c r="D69" s="23">
        <f t="shared" ref="D69:D132" si="1">B69-B68</f>
        <v>2.0999999999985448</v>
      </c>
      <c r="E69" s="3"/>
    </row>
    <row r="70" spans="1:5" ht="16" x14ac:dyDescent="0.2">
      <c r="A70" s="20">
        <v>44589</v>
      </c>
      <c r="B70" s="11">
        <v>19624.2</v>
      </c>
      <c r="D70" s="23">
        <f t="shared" si="1"/>
        <v>106.70000000000073</v>
      </c>
      <c r="E70" s="3"/>
    </row>
    <row r="71" spans="1:5" ht="16" x14ac:dyDescent="0.2">
      <c r="A71" s="20">
        <v>44590</v>
      </c>
      <c r="B71" s="11">
        <v>19624.2</v>
      </c>
      <c r="D71" s="23">
        <f t="shared" si="1"/>
        <v>0</v>
      </c>
      <c r="E71" s="3"/>
    </row>
    <row r="72" spans="1:5" ht="16" x14ac:dyDescent="0.2">
      <c r="A72" s="20">
        <v>44591</v>
      </c>
      <c r="B72" s="11">
        <v>19624.2</v>
      </c>
      <c r="D72" s="23">
        <f t="shared" si="1"/>
        <v>0</v>
      </c>
      <c r="E72" s="3"/>
    </row>
    <row r="73" spans="1:5" ht="16" x14ac:dyDescent="0.2">
      <c r="A73" s="20">
        <v>44592</v>
      </c>
      <c r="B73" s="11">
        <v>17901.900000000001</v>
      </c>
      <c r="D73" s="23">
        <f t="shared" si="1"/>
        <v>-1722.2999999999993</v>
      </c>
      <c r="E73" s="3"/>
    </row>
    <row r="74" spans="1:5" ht="16" x14ac:dyDescent="0.2">
      <c r="A74" s="20">
        <v>44593</v>
      </c>
      <c r="B74" s="11">
        <v>17854.599999999999</v>
      </c>
      <c r="D74" s="23">
        <f t="shared" si="1"/>
        <v>-47.30000000000291</v>
      </c>
      <c r="E74" s="3"/>
    </row>
    <row r="75" spans="1:5" ht="16" x14ac:dyDescent="0.2">
      <c r="A75" s="20">
        <v>44594</v>
      </c>
      <c r="B75" s="11">
        <v>19238.7</v>
      </c>
      <c r="D75" s="23">
        <f t="shared" si="1"/>
        <v>1384.1000000000022</v>
      </c>
      <c r="E75" s="3"/>
    </row>
    <row r="76" spans="1:5" ht="16" x14ac:dyDescent="0.2">
      <c r="A76" s="20">
        <v>44595</v>
      </c>
      <c r="B76" s="11">
        <v>21107.7</v>
      </c>
      <c r="D76" s="23">
        <f t="shared" si="1"/>
        <v>1869</v>
      </c>
      <c r="E76" s="3"/>
    </row>
    <row r="77" spans="1:5" ht="16" x14ac:dyDescent="0.2">
      <c r="A77" s="20">
        <v>44596</v>
      </c>
      <c r="B77" s="11">
        <v>20503.099999999999</v>
      </c>
      <c r="D77" s="23">
        <f t="shared" si="1"/>
        <v>-604.60000000000218</v>
      </c>
      <c r="E77" s="3"/>
    </row>
    <row r="78" spans="1:5" ht="16" x14ac:dyDescent="0.2">
      <c r="A78" s="20">
        <v>44597</v>
      </c>
      <c r="B78" s="11">
        <v>20503.099999999999</v>
      </c>
      <c r="D78" s="23">
        <f t="shared" si="1"/>
        <v>0</v>
      </c>
      <c r="E78" s="3"/>
    </row>
    <row r="79" spans="1:5" ht="16" x14ac:dyDescent="0.2">
      <c r="A79" s="20">
        <v>44598</v>
      </c>
      <c r="B79" s="11">
        <v>20503.099999999999</v>
      </c>
      <c r="D79" s="23">
        <f t="shared" si="1"/>
        <v>0</v>
      </c>
      <c r="E79" s="3"/>
    </row>
    <row r="80" spans="1:5" ht="16" x14ac:dyDescent="0.2">
      <c r="A80" s="20">
        <v>44599</v>
      </c>
      <c r="B80" s="11">
        <v>20407</v>
      </c>
      <c r="D80" s="23">
        <f t="shared" si="1"/>
        <v>-96.099999999998545</v>
      </c>
      <c r="E80" s="3"/>
    </row>
    <row r="81" spans="1:5" ht="16" x14ac:dyDescent="0.2">
      <c r="A81" s="20">
        <v>44600</v>
      </c>
      <c r="B81" s="11">
        <v>21603.1</v>
      </c>
      <c r="D81" s="23">
        <f t="shared" si="1"/>
        <v>1196.0999999999985</v>
      </c>
      <c r="E81" s="3"/>
    </row>
    <row r="82" spans="1:5" ht="16" x14ac:dyDescent="0.2">
      <c r="A82" s="20">
        <v>44601</v>
      </c>
      <c r="B82" s="11">
        <v>20822.2</v>
      </c>
      <c r="D82" s="23">
        <f t="shared" si="1"/>
        <v>-780.89999999999782</v>
      </c>
      <c r="E82" s="3"/>
    </row>
    <row r="83" spans="1:5" ht="16" x14ac:dyDescent="0.2">
      <c r="A83" s="20">
        <v>44602</v>
      </c>
      <c r="B83" s="11">
        <v>20839.5</v>
      </c>
      <c r="D83" s="23">
        <f t="shared" si="1"/>
        <v>17.299999999999272</v>
      </c>
      <c r="E83" s="3"/>
    </row>
    <row r="84" spans="1:5" ht="16" x14ac:dyDescent="0.2">
      <c r="A84" s="20">
        <v>44603</v>
      </c>
      <c r="B84" s="11">
        <v>21411.5</v>
      </c>
      <c r="D84" s="23">
        <f t="shared" si="1"/>
        <v>572</v>
      </c>
      <c r="E84" s="3"/>
    </row>
    <row r="85" spans="1:5" ht="16" x14ac:dyDescent="0.2">
      <c r="A85" s="20">
        <v>44604</v>
      </c>
      <c r="B85" s="11">
        <v>21411.5</v>
      </c>
      <c r="D85" s="23">
        <f t="shared" si="1"/>
        <v>0</v>
      </c>
      <c r="E85" s="3"/>
    </row>
    <row r="86" spans="1:5" ht="16" x14ac:dyDescent="0.2">
      <c r="A86" s="20">
        <v>44605</v>
      </c>
      <c r="B86" s="11">
        <v>21411.5</v>
      </c>
      <c r="D86" s="23">
        <f t="shared" si="1"/>
        <v>0</v>
      </c>
      <c r="E86" s="3"/>
    </row>
    <row r="87" spans="1:5" ht="16" x14ac:dyDescent="0.2">
      <c r="A87" s="20">
        <v>44606</v>
      </c>
      <c r="B87" s="11">
        <v>20475.7</v>
      </c>
      <c r="D87" s="23">
        <f t="shared" si="1"/>
        <v>-935.79999999999927</v>
      </c>
      <c r="E87" s="3"/>
    </row>
    <row r="88" spans="1:5" ht="16" x14ac:dyDescent="0.2">
      <c r="A88" s="20">
        <v>44607</v>
      </c>
      <c r="B88" s="11">
        <v>20503.5</v>
      </c>
      <c r="D88" s="23">
        <f t="shared" si="1"/>
        <v>27.799999999999272</v>
      </c>
      <c r="E88" s="3"/>
    </row>
    <row r="89" spans="1:5" ht="16" x14ac:dyDescent="0.2">
      <c r="A89" s="20">
        <v>44608</v>
      </c>
      <c r="B89" s="11">
        <v>21015.3</v>
      </c>
      <c r="D89" s="23">
        <f t="shared" si="1"/>
        <v>511.79999999999927</v>
      </c>
      <c r="E89" s="3"/>
    </row>
    <row r="90" spans="1:5" ht="16" x14ac:dyDescent="0.2">
      <c r="A90" s="20">
        <v>44609</v>
      </c>
      <c r="B90" s="11">
        <v>21341.3</v>
      </c>
      <c r="D90" s="23">
        <f t="shared" si="1"/>
        <v>326</v>
      </c>
      <c r="E90" s="3"/>
    </row>
    <row r="91" spans="1:5" ht="16" x14ac:dyDescent="0.2">
      <c r="A91" s="20">
        <v>44610</v>
      </c>
      <c r="B91" s="11">
        <v>22435.1</v>
      </c>
      <c r="D91" s="23">
        <f t="shared" si="1"/>
        <v>1093.7999999999993</v>
      </c>
      <c r="E91" s="3"/>
    </row>
    <row r="92" spans="1:5" ht="16" x14ac:dyDescent="0.2">
      <c r="A92" s="20">
        <v>44611</v>
      </c>
      <c r="B92" s="11">
        <v>22435.1</v>
      </c>
      <c r="D92" s="23">
        <f t="shared" si="1"/>
        <v>0</v>
      </c>
      <c r="E92" s="3"/>
    </row>
    <row r="93" spans="1:5" ht="16" x14ac:dyDescent="0.2">
      <c r="A93" s="20">
        <v>44612</v>
      </c>
      <c r="B93" s="11">
        <v>22435.1</v>
      </c>
      <c r="D93" s="23">
        <f t="shared" si="1"/>
        <v>0</v>
      </c>
      <c r="E93" s="3"/>
    </row>
    <row r="94" spans="1:5" ht="16" x14ac:dyDescent="0.2">
      <c r="A94" s="20">
        <v>44613</v>
      </c>
      <c r="B94" s="11">
        <v>22072</v>
      </c>
      <c r="D94" s="23">
        <f t="shared" si="1"/>
        <v>-363.09999999999854</v>
      </c>
      <c r="E94" s="3"/>
    </row>
    <row r="95" spans="1:5" ht="16" x14ac:dyDescent="0.2">
      <c r="A95" s="20">
        <v>44614</v>
      </c>
      <c r="B95" s="11">
        <v>21477.7</v>
      </c>
      <c r="D95" s="23">
        <f t="shared" si="1"/>
        <v>-594.29999999999927</v>
      </c>
      <c r="E95" s="3"/>
    </row>
    <row r="96" spans="1:5" ht="16" x14ac:dyDescent="0.2">
      <c r="A96" s="20">
        <v>44615</v>
      </c>
      <c r="B96" s="11">
        <v>21999.7</v>
      </c>
      <c r="D96" s="23">
        <f t="shared" si="1"/>
        <v>522</v>
      </c>
      <c r="E96" s="3"/>
    </row>
    <row r="97" spans="1:5" ht="16" x14ac:dyDescent="0.2">
      <c r="A97" s="20">
        <v>44616</v>
      </c>
      <c r="B97" s="11">
        <v>18700.2</v>
      </c>
      <c r="D97" s="23">
        <f t="shared" si="1"/>
        <v>-3299.5</v>
      </c>
      <c r="E97" s="3"/>
    </row>
    <row r="98" spans="1:5" ht="16" x14ac:dyDescent="0.2">
      <c r="A98" s="20">
        <v>44617</v>
      </c>
      <c r="B98" s="11">
        <v>20474.5</v>
      </c>
      <c r="D98" s="23">
        <f t="shared" si="1"/>
        <v>1774.2999999999993</v>
      </c>
      <c r="E98" s="3"/>
    </row>
    <row r="99" spans="1:5" ht="16" x14ac:dyDescent="0.2">
      <c r="A99" s="20">
        <v>44618</v>
      </c>
      <c r="B99" s="11">
        <v>20474.5</v>
      </c>
      <c r="D99" s="23">
        <f t="shared" si="1"/>
        <v>0</v>
      </c>
      <c r="E99" s="3"/>
    </row>
    <row r="100" spans="1:5" ht="16" x14ac:dyDescent="0.2">
      <c r="A100" s="20">
        <v>44619</v>
      </c>
      <c r="B100" s="11">
        <v>20474.5</v>
      </c>
      <c r="D100" s="23">
        <f t="shared" si="1"/>
        <v>0</v>
      </c>
      <c r="E100" s="3"/>
    </row>
    <row r="101" spans="1:5" ht="16" x14ac:dyDescent="0.2">
      <c r="A101" s="20">
        <v>44620</v>
      </c>
      <c r="B101" s="11">
        <v>18004.099999999999</v>
      </c>
      <c r="D101" s="23">
        <f t="shared" si="1"/>
        <v>-2470.4000000000015</v>
      </c>
      <c r="E101" s="3"/>
    </row>
    <row r="102" spans="1:5" ht="16" x14ac:dyDescent="0.2">
      <c r="A102" s="20">
        <v>44621</v>
      </c>
      <c r="B102" s="11">
        <v>17664.400000000001</v>
      </c>
      <c r="D102" s="23">
        <f t="shared" si="1"/>
        <v>-339.69999999999709</v>
      </c>
      <c r="E102" s="3"/>
    </row>
    <row r="103" spans="1:5" ht="16" x14ac:dyDescent="0.2">
      <c r="A103" s="20">
        <v>44622</v>
      </c>
      <c r="B103" s="11">
        <v>18752.7</v>
      </c>
      <c r="D103" s="23">
        <f t="shared" si="1"/>
        <v>1088.2999999999993</v>
      </c>
      <c r="E103" s="3"/>
    </row>
    <row r="104" spans="1:5" ht="16" x14ac:dyDescent="0.2">
      <c r="A104" s="20">
        <v>44623</v>
      </c>
      <c r="B104" s="11">
        <v>19698.2</v>
      </c>
      <c r="D104" s="23">
        <f t="shared" si="1"/>
        <v>945.5</v>
      </c>
      <c r="E104" s="3"/>
    </row>
    <row r="105" spans="1:5" ht="16" x14ac:dyDescent="0.2">
      <c r="A105" s="20">
        <v>44624</v>
      </c>
      <c r="B105" s="11">
        <v>18861.7</v>
      </c>
      <c r="D105" s="23">
        <f t="shared" si="1"/>
        <v>-836.5</v>
      </c>
      <c r="E105" s="3"/>
    </row>
    <row r="106" spans="1:5" ht="16" x14ac:dyDescent="0.2">
      <c r="A106" s="20">
        <v>44625</v>
      </c>
      <c r="B106" s="11">
        <v>18861.7</v>
      </c>
      <c r="D106" s="23">
        <f t="shared" si="1"/>
        <v>0</v>
      </c>
      <c r="E106" s="3"/>
    </row>
    <row r="107" spans="1:5" ht="16" x14ac:dyDescent="0.2">
      <c r="A107" s="20">
        <v>44626</v>
      </c>
      <c r="B107" s="11">
        <v>18861.7</v>
      </c>
      <c r="D107" s="23">
        <f t="shared" si="1"/>
        <v>0</v>
      </c>
      <c r="E107" s="3"/>
    </row>
    <row r="108" spans="1:5" ht="16" x14ac:dyDescent="0.2">
      <c r="A108" s="20">
        <v>44627</v>
      </c>
      <c r="B108" s="11">
        <v>17718</v>
      </c>
      <c r="D108" s="23">
        <f t="shared" si="1"/>
        <v>-1143.7000000000007</v>
      </c>
      <c r="E108" s="3"/>
    </row>
    <row r="109" spans="1:5" ht="16" x14ac:dyDescent="0.2">
      <c r="A109" s="20">
        <v>44628</v>
      </c>
      <c r="B109" s="11">
        <v>17766.7</v>
      </c>
      <c r="D109" s="23">
        <f t="shared" si="1"/>
        <v>48.700000000000728</v>
      </c>
      <c r="E109" s="3"/>
    </row>
    <row r="110" spans="1:5" ht="16" x14ac:dyDescent="0.2">
      <c r="A110" s="20">
        <v>44629</v>
      </c>
      <c r="B110" s="11">
        <v>18749.2</v>
      </c>
      <c r="D110" s="23">
        <f t="shared" si="1"/>
        <v>982.5</v>
      </c>
      <c r="E110" s="3"/>
    </row>
    <row r="111" spans="1:5" ht="16" x14ac:dyDescent="0.2">
      <c r="A111" s="20">
        <v>44630</v>
      </c>
      <c r="B111" s="11">
        <v>19253.599999999999</v>
      </c>
      <c r="D111" s="23">
        <f t="shared" si="1"/>
        <v>504.39999999999782</v>
      </c>
      <c r="E111" s="3"/>
    </row>
    <row r="112" spans="1:5" ht="16" x14ac:dyDescent="0.2">
      <c r="A112" s="20">
        <v>44631</v>
      </c>
      <c r="B112" s="11">
        <v>20388.099999999999</v>
      </c>
      <c r="D112" s="23">
        <f t="shared" si="1"/>
        <v>1134.5</v>
      </c>
      <c r="E112" s="3"/>
    </row>
    <row r="113" spans="1:5" ht="16" x14ac:dyDescent="0.2">
      <c r="A113" s="20">
        <v>44632</v>
      </c>
      <c r="B113" s="11">
        <v>20388.099999999999</v>
      </c>
      <c r="D113" s="23">
        <f t="shared" si="1"/>
        <v>0</v>
      </c>
      <c r="E113" s="3"/>
    </row>
    <row r="114" spans="1:5" ht="16" x14ac:dyDescent="0.2">
      <c r="A114" s="20">
        <v>44633</v>
      </c>
      <c r="B114" s="11">
        <v>20388.099999999999</v>
      </c>
      <c r="D114" s="23">
        <f t="shared" si="1"/>
        <v>0</v>
      </c>
      <c r="E114" s="3"/>
    </row>
    <row r="115" spans="1:5" ht="16" x14ac:dyDescent="0.2">
      <c r="A115" s="20">
        <v>44634</v>
      </c>
      <c r="B115" s="11">
        <v>21869.3</v>
      </c>
      <c r="D115" s="23">
        <f t="shared" si="1"/>
        <v>1481.2000000000007</v>
      </c>
      <c r="E115" s="3"/>
    </row>
    <row r="116" spans="1:5" ht="16" x14ac:dyDescent="0.2">
      <c r="A116" s="20">
        <v>44635</v>
      </c>
      <c r="B116" s="11">
        <v>22414.2</v>
      </c>
      <c r="D116" s="23">
        <f t="shared" si="1"/>
        <v>544.90000000000146</v>
      </c>
      <c r="E116" s="3"/>
    </row>
    <row r="117" spans="1:5" ht="16" x14ac:dyDescent="0.2">
      <c r="A117" s="20">
        <v>44636</v>
      </c>
      <c r="B117" s="11">
        <v>21805.5</v>
      </c>
      <c r="D117" s="23">
        <f t="shared" si="1"/>
        <v>-608.70000000000073</v>
      </c>
      <c r="E117" s="3"/>
    </row>
    <row r="118" spans="1:5" ht="16" x14ac:dyDescent="0.2">
      <c r="A118" s="20">
        <v>44637</v>
      </c>
      <c r="B118" s="11">
        <v>21214</v>
      </c>
      <c r="D118" s="23">
        <f t="shared" si="1"/>
        <v>-591.5</v>
      </c>
      <c r="E118" s="3"/>
    </row>
    <row r="119" spans="1:5" ht="16" x14ac:dyDescent="0.2">
      <c r="A119" s="20">
        <v>44638</v>
      </c>
      <c r="B119" s="11">
        <v>19916</v>
      </c>
      <c r="D119" s="23">
        <f t="shared" si="1"/>
        <v>-1298</v>
      </c>
      <c r="E119" s="3"/>
    </row>
    <row r="120" spans="1:5" ht="16" x14ac:dyDescent="0.2">
      <c r="A120" s="20">
        <v>44639</v>
      </c>
      <c r="B120" s="11">
        <v>19916</v>
      </c>
      <c r="D120" s="23">
        <f t="shared" si="1"/>
        <v>0</v>
      </c>
      <c r="E120" s="3"/>
    </row>
    <row r="121" spans="1:5" ht="16" x14ac:dyDescent="0.2">
      <c r="A121" s="20">
        <v>44640</v>
      </c>
      <c r="B121" s="11">
        <v>19916</v>
      </c>
      <c r="D121" s="23">
        <f t="shared" si="1"/>
        <v>0</v>
      </c>
      <c r="E121" s="3"/>
    </row>
    <row r="122" spans="1:5" ht="16" x14ac:dyDescent="0.2">
      <c r="A122" s="20">
        <v>44641</v>
      </c>
      <c r="B122" s="11">
        <v>20777.7</v>
      </c>
      <c r="D122" s="23">
        <f t="shared" si="1"/>
        <v>861.70000000000073</v>
      </c>
      <c r="E122" s="3"/>
    </row>
    <row r="123" spans="1:5" ht="16" x14ac:dyDescent="0.2">
      <c r="A123" s="20">
        <v>44642</v>
      </c>
      <c r="B123" s="11">
        <v>20323.3</v>
      </c>
      <c r="D123" s="23">
        <f t="shared" si="1"/>
        <v>-454.40000000000146</v>
      </c>
      <c r="E123" s="3"/>
    </row>
    <row r="124" spans="1:5" ht="16" x14ac:dyDescent="0.2">
      <c r="A124" s="20">
        <v>44643</v>
      </c>
      <c r="B124" s="11">
        <v>20527.7</v>
      </c>
      <c r="D124" s="23">
        <f t="shared" si="1"/>
        <v>204.40000000000146</v>
      </c>
      <c r="E124" s="3"/>
    </row>
    <row r="125" spans="1:5" ht="16" x14ac:dyDescent="0.2">
      <c r="A125" s="20">
        <v>44644</v>
      </c>
      <c r="B125" s="11">
        <v>20151.900000000001</v>
      </c>
      <c r="D125" s="23">
        <f t="shared" si="1"/>
        <v>-375.79999999999927</v>
      </c>
      <c r="E125" s="3"/>
    </row>
    <row r="126" spans="1:5" ht="16" x14ac:dyDescent="0.2">
      <c r="A126" s="20">
        <v>44645</v>
      </c>
      <c r="B126" s="11">
        <v>20746.400000000001</v>
      </c>
      <c r="D126" s="23">
        <f t="shared" si="1"/>
        <v>594.5</v>
      </c>
      <c r="E126" s="3"/>
    </row>
    <row r="127" spans="1:5" ht="16" x14ac:dyDescent="0.2">
      <c r="A127" s="20">
        <v>44646</v>
      </c>
      <c r="B127" s="11">
        <v>20746.400000000001</v>
      </c>
      <c r="D127" s="23">
        <f t="shared" si="1"/>
        <v>0</v>
      </c>
      <c r="E127" s="3"/>
    </row>
    <row r="128" spans="1:5" ht="16" x14ac:dyDescent="0.2">
      <c r="A128" s="20">
        <v>44647</v>
      </c>
      <c r="B128" s="11">
        <v>20746.400000000001</v>
      </c>
      <c r="D128" s="23">
        <f t="shared" si="1"/>
        <v>0</v>
      </c>
      <c r="E128" s="3"/>
    </row>
    <row r="129" spans="1:5" ht="16" x14ac:dyDescent="0.2">
      <c r="A129" s="20">
        <v>44648</v>
      </c>
      <c r="B129" s="11">
        <v>20394.3</v>
      </c>
      <c r="D129" s="23">
        <f t="shared" si="1"/>
        <v>-352.10000000000218</v>
      </c>
      <c r="E129" s="3"/>
    </row>
    <row r="130" spans="1:5" ht="16" x14ac:dyDescent="0.2">
      <c r="A130" s="20">
        <v>44649</v>
      </c>
      <c r="B130" s="11">
        <v>20008.5</v>
      </c>
      <c r="D130" s="23">
        <f t="shared" si="1"/>
        <v>-385.79999999999927</v>
      </c>
      <c r="E130" s="3"/>
    </row>
    <row r="131" spans="1:5" ht="16" x14ac:dyDescent="0.2">
      <c r="A131" s="20">
        <v>44650</v>
      </c>
      <c r="B131" s="11">
        <v>19561.3</v>
      </c>
      <c r="D131" s="23">
        <f t="shared" si="1"/>
        <v>-447.20000000000073</v>
      </c>
      <c r="E131" s="3"/>
    </row>
    <row r="132" spans="1:5" ht="16" x14ac:dyDescent="0.2">
      <c r="A132" s="20">
        <v>44651</v>
      </c>
      <c r="B132" s="11">
        <v>18786.3</v>
      </c>
      <c r="D132" s="23">
        <f t="shared" si="1"/>
        <v>-775</v>
      </c>
      <c r="E132" s="3"/>
    </row>
    <row r="133" spans="1:5" ht="16" x14ac:dyDescent="0.2">
      <c r="A133" s="20">
        <v>44652</v>
      </c>
      <c r="B133" s="11">
        <v>17844.7</v>
      </c>
      <c r="D133" s="23">
        <f t="shared" ref="D133:D196" si="2">B133-B132</f>
        <v>-941.59999999999854</v>
      </c>
      <c r="E133" s="3"/>
    </row>
    <row r="134" spans="1:5" ht="16" x14ac:dyDescent="0.2">
      <c r="A134" s="20">
        <v>44653</v>
      </c>
      <c r="B134" s="11">
        <v>17844.7</v>
      </c>
      <c r="D134" s="23">
        <f t="shared" si="2"/>
        <v>0</v>
      </c>
      <c r="E134" s="3"/>
    </row>
    <row r="135" spans="1:5" ht="16" x14ac:dyDescent="0.2">
      <c r="A135" s="20">
        <v>44654</v>
      </c>
      <c r="B135" s="11">
        <v>17844.7</v>
      </c>
      <c r="D135" s="23">
        <f t="shared" si="2"/>
        <v>0</v>
      </c>
      <c r="E135" s="3"/>
    </row>
    <row r="136" spans="1:5" ht="16" x14ac:dyDescent="0.2">
      <c r="A136" s="20">
        <v>44655</v>
      </c>
      <c r="B136" s="11">
        <v>17015.900000000001</v>
      </c>
      <c r="D136" s="23">
        <f t="shared" si="2"/>
        <v>-828.79999999999927</v>
      </c>
      <c r="E136" s="3"/>
    </row>
    <row r="137" spans="1:5" ht="16" x14ac:dyDescent="0.2">
      <c r="A137" s="20">
        <v>44656</v>
      </c>
      <c r="B137" s="11">
        <v>17030.7</v>
      </c>
      <c r="D137" s="23">
        <f t="shared" si="2"/>
        <v>14.799999999999272</v>
      </c>
      <c r="E137" s="3"/>
    </row>
    <row r="138" spans="1:5" ht="16" x14ac:dyDescent="0.2">
      <c r="A138" s="20">
        <v>44657</v>
      </c>
      <c r="B138" s="11">
        <v>18521.3</v>
      </c>
      <c r="D138" s="23">
        <f t="shared" si="2"/>
        <v>1490.5999999999985</v>
      </c>
      <c r="E138" s="3"/>
    </row>
    <row r="139" spans="1:5" ht="16" x14ac:dyDescent="0.2">
      <c r="A139" s="20">
        <v>44658</v>
      </c>
      <c r="B139" s="11">
        <v>18782.599999999999</v>
      </c>
      <c r="D139" s="23">
        <f t="shared" si="2"/>
        <v>261.29999999999927</v>
      </c>
      <c r="E139" s="3"/>
    </row>
    <row r="140" spans="1:5" ht="16" x14ac:dyDescent="0.2">
      <c r="A140" s="20">
        <v>44659</v>
      </c>
      <c r="B140" s="11">
        <v>20237.7</v>
      </c>
      <c r="D140" s="23">
        <f t="shared" si="2"/>
        <v>1455.1000000000022</v>
      </c>
      <c r="E140" s="3"/>
    </row>
    <row r="141" spans="1:5" ht="16" x14ac:dyDescent="0.2">
      <c r="A141" s="20">
        <v>44660</v>
      </c>
      <c r="B141" s="11">
        <v>20237.7</v>
      </c>
      <c r="D141" s="23">
        <f t="shared" si="2"/>
        <v>0</v>
      </c>
      <c r="E141" s="3"/>
    </row>
    <row r="142" spans="1:5" ht="16" x14ac:dyDescent="0.2">
      <c r="A142" s="20">
        <v>44661</v>
      </c>
      <c r="B142" s="11">
        <v>20237.7</v>
      </c>
      <c r="D142" s="23">
        <f t="shared" si="2"/>
        <v>0</v>
      </c>
      <c r="E142" s="3"/>
    </row>
    <row r="143" spans="1:5" ht="16" x14ac:dyDescent="0.2">
      <c r="A143" s="20">
        <v>44662</v>
      </c>
      <c r="B143" s="11">
        <v>21326.5</v>
      </c>
      <c r="D143" s="23">
        <f t="shared" si="2"/>
        <v>1088.7999999999993</v>
      </c>
      <c r="E143" s="3"/>
    </row>
    <row r="144" spans="1:5" ht="16" x14ac:dyDescent="0.2">
      <c r="A144" s="20">
        <v>44663</v>
      </c>
      <c r="B144" s="11">
        <v>21726.9</v>
      </c>
      <c r="D144" s="23">
        <f t="shared" si="2"/>
        <v>400.40000000000146</v>
      </c>
      <c r="E144" s="3"/>
    </row>
    <row r="145" spans="1:5" ht="16" x14ac:dyDescent="0.2">
      <c r="A145" s="20">
        <v>44664</v>
      </c>
      <c r="B145" s="11">
        <v>22177.8</v>
      </c>
      <c r="D145" s="23">
        <f t="shared" si="2"/>
        <v>450.89999999999782</v>
      </c>
      <c r="E145" s="3"/>
    </row>
    <row r="146" spans="1:5" ht="16" x14ac:dyDescent="0.2">
      <c r="A146" s="20">
        <v>44665</v>
      </c>
      <c r="B146" s="11">
        <v>22805.7</v>
      </c>
      <c r="D146" s="23">
        <f t="shared" si="2"/>
        <v>627.90000000000146</v>
      </c>
      <c r="E146" s="3"/>
    </row>
    <row r="147" spans="1:5" ht="16" x14ac:dyDescent="0.2">
      <c r="A147" s="20">
        <v>44666</v>
      </c>
      <c r="B147" s="11">
        <v>22805.7</v>
      </c>
      <c r="D147" s="23">
        <f t="shared" si="2"/>
        <v>0</v>
      </c>
      <c r="E147" s="3"/>
    </row>
    <row r="148" spans="1:5" ht="16" x14ac:dyDescent="0.2">
      <c r="A148" s="20">
        <v>44667</v>
      </c>
      <c r="B148" s="11">
        <v>22805.7</v>
      </c>
      <c r="D148" s="23">
        <f t="shared" si="2"/>
        <v>0</v>
      </c>
      <c r="E148" s="3"/>
    </row>
    <row r="149" spans="1:5" ht="16" x14ac:dyDescent="0.2">
      <c r="A149" s="20">
        <v>44668</v>
      </c>
      <c r="B149" s="11">
        <v>22805.7</v>
      </c>
      <c r="D149" s="23">
        <f t="shared" si="2"/>
        <v>0</v>
      </c>
      <c r="E149" s="3"/>
    </row>
    <row r="150" spans="1:5" ht="16" x14ac:dyDescent="0.2">
      <c r="A150" s="20">
        <v>44669</v>
      </c>
      <c r="B150" s="11">
        <v>23136.9</v>
      </c>
      <c r="D150" s="23">
        <f t="shared" si="2"/>
        <v>331.20000000000073</v>
      </c>
      <c r="E150" s="3"/>
    </row>
    <row r="151" spans="1:5" ht="16" x14ac:dyDescent="0.2">
      <c r="A151" s="20">
        <v>44670</v>
      </c>
      <c r="B151" s="11">
        <v>22337.4</v>
      </c>
      <c r="D151" s="23">
        <f t="shared" si="2"/>
        <v>-799.5</v>
      </c>
      <c r="E151" s="3"/>
    </row>
    <row r="152" spans="1:5" ht="16" x14ac:dyDescent="0.2">
      <c r="A152" s="20">
        <v>44671</v>
      </c>
      <c r="B152" s="11">
        <v>24135.3</v>
      </c>
      <c r="D152" s="23">
        <f t="shared" si="2"/>
        <v>1797.8999999999978</v>
      </c>
      <c r="E152" s="3"/>
    </row>
    <row r="153" spans="1:5" ht="16" x14ac:dyDescent="0.2">
      <c r="A153" s="20">
        <v>44672</v>
      </c>
      <c r="B153" s="11">
        <v>25140.6</v>
      </c>
      <c r="D153" s="23">
        <f t="shared" si="2"/>
        <v>1005.2999999999993</v>
      </c>
      <c r="E153" s="3"/>
    </row>
    <row r="154" spans="1:5" ht="16" x14ac:dyDescent="0.2">
      <c r="A154" s="20">
        <v>44673</v>
      </c>
      <c r="B154" s="11">
        <v>24230.9</v>
      </c>
      <c r="D154" s="23">
        <f t="shared" si="2"/>
        <v>-909.69999999999709</v>
      </c>
      <c r="E154" s="3"/>
    </row>
    <row r="155" spans="1:5" ht="16" x14ac:dyDescent="0.2">
      <c r="A155" s="20">
        <v>44674</v>
      </c>
      <c r="B155" s="11">
        <v>24230.9</v>
      </c>
      <c r="D155" s="23">
        <f t="shared" si="2"/>
        <v>0</v>
      </c>
      <c r="E155" s="3"/>
    </row>
    <row r="156" spans="1:5" ht="16" x14ac:dyDescent="0.2">
      <c r="A156" s="20">
        <v>44675</v>
      </c>
      <c r="B156" s="11">
        <v>24230.9</v>
      </c>
      <c r="D156" s="23">
        <f t="shared" si="2"/>
        <v>0</v>
      </c>
      <c r="E156" s="3"/>
    </row>
    <row r="157" spans="1:5" ht="16" x14ac:dyDescent="0.2">
      <c r="A157" s="20">
        <v>44676</v>
      </c>
      <c r="B157" s="11">
        <v>23705.7</v>
      </c>
      <c r="D157" s="23">
        <f t="shared" si="2"/>
        <v>-525.20000000000073</v>
      </c>
      <c r="E157" s="3"/>
    </row>
    <row r="158" spans="1:5" ht="16" x14ac:dyDescent="0.2">
      <c r="A158" s="20">
        <v>44677</v>
      </c>
      <c r="B158" s="11">
        <v>24967.200000000001</v>
      </c>
      <c r="D158" s="23">
        <f t="shared" si="2"/>
        <v>1261.5</v>
      </c>
      <c r="E158" s="3"/>
    </row>
    <row r="159" spans="1:5" ht="16" x14ac:dyDescent="0.2">
      <c r="A159" s="20">
        <v>44678</v>
      </c>
      <c r="B159" s="11">
        <v>25211.9</v>
      </c>
      <c r="D159" s="23">
        <f t="shared" si="2"/>
        <v>244.70000000000073</v>
      </c>
      <c r="E159" s="3"/>
    </row>
    <row r="160" spans="1:5" ht="16" x14ac:dyDescent="0.2">
      <c r="A160" s="20">
        <v>44679</v>
      </c>
      <c r="B160" s="11">
        <v>24562.1</v>
      </c>
      <c r="D160" s="23">
        <f t="shared" si="2"/>
        <v>-649.80000000000291</v>
      </c>
      <c r="E160" s="3"/>
    </row>
    <row r="161" spans="1:5" ht="16" x14ac:dyDescent="0.2">
      <c r="A161" s="20">
        <v>44680</v>
      </c>
      <c r="B161" s="11">
        <v>24580.5</v>
      </c>
      <c r="D161" s="23">
        <f t="shared" si="2"/>
        <v>18.400000000001455</v>
      </c>
      <c r="E161" s="3"/>
    </row>
    <row r="162" spans="1:5" ht="16" x14ac:dyDescent="0.2">
      <c r="A162" s="20">
        <v>44683</v>
      </c>
      <c r="B162" s="11">
        <v>24786.5</v>
      </c>
      <c r="D162" s="23">
        <f t="shared" si="2"/>
        <v>206</v>
      </c>
      <c r="E162" s="3"/>
    </row>
    <row r="163" spans="1:5" ht="16" x14ac:dyDescent="0.2">
      <c r="A163" s="20">
        <v>44684</v>
      </c>
      <c r="B163" s="11">
        <v>25238.7</v>
      </c>
      <c r="D163" s="23">
        <f t="shared" si="2"/>
        <v>452.20000000000073</v>
      </c>
      <c r="E163" s="3"/>
    </row>
    <row r="164" spans="1:5" ht="16" x14ac:dyDescent="0.2">
      <c r="A164" s="20">
        <v>44685</v>
      </c>
      <c r="B164" s="11">
        <v>25365.7</v>
      </c>
      <c r="D164" s="23">
        <f t="shared" si="2"/>
        <v>127</v>
      </c>
      <c r="E164" s="3"/>
    </row>
    <row r="165" spans="1:5" ht="16" x14ac:dyDescent="0.2">
      <c r="A165" s="20">
        <v>44686</v>
      </c>
      <c r="B165" s="11">
        <v>26254.2</v>
      </c>
      <c r="D165" s="23">
        <f t="shared" si="2"/>
        <v>888.5</v>
      </c>
      <c r="E165" s="3"/>
    </row>
    <row r="166" spans="1:5" ht="16" x14ac:dyDescent="0.2">
      <c r="A166" s="20">
        <v>44687</v>
      </c>
      <c r="B166" s="11">
        <v>27086.400000000001</v>
      </c>
      <c r="D166" s="23">
        <f t="shared" si="2"/>
        <v>832.20000000000073</v>
      </c>
      <c r="E166" s="3"/>
    </row>
    <row r="167" spans="1:5" ht="16" x14ac:dyDescent="0.2">
      <c r="A167" s="20">
        <v>44690</v>
      </c>
      <c r="B167" s="11">
        <v>27997.200000000001</v>
      </c>
      <c r="D167" s="23">
        <f t="shared" si="2"/>
        <v>910.79999999999927</v>
      </c>
      <c r="E167" s="3"/>
    </row>
    <row r="168" spans="1:5" ht="16" x14ac:dyDescent="0.2">
      <c r="A168" s="20">
        <v>44691</v>
      </c>
      <c r="B168" s="11">
        <v>27843.200000000001</v>
      </c>
      <c r="D168" s="23">
        <f t="shared" si="2"/>
        <v>-154</v>
      </c>
      <c r="E168" s="3"/>
    </row>
    <row r="169" spans="1:5" ht="16" x14ac:dyDescent="0.2">
      <c r="A169" s="20">
        <v>44692</v>
      </c>
      <c r="B169" s="11">
        <v>28172.400000000001</v>
      </c>
      <c r="D169" s="23">
        <f t="shared" si="2"/>
        <v>329.20000000000073</v>
      </c>
      <c r="E169" s="3"/>
    </row>
    <row r="170" spans="1:5" ht="16" x14ac:dyDescent="0.2">
      <c r="A170" s="20">
        <v>44693</v>
      </c>
      <c r="B170" s="11">
        <v>27968.2</v>
      </c>
      <c r="D170" s="23">
        <f t="shared" si="2"/>
        <v>-204.20000000000073</v>
      </c>
      <c r="E170" s="3"/>
    </row>
    <row r="171" spans="1:5" ht="16" x14ac:dyDescent="0.2">
      <c r="A171" s="20">
        <v>44694</v>
      </c>
      <c r="B171" s="11">
        <v>27097.3</v>
      </c>
      <c r="D171" s="23">
        <f t="shared" si="2"/>
        <v>-870.90000000000146</v>
      </c>
      <c r="E171" s="3"/>
    </row>
    <row r="172" spans="1:5" ht="16" x14ac:dyDescent="0.2">
      <c r="A172" s="20">
        <v>44697</v>
      </c>
      <c r="B172" s="11">
        <v>27956.400000000001</v>
      </c>
      <c r="D172" s="23">
        <f t="shared" si="2"/>
        <v>859.10000000000218</v>
      </c>
      <c r="E172" s="3"/>
    </row>
    <row r="173" spans="1:5" ht="16" x14ac:dyDescent="0.2">
      <c r="A173" s="20">
        <v>44698</v>
      </c>
      <c r="B173" s="11">
        <v>28102.7</v>
      </c>
      <c r="D173" s="23">
        <f t="shared" si="2"/>
        <v>146.29999999999927</v>
      </c>
      <c r="E173" s="3"/>
    </row>
    <row r="174" spans="1:5" ht="16" x14ac:dyDescent="0.2">
      <c r="A174" s="20">
        <v>44699</v>
      </c>
      <c r="B174" s="11">
        <v>28476.6</v>
      </c>
      <c r="D174" s="23">
        <f t="shared" si="2"/>
        <v>373.89999999999782</v>
      </c>
      <c r="E174" s="3"/>
    </row>
    <row r="175" spans="1:5" ht="16" x14ac:dyDescent="0.2">
      <c r="A175" s="20">
        <v>44700</v>
      </c>
      <c r="B175" s="11">
        <v>27476.6</v>
      </c>
      <c r="D175" s="23">
        <f t="shared" si="2"/>
        <v>-1000</v>
      </c>
      <c r="E175" s="3"/>
    </row>
    <row r="176" spans="1:5" ht="16" x14ac:dyDescent="0.2">
      <c r="A176" s="20">
        <v>44701</v>
      </c>
      <c r="B176" s="11">
        <v>27245.3</v>
      </c>
      <c r="D176" s="23">
        <f t="shared" si="2"/>
        <v>-231.29999999999927</v>
      </c>
      <c r="E176" s="3"/>
    </row>
    <row r="177" spans="1:5" ht="16" x14ac:dyDescent="0.2">
      <c r="A177" s="20">
        <v>44704</v>
      </c>
      <c r="B177" s="11">
        <v>27442.3</v>
      </c>
      <c r="D177" s="23">
        <f t="shared" si="2"/>
        <v>197</v>
      </c>
      <c r="E177" s="3"/>
    </row>
    <row r="178" spans="1:5" ht="16" x14ac:dyDescent="0.2">
      <c r="A178" s="20">
        <v>44705</v>
      </c>
      <c r="B178" s="11">
        <v>28235.3</v>
      </c>
      <c r="D178" s="23">
        <f t="shared" si="2"/>
        <v>793</v>
      </c>
      <c r="E178" s="3"/>
    </row>
    <row r="179" spans="1:5" ht="16" x14ac:dyDescent="0.2">
      <c r="A179" s="20">
        <v>44706</v>
      </c>
      <c r="B179" s="11">
        <v>28399.7</v>
      </c>
      <c r="D179" s="23">
        <f t="shared" si="2"/>
        <v>164.40000000000146</v>
      </c>
      <c r="E179" s="3"/>
    </row>
    <row r="180" spans="1:5" ht="16" x14ac:dyDescent="0.2">
      <c r="A180" s="20">
        <v>44707</v>
      </c>
      <c r="B180" s="11">
        <v>27949.200000000001</v>
      </c>
      <c r="D180" s="23">
        <f t="shared" si="2"/>
        <v>-450.5</v>
      </c>
      <c r="E180" s="3"/>
    </row>
    <row r="181" spans="1:5" ht="16" x14ac:dyDescent="0.2">
      <c r="A181" s="20">
        <v>44708</v>
      </c>
      <c r="B181" s="11">
        <v>27138.400000000001</v>
      </c>
      <c r="D181" s="23">
        <f t="shared" si="2"/>
        <v>-810.79999999999927</v>
      </c>
      <c r="E181" s="3"/>
    </row>
    <row r="182" spans="1:5" ht="16" x14ac:dyDescent="0.2">
      <c r="A182" s="20">
        <v>44711</v>
      </c>
      <c r="B182" s="11">
        <v>26783</v>
      </c>
      <c r="D182" s="23">
        <f t="shared" si="2"/>
        <v>-355.40000000000146</v>
      </c>
      <c r="E182" s="3"/>
    </row>
    <row r="183" spans="1:5" ht="16" x14ac:dyDescent="0.2">
      <c r="A183" s="20">
        <v>44712</v>
      </c>
      <c r="B183" s="11">
        <v>26796.1</v>
      </c>
      <c r="D183" s="23">
        <f t="shared" si="2"/>
        <v>13.099999999998545</v>
      </c>
      <c r="E183" s="3"/>
    </row>
    <row r="184" spans="1:5" ht="16" x14ac:dyDescent="0.2">
      <c r="A184" s="20">
        <v>44713</v>
      </c>
      <c r="B184" s="11">
        <v>27333.8</v>
      </c>
      <c r="D184" s="23">
        <f t="shared" si="2"/>
        <v>537.70000000000073</v>
      </c>
      <c r="E184" s="3"/>
    </row>
    <row r="185" spans="1:5" ht="16" x14ac:dyDescent="0.2">
      <c r="A185" s="20">
        <v>44714</v>
      </c>
      <c r="B185" s="11">
        <v>26334.3</v>
      </c>
      <c r="D185" s="23">
        <f t="shared" si="2"/>
        <v>-999.5</v>
      </c>
      <c r="E185" s="3"/>
    </row>
    <row r="186" spans="1:5" ht="16" x14ac:dyDescent="0.2">
      <c r="A186" s="20">
        <v>44715</v>
      </c>
      <c r="B186" s="11">
        <v>26988.2</v>
      </c>
      <c r="D186" s="23">
        <f t="shared" si="2"/>
        <v>653.90000000000146</v>
      </c>
      <c r="E186" s="3"/>
    </row>
    <row r="187" spans="1:5" ht="16" x14ac:dyDescent="0.2">
      <c r="A187" s="20">
        <v>44718</v>
      </c>
      <c r="B187" s="11">
        <v>26761.1</v>
      </c>
      <c r="D187" s="23">
        <f t="shared" si="2"/>
        <v>-227.10000000000218</v>
      </c>
      <c r="E187" s="3"/>
    </row>
    <row r="188" spans="1:5" ht="16" x14ac:dyDescent="0.2">
      <c r="A188" s="20">
        <v>44719</v>
      </c>
      <c r="B188" s="11">
        <v>26962.3</v>
      </c>
      <c r="D188" s="23">
        <f t="shared" si="2"/>
        <v>201.20000000000073</v>
      </c>
      <c r="E188" s="3"/>
    </row>
    <row r="189" spans="1:5" ht="16" x14ac:dyDescent="0.2">
      <c r="A189" s="20">
        <v>44720</v>
      </c>
      <c r="B189" s="11">
        <v>26563.9</v>
      </c>
      <c r="D189" s="23">
        <f t="shared" si="2"/>
        <v>-398.39999999999782</v>
      </c>
      <c r="E189" s="3"/>
    </row>
    <row r="190" spans="1:5" ht="16" x14ac:dyDescent="0.2">
      <c r="A190" s="20">
        <v>44721</v>
      </c>
      <c r="B190" s="11">
        <v>27013.3</v>
      </c>
      <c r="D190" s="23">
        <f t="shared" si="2"/>
        <v>449.39999999999782</v>
      </c>
      <c r="E190" s="3"/>
    </row>
    <row r="191" spans="1:5" ht="16" x14ac:dyDescent="0.2">
      <c r="A191" s="20">
        <v>44722</v>
      </c>
      <c r="B191" s="11">
        <v>27297.4</v>
      </c>
      <c r="D191" s="23">
        <f t="shared" si="2"/>
        <v>284.10000000000218</v>
      </c>
      <c r="E191" s="3"/>
    </row>
    <row r="192" spans="1:5" ht="16" x14ac:dyDescent="0.2">
      <c r="A192" s="20">
        <v>44725</v>
      </c>
      <c r="B192" s="11">
        <v>28166.7</v>
      </c>
      <c r="D192" s="23">
        <f t="shared" si="2"/>
        <v>869.29999999999927</v>
      </c>
      <c r="E192" s="3"/>
    </row>
    <row r="193" spans="1:5" ht="16" x14ac:dyDescent="0.2">
      <c r="A193" s="20">
        <v>44726</v>
      </c>
      <c r="B193" s="11">
        <v>28780.5</v>
      </c>
      <c r="D193" s="23">
        <f t="shared" si="2"/>
        <v>613.79999999999927</v>
      </c>
      <c r="E193" s="3"/>
    </row>
    <row r="194" spans="1:5" ht="16" x14ac:dyDescent="0.2">
      <c r="A194" s="20">
        <v>44727</v>
      </c>
      <c r="B194" s="11">
        <v>28082.7</v>
      </c>
      <c r="D194" s="23">
        <f t="shared" si="2"/>
        <v>-697.79999999999927</v>
      </c>
      <c r="E194" s="3"/>
    </row>
    <row r="195" spans="1:5" ht="16" x14ac:dyDescent="0.2">
      <c r="A195" s="20">
        <v>44728</v>
      </c>
      <c r="B195" s="11">
        <v>28224.2</v>
      </c>
      <c r="D195" s="23">
        <f t="shared" si="2"/>
        <v>141.5</v>
      </c>
      <c r="E195" s="3"/>
    </row>
    <row r="196" spans="1:5" ht="16" x14ac:dyDescent="0.2">
      <c r="A196" s="20">
        <v>44729</v>
      </c>
      <c r="B196" s="11">
        <v>27165.7</v>
      </c>
      <c r="D196" s="23">
        <f t="shared" si="2"/>
        <v>-1058.5</v>
      </c>
      <c r="E196" s="3"/>
    </row>
    <row r="197" spans="1:5" ht="16" x14ac:dyDescent="0.2">
      <c r="A197" s="20">
        <v>44732</v>
      </c>
      <c r="B197" s="11">
        <v>27150.400000000001</v>
      </c>
      <c r="D197" s="23">
        <f t="shared" ref="D197:D260" si="3">B197-B196</f>
        <v>-15.299999999999272</v>
      </c>
      <c r="E197" s="3"/>
    </row>
    <row r="198" spans="1:5" ht="16" x14ac:dyDescent="0.2">
      <c r="A198" s="20">
        <v>44733</v>
      </c>
      <c r="B198" s="11">
        <v>27205.8</v>
      </c>
      <c r="D198" s="23">
        <f t="shared" si="3"/>
        <v>55.399999999997817</v>
      </c>
      <c r="E198" s="3"/>
    </row>
    <row r="199" spans="1:5" ht="16" x14ac:dyDescent="0.2">
      <c r="A199" s="20">
        <v>44734</v>
      </c>
      <c r="B199" s="11">
        <v>26496.5</v>
      </c>
      <c r="D199" s="23">
        <f t="shared" si="3"/>
        <v>-709.29999999999927</v>
      </c>
      <c r="E199" s="3"/>
    </row>
    <row r="200" spans="1:5" ht="16" x14ac:dyDescent="0.2">
      <c r="A200" s="20">
        <v>44735</v>
      </c>
      <c r="B200" s="11">
        <v>25881.599999999999</v>
      </c>
      <c r="D200" s="23">
        <f t="shared" si="3"/>
        <v>-614.90000000000146</v>
      </c>
      <c r="E200" s="3"/>
    </row>
    <row r="201" spans="1:5" ht="16" x14ac:dyDescent="0.2">
      <c r="A201" s="20">
        <v>44736</v>
      </c>
      <c r="B201" s="11">
        <v>25632.400000000001</v>
      </c>
      <c r="D201" s="23">
        <f t="shared" si="3"/>
        <v>-249.19999999999709</v>
      </c>
      <c r="E201" s="3"/>
    </row>
    <row r="202" spans="1:5" ht="16" x14ac:dyDescent="0.2">
      <c r="A202" s="20">
        <v>44739</v>
      </c>
      <c r="B202" s="11">
        <v>26167</v>
      </c>
      <c r="D202" s="23">
        <f t="shared" si="3"/>
        <v>534.59999999999854</v>
      </c>
      <c r="E202" s="3"/>
    </row>
    <row r="203" spans="1:5" ht="16" x14ac:dyDescent="0.2">
      <c r="A203" s="20">
        <v>44740</v>
      </c>
      <c r="B203" s="11">
        <v>27076.5</v>
      </c>
      <c r="D203" s="23">
        <f t="shared" si="3"/>
        <v>909.5</v>
      </c>
      <c r="E203" s="3"/>
    </row>
    <row r="204" spans="1:5" ht="16" x14ac:dyDescent="0.2">
      <c r="A204" s="20">
        <v>44741</v>
      </c>
      <c r="B204" s="11">
        <v>27214.5</v>
      </c>
      <c r="D204" s="23">
        <f t="shared" si="3"/>
        <v>138</v>
      </c>
      <c r="E204" s="3"/>
    </row>
    <row r="205" spans="1:5" ht="16" x14ac:dyDescent="0.2">
      <c r="A205" s="20">
        <v>44742</v>
      </c>
      <c r="B205" s="11">
        <v>27451.5</v>
      </c>
      <c r="D205" s="23">
        <f t="shared" si="3"/>
        <v>237</v>
      </c>
      <c r="E205" s="3"/>
    </row>
    <row r="206" spans="1:5" ht="16" x14ac:dyDescent="0.2">
      <c r="A206" s="20">
        <v>44743</v>
      </c>
      <c r="B206" s="11">
        <v>26738.400000000001</v>
      </c>
      <c r="D206" s="23">
        <f t="shared" si="3"/>
        <v>-713.09999999999854</v>
      </c>
      <c r="E206" s="3"/>
    </row>
    <row r="207" spans="1:5" ht="16" x14ac:dyDescent="0.2">
      <c r="A207" s="20">
        <v>44746</v>
      </c>
      <c r="B207" s="11">
        <v>27032.799999999999</v>
      </c>
      <c r="D207" s="23">
        <f t="shared" si="3"/>
        <v>294.39999999999782</v>
      </c>
      <c r="E207" s="3"/>
    </row>
    <row r="208" spans="1:5" ht="16" x14ac:dyDescent="0.2">
      <c r="A208" s="20">
        <v>44747</v>
      </c>
      <c r="B208" s="11">
        <v>25967.3</v>
      </c>
      <c r="D208" s="23">
        <f t="shared" si="3"/>
        <v>-1065.5</v>
      </c>
      <c r="E208" s="3"/>
    </row>
    <row r="209" spans="1:5" ht="16" x14ac:dyDescent="0.2">
      <c r="A209" s="20">
        <v>44748</v>
      </c>
      <c r="B209" s="11">
        <v>25574.1</v>
      </c>
      <c r="D209" s="23">
        <f t="shared" si="3"/>
        <v>-393.20000000000073</v>
      </c>
      <c r="E209" s="3"/>
    </row>
    <row r="210" spans="1:5" ht="16" x14ac:dyDescent="0.2">
      <c r="A210" s="20">
        <v>44749</v>
      </c>
      <c r="B210" s="11">
        <v>25504.799999999999</v>
      </c>
      <c r="D210" s="23">
        <f t="shared" si="3"/>
        <v>-69.299999999999272</v>
      </c>
      <c r="E210" s="3"/>
    </row>
    <row r="211" spans="1:5" ht="16" x14ac:dyDescent="0.2">
      <c r="A211" s="20">
        <v>44750</v>
      </c>
      <c r="B211" s="11">
        <v>25595.7</v>
      </c>
      <c r="D211" s="23">
        <f t="shared" si="3"/>
        <v>90.900000000001455</v>
      </c>
      <c r="E211" s="3"/>
    </row>
    <row r="212" spans="1:5" ht="16" x14ac:dyDescent="0.2">
      <c r="A212" s="20">
        <v>44753</v>
      </c>
      <c r="B212" s="11">
        <v>26425.200000000001</v>
      </c>
      <c r="D212" s="23">
        <f t="shared" si="3"/>
        <v>829.5</v>
      </c>
      <c r="E212" s="3"/>
    </row>
    <row r="213" spans="1:5" ht="16" x14ac:dyDescent="0.2">
      <c r="A213" s="20">
        <v>44754</v>
      </c>
      <c r="B213" s="11">
        <v>26605</v>
      </c>
      <c r="D213" s="23">
        <f t="shared" si="3"/>
        <v>179.79999999999927</v>
      </c>
      <c r="E213" s="3"/>
    </row>
    <row r="214" spans="1:5" ht="16" x14ac:dyDescent="0.2">
      <c r="A214" s="20">
        <v>44755</v>
      </c>
      <c r="B214" s="11">
        <v>26788</v>
      </c>
      <c r="D214" s="23">
        <f t="shared" si="3"/>
        <v>183</v>
      </c>
      <c r="E214" s="3"/>
    </row>
    <row r="215" spans="1:5" ht="16" x14ac:dyDescent="0.2">
      <c r="A215" s="20">
        <v>44756</v>
      </c>
      <c r="B215" s="11">
        <v>26454.2</v>
      </c>
      <c r="D215" s="23">
        <f t="shared" si="3"/>
        <v>-333.79999999999927</v>
      </c>
      <c r="E215" s="3"/>
    </row>
    <row r="216" spans="1:5" ht="16" x14ac:dyDescent="0.2">
      <c r="A216" s="20">
        <v>44757</v>
      </c>
      <c r="B216" s="11">
        <v>26298.3</v>
      </c>
      <c r="D216" s="23">
        <f t="shared" si="3"/>
        <v>-155.90000000000146</v>
      </c>
      <c r="E216" s="3"/>
    </row>
    <row r="217" spans="1:5" ht="16" x14ac:dyDescent="0.2">
      <c r="A217" s="20">
        <v>44760</v>
      </c>
      <c r="B217" s="11">
        <v>26073.5</v>
      </c>
      <c r="D217" s="23">
        <f t="shared" si="3"/>
        <v>-224.79999999999927</v>
      </c>
      <c r="E217" s="3"/>
    </row>
    <row r="218" spans="1:5" ht="16" x14ac:dyDescent="0.2">
      <c r="A218" s="20">
        <v>44761</v>
      </c>
      <c r="B218" s="11">
        <v>25872</v>
      </c>
      <c r="D218" s="23">
        <f t="shared" si="3"/>
        <v>-201.5</v>
      </c>
      <c r="E218" s="3"/>
    </row>
    <row r="219" spans="1:5" ht="16" x14ac:dyDescent="0.2">
      <c r="A219" s="20">
        <v>44762</v>
      </c>
      <c r="B219" s="11">
        <v>25104.3</v>
      </c>
      <c r="D219" s="23">
        <f t="shared" si="3"/>
        <v>-767.70000000000073</v>
      </c>
      <c r="E219" s="3"/>
    </row>
    <row r="220" spans="1:5" ht="16" x14ac:dyDescent="0.2">
      <c r="A220" s="20">
        <v>44763</v>
      </c>
      <c r="B220" s="11">
        <v>24439.1</v>
      </c>
      <c r="D220" s="23">
        <f t="shared" si="3"/>
        <v>-665.20000000000073</v>
      </c>
      <c r="E220" s="3"/>
    </row>
    <row r="221" spans="1:5" ht="16" x14ac:dyDescent="0.2">
      <c r="A221" s="20">
        <v>44764</v>
      </c>
      <c r="B221" s="11">
        <v>24364.1</v>
      </c>
      <c r="D221" s="23">
        <f t="shared" si="3"/>
        <v>-75</v>
      </c>
      <c r="E221" s="3"/>
    </row>
    <row r="222" spans="1:5" ht="16" x14ac:dyDescent="0.2">
      <c r="A222" s="20">
        <v>44767</v>
      </c>
      <c r="B222" s="11">
        <v>25076.3</v>
      </c>
      <c r="D222" s="23">
        <f t="shared" si="3"/>
        <v>712.20000000000073</v>
      </c>
      <c r="E222" s="3"/>
    </row>
    <row r="223" spans="1:5" ht="16" x14ac:dyDescent="0.2">
      <c r="A223" s="20">
        <v>44768</v>
      </c>
      <c r="B223" s="11">
        <v>25584.7</v>
      </c>
      <c r="D223" s="23">
        <f t="shared" si="3"/>
        <v>508.40000000000146</v>
      </c>
      <c r="E223" s="3"/>
    </row>
    <row r="224" spans="1:5" ht="16" x14ac:dyDescent="0.2">
      <c r="A224" s="20">
        <v>44769</v>
      </c>
      <c r="B224" s="11">
        <v>24743.4</v>
      </c>
      <c r="D224" s="23">
        <f t="shared" si="3"/>
        <v>-841.29999999999927</v>
      </c>
      <c r="E224" s="3"/>
    </row>
    <row r="225" spans="1:5" ht="16" x14ac:dyDescent="0.2">
      <c r="A225" s="20">
        <v>44770</v>
      </c>
      <c r="B225" s="11">
        <v>23970.2</v>
      </c>
      <c r="D225" s="23">
        <f t="shared" si="3"/>
        <v>-773.20000000000073</v>
      </c>
      <c r="E225" s="3"/>
    </row>
    <row r="226" spans="1:5" ht="16" x14ac:dyDescent="0.2">
      <c r="A226" s="20">
        <v>44771</v>
      </c>
      <c r="B226" s="11">
        <v>23608.400000000001</v>
      </c>
      <c r="D226" s="23">
        <f t="shared" si="3"/>
        <v>-361.79999999999927</v>
      </c>
      <c r="E226" s="3"/>
    </row>
    <row r="227" spans="1:5" ht="16" x14ac:dyDescent="0.2">
      <c r="A227" s="20">
        <v>44774</v>
      </c>
      <c r="B227" s="11">
        <v>23415.3</v>
      </c>
      <c r="D227" s="23">
        <f t="shared" si="3"/>
        <v>-193.10000000000218</v>
      </c>
      <c r="E227" s="3"/>
    </row>
    <row r="228" spans="1:5" ht="16" x14ac:dyDescent="0.2">
      <c r="A228" s="20">
        <v>44775</v>
      </c>
      <c r="B228" s="11">
        <v>23320.2</v>
      </c>
      <c r="D228" s="23">
        <f t="shared" si="3"/>
        <v>-95.099999999998545</v>
      </c>
      <c r="E228" s="3"/>
    </row>
    <row r="229" spans="1:5" ht="16" x14ac:dyDescent="0.2">
      <c r="A229" s="20">
        <v>44776</v>
      </c>
      <c r="B229" s="11">
        <v>22466.7</v>
      </c>
      <c r="D229" s="23">
        <f t="shared" si="3"/>
        <v>-853.5</v>
      </c>
      <c r="E229" s="3"/>
    </row>
    <row r="230" spans="1:5" ht="16" x14ac:dyDescent="0.2">
      <c r="A230" s="20">
        <v>44777</v>
      </c>
      <c r="B230" s="11">
        <v>22033.8</v>
      </c>
      <c r="D230" s="23">
        <f t="shared" si="3"/>
        <v>-432.90000000000146</v>
      </c>
      <c r="E230" s="3"/>
    </row>
    <row r="231" spans="1:5" ht="16" x14ac:dyDescent="0.2">
      <c r="A231" s="20">
        <v>44778</v>
      </c>
      <c r="B231" s="11">
        <v>22774</v>
      </c>
      <c r="D231" s="23">
        <f t="shared" si="3"/>
        <v>740.20000000000073</v>
      </c>
      <c r="E231" s="3"/>
    </row>
    <row r="232" spans="1:5" ht="16" x14ac:dyDescent="0.2">
      <c r="A232" s="20">
        <v>44781</v>
      </c>
      <c r="B232" s="11">
        <v>22894.9</v>
      </c>
      <c r="D232" s="23">
        <f t="shared" si="3"/>
        <v>120.90000000000146</v>
      </c>
      <c r="E232" s="3"/>
    </row>
    <row r="233" spans="1:5" ht="16" x14ac:dyDescent="0.2">
      <c r="A233" s="20">
        <v>44782</v>
      </c>
      <c r="B233" s="11">
        <v>23542.1</v>
      </c>
      <c r="D233" s="23">
        <f t="shared" si="3"/>
        <v>647.19999999999709</v>
      </c>
      <c r="E233" s="3"/>
    </row>
    <row r="234" spans="1:5" ht="16" x14ac:dyDescent="0.2">
      <c r="A234" s="20">
        <v>44783</v>
      </c>
      <c r="B234" s="11">
        <v>22879.3</v>
      </c>
      <c r="D234" s="23">
        <f t="shared" si="3"/>
        <v>-662.79999999999927</v>
      </c>
      <c r="E234" s="3"/>
    </row>
    <row r="235" spans="1:5" ht="16" x14ac:dyDescent="0.2">
      <c r="A235" s="20">
        <v>44784</v>
      </c>
      <c r="B235" s="11">
        <v>23356</v>
      </c>
      <c r="D235" s="23">
        <f t="shared" si="3"/>
        <v>476.70000000000073</v>
      </c>
      <c r="E235" s="3"/>
    </row>
    <row r="236" spans="1:5" ht="16" x14ac:dyDescent="0.2">
      <c r="A236" s="20">
        <v>44785</v>
      </c>
      <c r="B236" s="11">
        <v>23391.8</v>
      </c>
      <c r="D236" s="23">
        <f t="shared" si="3"/>
        <v>35.799999999999272</v>
      </c>
      <c r="E236" s="3"/>
    </row>
    <row r="237" spans="1:5" ht="16" x14ac:dyDescent="0.2">
      <c r="A237" s="20">
        <v>44788</v>
      </c>
      <c r="B237" s="11">
        <v>22940.7</v>
      </c>
      <c r="D237" s="23">
        <f t="shared" si="3"/>
        <v>-451.09999999999854</v>
      </c>
      <c r="E237" s="3"/>
    </row>
    <row r="238" spans="1:5" ht="16" x14ac:dyDescent="0.2">
      <c r="A238" s="20">
        <v>44789</v>
      </c>
      <c r="B238" s="11">
        <v>23520.3</v>
      </c>
      <c r="D238" s="23">
        <f t="shared" si="3"/>
        <v>579.59999999999854</v>
      </c>
      <c r="E238" s="3"/>
    </row>
    <row r="239" spans="1:5" ht="16" x14ac:dyDescent="0.2">
      <c r="A239" s="20">
        <v>44790</v>
      </c>
      <c r="B239" s="11">
        <v>23672.7</v>
      </c>
      <c r="D239" s="23">
        <f t="shared" si="3"/>
        <v>152.40000000000146</v>
      </c>
      <c r="E239" s="3"/>
    </row>
    <row r="240" spans="1:5" ht="16" x14ac:dyDescent="0.2">
      <c r="A240" s="20">
        <v>44791</v>
      </c>
      <c r="B240" s="11">
        <v>24237.8</v>
      </c>
      <c r="D240" s="23">
        <f t="shared" si="3"/>
        <v>565.09999999999854</v>
      </c>
      <c r="E240" s="3"/>
    </row>
    <row r="241" spans="1:5" ht="16" x14ac:dyDescent="0.2">
      <c r="A241" s="20">
        <v>44792</v>
      </c>
      <c r="B241" s="11">
        <v>24922</v>
      </c>
      <c r="D241" s="23">
        <f t="shared" si="3"/>
        <v>684.20000000000073</v>
      </c>
      <c r="E241" s="3"/>
    </row>
    <row r="242" spans="1:5" ht="16" x14ac:dyDescent="0.2">
      <c r="A242" s="20">
        <v>44795</v>
      </c>
      <c r="B242" s="11">
        <v>25241.200000000001</v>
      </c>
      <c r="D242" s="23">
        <f t="shared" si="3"/>
        <v>319.20000000000073</v>
      </c>
      <c r="E242" s="3"/>
    </row>
    <row r="243" spans="1:5" ht="16" x14ac:dyDescent="0.2">
      <c r="A243" s="20">
        <v>44796</v>
      </c>
      <c r="B243" s="11">
        <v>25638.3</v>
      </c>
      <c r="D243" s="23">
        <f t="shared" si="3"/>
        <v>397.09999999999854</v>
      </c>
      <c r="E243" s="3"/>
    </row>
    <row r="244" spans="1:5" ht="16" x14ac:dyDescent="0.2">
      <c r="A244" s="20">
        <v>44797</v>
      </c>
      <c r="B244" s="11">
        <v>25146.5</v>
      </c>
      <c r="D244" s="23">
        <f t="shared" si="3"/>
        <v>-491.79999999999927</v>
      </c>
      <c r="E244" s="3"/>
    </row>
    <row r="245" spans="1:5" ht="16" x14ac:dyDescent="0.2">
      <c r="A245" s="20">
        <v>44798</v>
      </c>
      <c r="B245" s="11">
        <v>25243.599999999999</v>
      </c>
      <c r="D245" s="23">
        <f t="shared" si="3"/>
        <v>97.099999999998545</v>
      </c>
      <c r="E245" s="3"/>
    </row>
    <row r="246" spans="1:5" ht="16" x14ac:dyDescent="0.2">
      <c r="A246" s="20">
        <v>44799</v>
      </c>
      <c r="B246" s="11">
        <v>25735.8</v>
      </c>
      <c r="D246" s="23">
        <f t="shared" si="3"/>
        <v>492.20000000000073</v>
      </c>
      <c r="E246" s="3"/>
    </row>
    <row r="247" spans="1:5" ht="16" x14ac:dyDescent="0.2">
      <c r="A247" s="20">
        <v>44802</v>
      </c>
      <c r="B247" s="11">
        <v>25992.3</v>
      </c>
      <c r="D247" s="23">
        <f t="shared" si="3"/>
        <v>256.5</v>
      </c>
      <c r="E247" s="3"/>
    </row>
    <row r="248" spans="1:5" ht="16" x14ac:dyDescent="0.2">
      <c r="A248" s="20">
        <v>44803</v>
      </c>
      <c r="B248" s="11">
        <v>25823.9</v>
      </c>
      <c r="D248" s="23">
        <f t="shared" si="3"/>
        <v>-168.39999999999782</v>
      </c>
      <c r="E248" s="3"/>
    </row>
    <row r="249" spans="1:5" ht="16" x14ac:dyDescent="0.2">
      <c r="A249" s="20">
        <v>44804</v>
      </c>
      <c r="B249" s="11">
        <v>25778</v>
      </c>
      <c r="D249" s="23">
        <f t="shared" si="3"/>
        <v>-45.900000000001455</v>
      </c>
      <c r="E249" s="3"/>
    </row>
    <row r="250" spans="1:5" ht="16" x14ac:dyDescent="0.2">
      <c r="A250" s="20">
        <v>44805</v>
      </c>
      <c r="B250" s="11">
        <v>26117.9</v>
      </c>
      <c r="D250" s="23">
        <f t="shared" si="3"/>
        <v>339.90000000000146</v>
      </c>
      <c r="E250" s="3"/>
    </row>
    <row r="251" spans="1:5" ht="16" x14ac:dyDescent="0.2">
      <c r="A251" s="20">
        <v>44806</v>
      </c>
      <c r="B251" s="11">
        <v>26225.9</v>
      </c>
      <c r="D251" s="23">
        <f t="shared" si="3"/>
        <v>108</v>
      </c>
      <c r="E251" s="3"/>
    </row>
    <row r="252" spans="1:5" ht="16" x14ac:dyDescent="0.2">
      <c r="A252" s="20">
        <v>44809</v>
      </c>
      <c r="B252" s="11">
        <v>26196.400000000001</v>
      </c>
      <c r="D252" s="23">
        <f t="shared" si="3"/>
        <v>-29.5</v>
      </c>
      <c r="E252" s="3"/>
    </row>
    <row r="253" spans="1:5" ht="16" x14ac:dyDescent="0.2">
      <c r="A253" s="20">
        <v>44810</v>
      </c>
      <c r="B253" s="11">
        <v>26075.3</v>
      </c>
      <c r="D253" s="23">
        <f t="shared" si="3"/>
        <v>-121.10000000000218</v>
      </c>
      <c r="E253" s="3"/>
    </row>
    <row r="254" spans="1:5" ht="16" x14ac:dyDescent="0.2">
      <c r="A254" s="20">
        <v>44811</v>
      </c>
      <c r="B254" s="11">
        <v>25508.1</v>
      </c>
      <c r="D254" s="23">
        <f t="shared" si="3"/>
        <v>-567.20000000000073</v>
      </c>
      <c r="E254" s="3"/>
    </row>
    <row r="255" spans="1:5" ht="16" x14ac:dyDescent="0.2">
      <c r="A255" s="20">
        <v>44812</v>
      </c>
      <c r="B255" s="11">
        <v>25307.599999999999</v>
      </c>
      <c r="D255" s="23">
        <f t="shared" si="3"/>
        <v>-200.5</v>
      </c>
      <c r="E255" s="3"/>
    </row>
    <row r="256" spans="1:5" ht="16" x14ac:dyDescent="0.2">
      <c r="A256" s="20">
        <v>44813</v>
      </c>
      <c r="B256" s="11">
        <v>25217.599999999999</v>
      </c>
      <c r="D256" s="23">
        <f t="shared" si="3"/>
        <v>-90</v>
      </c>
      <c r="E256" s="3"/>
    </row>
    <row r="257" spans="1:5" ht="16" x14ac:dyDescent="0.2">
      <c r="A257" s="20">
        <v>44816</v>
      </c>
      <c r="B257" s="11">
        <v>25390.7</v>
      </c>
      <c r="D257" s="23">
        <f t="shared" si="3"/>
        <v>173.10000000000218</v>
      </c>
      <c r="E257" s="3"/>
    </row>
    <row r="258" spans="1:5" ht="16" x14ac:dyDescent="0.2">
      <c r="A258" s="20">
        <v>44817</v>
      </c>
      <c r="B258" s="11">
        <v>26101.200000000001</v>
      </c>
      <c r="D258" s="23">
        <f t="shared" si="3"/>
        <v>710.5</v>
      </c>
      <c r="E258" s="3"/>
    </row>
    <row r="259" spans="1:5" ht="16" x14ac:dyDescent="0.2">
      <c r="A259" s="20">
        <v>44818</v>
      </c>
      <c r="B259" s="11">
        <v>25755.599999999999</v>
      </c>
      <c r="D259" s="23">
        <f t="shared" si="3"/>
        <v>-345.60000000000218</v>
      </c>
      <c r="E259" s="3"/>
    </row>
    <row r="260" spans="1:5" ht="16" x14ac:dyDescent="0.2">
      <c r="A260" s="20">
        <v>44819</v>
      </c>
      <c r="B260" s="11">
        <v>25902.799999999999</v>
      </c>
      <c r="D260" s="23">
        <f t="shared" si="3"/>
        <v>147.20000000000073</v>
      </c>
      <c r="E260" s="3"/>
    </row>
    <row r="261" spans="1:5" ht="16" x14ac:dyDescent="0.2">
      <c r="A261" s="20">
        <v>44820</v>
      </c>
      <c r="B261" s="11">
        <v>25999.9</v>
      </c>
      <c r="D261" s="23">
        <f t="shared" ref="D261:D324" si="4">B261-B260</f>
        <v>97.100000000002183</v>
      </c>
      <c r="E261" s="3"/>
    </row>
    <row r="262" spans="1:5" ht="16" x14ac:dyDescent="0.2">
      <c r="A262" s="20">
        <v>44823</v>
      </c>
      <c r="B262" s="11">
        <v>26378.9</v>
      </c>
      <c r="D262" s="23">
        <f t="shared" si="4"/>
        <v>379</v>
      </c>
      <c r="E262" s="3"/>
    </row>
    <row r="263" spans="1:5" ht="16" x14ac:dyDescent="0.2">
      <c r="A263" s="20">
        <v>44824</v>
      </c>
      <c r="B263" s="11">
        <v>26402.5</v>
      </c>
      <c r="D263" s="23">
        <f t="shared" si="4"/>
        <v>23.599999999998545</v>
      </c>
      <c r="E263" s="3"/>
    </row>
    <row r="264" spans="1:5" ht="16" x14ac:dyDescent="0.2">
      <c r="A264" s="20">
        <v>44825</v>
      </c>
      <c r="B264" s="11">
        <v>26405.4</v>
      </c>
      <c r="D264" s="23">
        <f t="shared" si="4"/>
        <v>2.9000000000014552</v>
      </c>
      <c r="E264" s="3"/>
    </row>
    <row r="265" spans="1:5" ht="16" x14ac:dyDescent="0.2">
      <c r="A265" s="20">
        <v>44826</v>
      </c>
      <c r="B265" s="11">
        <v>27397.7</v>
      </c>
      <c r="D265" s="23">
        <f t="shared" si="4"/>
        <v>992.29999999999927</v>
      </c>
      <c r="E265" s="3"/>
    </row>
    <row r="266" spans="1:5" ht="16" x14ac:dyDescent="0.2">
      <c r="A266" s="20">
        <v>44827</v>
      </c>
      <c r="B266" s="11">
        <v>27210.7</v>
      </c>
      <c r="D266" s="23">
        <f t="shared" si="4"/>
        <v>-187</v>
      </c>
      <c r="E266" s="3"/>
    </row>
    <row r="267" spans="1:5" ht="16" x14ac:dyDescent="0.2">
      <c r="A267" s="20">
        <v>44830</v>
      </c>
      <c r="B267" s="11">
        <v>26828.2</v>
      </c>
      <c r="D267" s="23">
        <f t="shared" si="4"/>
        <v>-382.5</v>
      </c>
      <c r="E267" s="3"/>
    </row>
    <row r="268" spans="1:5" ht="16" x14ac:dyDescent="0.2">
      <c r="A268" s="20">
        <v>44831</v>
      </c>
      <c r="B268" s="11">
        <v>26331.9</v>
      </c>
      <c r="D268" s="23">
        <f t="shared" si="4"/>
        <v>-496.29999999999927</v>
      </c>
      <c r="E268" s="3"/>
    </row>
    <row r="269" spans="1:5" ht="16" x14ac:dyDescent="0.2">
      <c r="A269" s="20">
        <v>44832</v>
      </c>
      <c r="B269" s="11">
        <v>26065</v>
      </c>
      <c r="D269" s="23">
        <f t="shared" si="4"/>
        <v>-266.90000000000146</v>
      </c>
      <c r="E269" s="3"/>
    </row>
    <row r="270" spans="1:5" ht="16" x14ac:dyDescent="0.2">
      <c r="A270" s="20">
        <v>44833</v>
      </c>
      <c r="B270" s="11">
        <v>26551</v>
      </c>
      <c r="D270" s="23">
        <f t="shared" si="4"/>
        <v>486</v>
      </c>
      <c r="E270" s="3"/>
    </row>
    <row r="271" spans="1:5" ht="16" x14ac:dyDescent="0.2">
      <c r="A271" s="20">
        <v>44834</v>
      </c>
      <c r="B271" s="11">
        <v>26660</v>
      </c>
      <c r="D271" s="23">
        <f t="shared" si="4"/>
        <v>109</v>
      </c>
      <c r="E271" s="3"/>
    </row>
    <row r="272" spans="1:5" ht="16" x14ac:dyDescent="0.2">
      <c r="A272" s="20">
        <v>44837</v>
      </c>
      <c r="B272" s="11">
        <v>27096.3</v>
      </c>
      <c r="D272" s="23">
        <f t="shared" si="4"/>
        <v>436.29999999999927</v>
      </c>
      <c r="E272" s="3"/>
    </row>
    <row r="273" spans="1:5" ht="16" x14ac:dyDescent="0.2">
      <c r="A273" s="20">
        <v>44838</v>
      </c>
      <c r="B273" s="11">
        <v>26817.3</v>
      </c>
      <c r="D273" s="23">
        <f t="shared" si="4"/>
        <v>-279</v>
      </c>
      <c r="E273" s="3"/>
    </row>
    <row r="274" spans="1:5" ht="16" x14ac:dyDescent="0.2">
      <c r="A274" s="20">
        <v>44839</v>
      </c>
      <c r="B274" s="11">
        <v>27140</v>
      </c>
      <c r="D274" s="23">
        <f t="shared" si="4"/>
        <v>322.70000000000073</v>
      </c>
      <c r="E274" s="3"/>
    </row>
    <row r="275" spans="1:5" ht="16" x14ac:dyDescent="0.2">
      <c r="A275" s="20">
        <v>44840</v>
      </c>
      <c r="B275" s="11">
        <v>27064.3</v>
      </c>
      <c r="D275" s="23">
        <f t="shared" si="4"/>
        <v>-75.700000000000728</v>
      </c>
      <c r="E275" s="3"/>
    </row>
    <row r="276" spans="1:5" ht="16" x14ac:dyDescent="0.2">
      <c r="A276" s="20">
        <v>44841</v>
      </c>
      <c r="B276" s="11">
        <v>27470.799999999999</v>
      </c>
      <c r="D276" s="23">
        <f t="shared" si="4"/>
        <v>406.5</v>
      </c>
      <c r="E276" s="3"/>
    </row>
    <row r="277" spans="1:5" ht="16" x14ac:dyDescent="0.2">
      <c r="A277" s="20">
        <v>44844</v>
      </c>
      <c r="B277" s="11">
        <v>27883.1</v>
      </c>
      <c r="D277" s="23">
        <f t="shared" si="4"/>
        <v>412.29999999999927</v>
      </c>
      <c r="E277" s="3"/>
    </row>
    <row r="278" spans="1:5" ht="16" x14ac:dyDescent="0.2">
      <c r="A278" s="20">
        <v>44845</v>
      </c>
      <c r="B278" s="11">
        <v>28184.2</v>
      </c>
      <c r="D278" s="23">
        <f t="shared" si="4"/>
        <v>301.10000000000218</v>
      </c>
      <c r="E278" s="3"/>
    </row>
    <row r="279" spans="1:5" ht="16" x14ac:dyDescent="0.2">
      <c r="A279" s="20">
        <v>44846</v>
      </c>
      <c r="B279" s="11">
        <v>28008.3</v>
      </c>
      <c r="D279" s="23">
        <f t="shared" si="4"/>
        <v>-175.90000000000146</v>
      </c>
      <c r="E279" s="3"/>
    </row>
    <row r="280" spans="1:5" ht="16" x14ac:dyDescent="0.2">
      <c r="A280" s="20">
        <v>44847</v>
      </c>
      <c r="B280" s="11">
        <v>28383.599999999999</v>
      </c>
      <c r="D280" s="23">
        <f t="shared" si="4"/>
        <v>375.29999999999927</v>
      </c>
      <c r="E280" s="3"/>
    </row>
    <row r="281" spans="1:5" ht="16" x14ac:dyDescent="0.2">
      <c r="A281" s="20">
        <v>44848</v>
      </c>
      <c r="B281" s="11">
        <v>28269</v>
      </c>
      <c r="D281" s="23">
        <f t="shared" si="4"/>
        <v>-114.59999999999854</v>
      </c>
      <c r="E281" s="3"/>
    </row>
    <row r="282" spans="1:5" ht="16" x14ac:dyDescent="0.2">
      <c r="A282" s="20">
        <v>44851</v>
      </c>
      <c r="B282" s="11">
        <v>27932.9</v>
      </c>
      <c r="D282" s="23">
        <f t="shared" si="4"/>
        <v>-336.09999999999854</v>
      </c>
      <c r="E282" s="3"/>
    </row>
    <row r="283" spans="1:5" ht="16" x14ac:dyDescent="0.2">
      <c r="A283" s="20">
        <v>44852</v>
      </c>
      <c r="B283" s="11">
        <v>27733.3</v>
      </c>
      <c r="D283" s="23">
        <f t="shared" si="4"/>
        <v>-199.60000000000218</v>
      </c>
      <c r="E283" s="3"/>
    </row>
    <row r="284" spans="1:5" ht="16" x14ac:dyDescent="0.2">
      <c r="A284" s="20">
        <v>44853</v>
      </c>
      <c r="B284" s="11">
        <v>27991.7</v>
      </c>
      <c r="D284" s="23">
        <f t="shared" si="4"/>
        <v>258.40000000000146</v>
      </c>
      <c r="E284" s="3"/>
    </row>
    <row r="285" spans="1:5" ht="16" x14ac:dyDescent="0.2">
      <c r="A285" s="20">
        <v>44854</v>
      </c>
      <c r="B285" s="11">
        <v>27687.3</v>
      </c>
      <c r="D285" s="23">
        <f t="shared" si="4"/>
        <v>-304.40000000000146</v>
      </c>
      <c r="E285" s="3"/>
    </row>
    <row r="286" spans="1:5" ht="16" x14ac:dyDescent="0.2">
      <c r="A286" s="20">
        <v>44855</v>
      </c>
      <c r="B286" s="11">
        <v>27801.9</v>
      </c>
      <c r="D286" s="23">
        <f t="shared" si="4"/>
        <v>114.60000000000218</v>
      </c>
      <c r="E286" s="3"/>
    </row>
    <row r="287" spans="1:5" ht="16" x14ac:dyDescent="0.2">
      <c r="A287" s="20">
        <v>44858</v>
      </c>
      <c r="B287" s="11">
        <v>28237.200000000001</v>
      </c>
      <c r="D287" s="23">
        <f t="shared" si="4"/>
        <v>435.29999999999927</v>
      </c>
      <c r="E287" s="3"/>
    </row>
    <row r="288" spans="1:5" ht="16" x14ac:dyDescent="0.2">
      <c r="A288" s="20">
        <v>44859</v>
      </c>
      <c r="B288" s="11">
        <v>27390.6</v>
      </c>
      <c r="D288" s="23">
        <f t="shared" si="4"/>
        <v>-846.60000000000218</v>
      </c>
      <c r="E288" s="3"/>
    </row>
    <row r="289" spans="1:5" ht="16" x14ac:dyDescent="0.2">
      <c r="A289" s="20">
        <v>44860</v>
      </c>
      <c r="B289" s="11">
        <v>27548.6</v>
      </c>
      <c r="D289" s="23">
        <f t="shared" si="4"/>
        <v>158</v>
      </c>
      <c r="E289" s="3"/>
    </row>
    <row r="290" spans="1:5" ht="16" x14ac:dyDescent="0.2">
      <c r="A290" s="20">
        <v>44861</v>
      </c>
      <c r="B290" s="11">
        <v>27522.2</v>
      </c>
      <c r="D290" s="23">
        <f t="shared" si="4"/>
        <v>-26.399999999997817</v>
      </c>
      <c r="E290" s="3"/>
    </row>
    <row r="291" spans="1:5" ht="16" x14ac:dyDescent="0.2">
      <c r="A291" s="20">
        <v>44862</v>
      </c>
      <c r="B291" s="11">
        <v>27708.1</v>
      </c>
      <c r="D291" s="23">
        <f t="shared" si="4"/>
        <v>185.89999999999782</v>
      </c>
      <c r="E291" s="3"/>
    </row>
    <row r="292" spans="1:5" ht="16" x14ac:dyDescent="0.2">
      <c r="A292" s="20">
        <v>44865</v>
      </c>
      <c r="B292" s="11">
        <v>27668.3</v>
      </c>
      <c r="D292" s="23">
        <f t="shared" si="4"/>
        <v>-39.799999999999272</v>
      </c>
      <c r="E292" s="3"/>
    </row>
    <row r="293" spans="1:5" ht="16" x14ac:dyDescent="0.2">
      <c r="A293" s="20">
        <v>44866</v>
      </c>
      <c r="B293" s="11">
        <v>27250.6</v>
      </c>
      <c r="D293" s="23">
        <f t="shared" si="4"/>
        <v>-417.70000000000073</v>
      </c>
      <c r="E293" s="3"/>
    </row>
    <row r="294" spans="1:5" ht="16" x14ac:dyDescent="0.2">
      <c r="A294" s="20">
        <v>44867</v>
      </c>
      <c r="B294" s="11">
        <v>26999</v>
      </c>
      <c r="D294" s="23">
        <f t="shared" si="4"/>
        <v>-251.59999999999854</v>
      </c>
      <c r="E294" s="3"/>
    </row>
    <row r="295" spans="1:5" ht="16" x14ac:dyDescent="0.2">
      <c r="A295" s="20">
        <v>44868</v>
      </c>
      <c r="B295" s="11">
        <v>27150.799999999999</v>
      </c>
      <c r="D295" s="23">
        <f t="shared" si="4"/>
        <v>151.79999999999927</v>
      </c>
      <c r="E295" s="3"/>
    </row>
    <row r="296" spans="1:5" ht="16" x14ac:dyDescent="0.2">
      <c r="A296" s="20">
        <v>44869</v>
      </c>
      <c r="B296" s="11">
        <v>27278.5</v>
      </c>
      <c r="D296" s="23">
        <f t="shared" si="4"/>
        <v>127.70000000000073</v>
      </c>
      <c r="E296" s="3"/>
    </row>
    <row r="297" spans="1:5" ht="16" x14ac:dyDescent="0.2">
      <c r="A297" s="20">
        <v>44872</v>
      </c>
      <c r="B297" s="11">
        <v>27133.599999999999</v>
      </c>
      <c r="D297" s="23">
        <f t="shared" si="4"/>
        <v>-144.90000000000146</v>
      </c>
      <c r="E297" s="3"/>
    </row>
    <row r="298" spans="1:5" ht="16" x14ac:dyDescent="0.2">
      <c r="A298" s="20">
        <v>44873</v>
      </c>
      <c r="B298" s="11">
        <v>26719.599999999999</v>
      </c>
      <c r="D298" s="23">
        <f t="shared" si="4"/>
        <v>-414</v>
      </c>
      <c r="E298" s="3"/>
    </row>
    <row r="299" spans="1:5" ht="16" x14ac:dyDescent="0.2">
      <c r="A299" s="20">
        <v>44874</v>
      </c>
      <c r="B299" s="11">
        <v>26643.1</v>
      </c>
      <c r="D299" s="23">
        <f t="shared" si="4"/>
        <v>-76.5</v>
      </c>
      <c r="E299" s="3"/>
    </row>
    <row r="300" spans="1:5" ht="16" x14ac:dyDescent="0.2">
      <c r="A300" s="20">
        <v>44875</v>
      </c>
      <c r="B300" s="11">
        <v>25253.599999999999</v>
      </c>
      <c r="D300" s="23">
        <f t="shared" si="4"/>
        <v>-1389.5</v>
      </c>
      <c r="E300" s="3"/>
    </row>
    <row r="301" spans="1:5" ht="16" x14ac:dyDescent="0.2">
      <c r="A301" s="20">
        <v>44876</v>
      </c>
      <c r="B301" s="11">
        <v>24390.5</v>
      </c>
      <c r="D301" s="23">
        <f t="shared" si="4"/>
        <v>-863.09999999999854</v>
      </c>
      <c r="E301" s="3"/>
    </row>
    <row r="302" spans="1:5" ht="16" x14ac:dyDescent="0.2">
      <c r="A302" s="20">
        <v>44879</v>
      </c>
      <c r="B302" s="11">
        <v>25080.400000000001</v>
      </c>
      <c r="D302" s="23">
        <f t="shared" si="4"/>
        <v>689.90000000000146</v>
      </c>
      <c r="E302" s="3"/>
    </row>
    <row r="303" spans="1:5" ht="16" x14ac:dyDescent="0.2">
      <c r="A303" s="20">
        <v>44880</v>
      </c>
      <c r="B303" s="11">
        <v>25262.5</v>
      </c>
      <c r="D303" s="23">
        <f t="shared" si="4"/>
        <v>182.09999999999854</v>
      </c>
      <c r="E303" s="3"/>
    </row>
    <row r="304" spans="1:5" ht="16" x14ac:dyDescent="0.2">
      <c r="A304" s="20">
        <v>44881</v>
      </c>
      <c r="B304" s="11">
        <v>25939.3</v>
      </c>
      <c r="D304" s="23">
        <f t="shared" si="4"/>
        <v>676.79999999999927</v>
      </c>
      <c r="E304" s="3"/>
    </row>
    <row r="305" spans="1:5" ht="16" x14ac:dyDescent="0.2">
      <c r="A305" s="20">
        <v>44882</v>
      </c>
      <c r="B305" s="11">
        <v>26331.3</v>
      </c>
      <c r="D305" s="23">
        <f t="shared" si="4"/>
        <v>392</v>
      </c>
      <c r="E305" s="3"/>
    </row>
    <row r="306" spans="1:5" ht="16" x14ac:dyDescent="0.2">
      <c r="A306" s="20">
        <v>44883</v>
      </c>
      <c r="B306" s="11">
        <v>26879.200000000001</v>
      </c>
      <c r="D306" s="23">
        <f t="shared" si="4"/>
        <v>547.90000000000146</v>
      </c>
      <c r="E306" s="3"/>
    </row>
    <row r="307" spans="1:5" ht="16" x14ac:dyDescent="0.2">
      <c r="A307" s="20">
        <v>44886</v>
      </c>
      <c r="B307" s="11">
        <v>27284.2</v>
      </c>
      <c r="D307" s="23">
        <f t="shared" si="4"/>
        <v>405</v>
      </c>
      <c r="E307" s="3"/>
    </row>
    <row r="308" spans="1:5" ht="16" x14ac:dyDescent="0.2">
      <c r="A308" s="20">
        <v>44887</v>
      </c>
      <c r="B308" s="11">
        <v>27464.799999999999</v>
      </c>
      <c r="D308" s="23">
        <f t="shared" si="4"/>
        <v>180.59999999999854</v>
      </c>
      <c r="E308" s="3"/>
    </row>
    <row r="309" spans="1:5" ht="16" x14ac:dyDescent="0.2">
      <c r="A309" s="20">
        <v>44888</v>
      </c>
      <c r="B309" s="11">
        <v>26989</v>
      </c>
      <c r="D309" s="23">
        <f t="shared" si="4"/>
        <v>-475.79999999999927</v>
      </c>
      <c r="E309" s="3"/>
    </row>
    <row r="310" spans="1:5" ht="16" x14ac:dyDescent="0.2">
      <c r="A310" s="20">
        <v>44889</v>
      </c>
      <c r="B310" s="11">
        <v>26897.8</v>
      </c>
      <c r="D310" s="23">
        <f t="shared" si="4"/>
        <v>-91.200000000000728</v>
      </c>
      <c r="E310" s="3"/>
    </row>
    <row r="311" spans="1:5" ht="16" x14ac:dyDescent="0.2">
      <c r="A311" s="20">
        <v>44890</v>
      </c>
      <c r="B311" s="11">
        <v>27044.799999999999</v>
      </c>
      <c r="D311" s="23">
        <f t="shared" si="4"/>
        <v>147</v>
      </c>
      <c r="E311" s="3"/>
    </row>
    <row r="312" spans="1:5" ht="16" x14ac:dyDescent="0.2">
      <c r="A312" s="20">
        <v>44893</v>
      </c>
      <c r="B312" s="11">
        <v>27041</v>
      </c>
      <c r="D312" s="23">
        <f t="shared" si="4"/>
        <v>-3.7999999999992724</v>
      </c>
      <c r="E312" s="3"/>
    </row>
    <row r="313" spans="1:5" ht="16" x14ac:dyDescent="0.2">
      <c r="A313" s="20">
        <v>44894</v>
      </c>
      <c r="B313" s="11">
        <v>27600.2</v>
      </c>
      <c r="D313" s="23">
        <f t="shared" si="4"/>
        <v>559.20000000000073</v>
      </c>
      <c r="E313" s="3"/>
    </row>
    <row r="314" spans="1:5" ht="16" x14ac:dyDescent="0.2">
      <c r="A314" s="20">
        <v>44895</v>
      </c>
      <c r="B314" s="11">
        <v>26657.599999999999</v>
      </c>
      <c r="D314" s="23">
        <f t="shared" si="4"/>
        <v>-942.60000000000218</v>
      </c>
      <c r="E314" s="3"/>
    </row>
    <row r="315" spans="1:5" ht="16" x14ac:dyDescent="0.2">
      <c r="A315" s="21">
        <v>44896</v>
      </c>
      <c r="B315" s="11">
        <v>26657.599999999999</v>
      </c>
      <c r="D315" s="23">
        <f t="shared" si="4"/>
        <v>0</v>
      </c>
      <c r="E315" s="3"/>
    </row>
    <row r="316" spans="1:5" ht="16" x14ac:dyDescent="0.2">
      <c r="A316" s="21">
        <v>44897</v>
      </c>
      <c r="B316" s="11">
        <v>26788.799999999999</v>
      </c>
      <c r="D316" s="23">
        <f t="shared" si="4"/>
        <v>131.20000000000073</v>
      </c>
      <c r="E316" s="3"/>
    </row>
    <row r="317" spans="1:5" ht="16" x14ac:dyDescent="0.2">
      <c r="A317" s="21">
        <v>44900</v>
      </c>
      <c r="B317" s="11">
        <v>27170.400000000001</v>
      </c>
      <c r="D317" s="23">
        <f t="shared" si="4"/>
        <v>381.60000000000218</v>
      </c>
      <c r="E317" s="3"/>
    </row>
    <row r="318" spans="1:5" ht="16" x14ac:dyDescent="0.2">
      <c r="A318" s="21">
        <v>44901</v>
      </c>
      <c r="B318" s="11">
        <v>27580.400000000001</v>
      </c>
      <c r="D318" s="23">
        <f t="shared" si="4"/>
        <v>410</v>
      </c>
      <c r="E318" s="3"/>
    </row>
    <row r="319" spans="1:5" ht="16" x14ac:dyDescent="0.2">
      <c r="A319" s="21">
        <v>44902</v>
      </c>
      <c r="B319" s="11">
        <v>27712.799999999999</v>
      </c>
      <c r="D319" s="23">
        <f t="shared" si="4"/>
        <v>132.39999999999782</v>
      </c>
      <c r="E319" s="3"/>
    </row>
    <row r="320" spans="1:5" ht="16" x14ac:dyDescent="0.2">
      <c r="A320" s="21">
        <v>44903</v>
      </c>
      <c r="B320" s="11">
        <v>27391.9</v>
      </c>
      <c r="D320" s="23">
        <f t="shared" si="4"/>
        <v>-320.89999999999782</v>
      </c>
      <c r="E320" s="3"/>
    </row>
    <row r="321" spans="1:5" ht="16" x14ac:dyDescent="0.2">
      <c r="A321" s="21">
        <v>44904</v>
      </c>
      <c r="B321" s="11">
        <v>27259.599999999999</v>
      </c>
      <c r="D321" s="23">
        <f t="shared" si="4"/>
        <v>-132.30000000000291</v>
      </c>
      <c r="E321" s="3"/>
    </row>
    <row r="322" spans="1:5" ht="16" x14ac:dyDescent="0.2">
      <c r="A322" s="21">
        <v>44907</v>
      </c>
      <c r="B322" s="11">
        <v>27016.6</v>
      </c>
      <c r="D322" s="23">
        <f t="shared" si="4"/>
        <v>-243</v>
      </c>
      <c r="E322" s="3"/>
    </row>
    <row r="323" spans="1:5" ht="16" x14ac:dyDescent="0.2">
      <c r="A323" s="21">
        <v>44908</v>
      </c>
      <c r="B323" s="11">
        <v>26700.3</v>
      </c>
      <c r="D323" s="23">
        <f t="shared" si="4"/>
        <v>-316.29999999999927</v>
      </c>
      <c r="E323" s="3"/>
    </row>
    <row r="324" spans="1:5" ht="16" x14ac:dyDescent="0.2">
      <c r="A324" s="21">
        <v>44909</v>
      </c>
      <c r="B324" s="11">
        <v>26923.8</v>
      </c>
      <c r="D324" s="23">
        <f t="shared" si="4"/>
        <v>223.5</v>
      </c>
      <c r="E324" s="3"/>
    </row>
    <row r="325" spans="1:5" ht="16" x14ac:dyDescent="0.2">
      <c r="A325" s="21">
        <v>44910</v>
      </c>
      <c r="B325" s="11">
        <v>27391.9</v>
      </c>
      <c r="D325" s="23">
        <f t="shared" ref="D325:D388" si="5">B325-B324</f>
        <v>468.10000000000218</v>
      </c>
      <c r="E325" s="3"/>
    </row>
    <row r="326" spans="1:5" ht="16" x14ac:dyDescent="0.2">
      <c r="A326" s="21">
        <v>44911</v>
      </c>
      <c r="B326" s="11">
        <v>27842.400000000001</v>
      </c>
      <c r="D326" s="23">
        <f t="shared" si="5"/>
        <v>450.5</v>
      </c>
      <c r="E326" s="3"/>
    </row>
    <row r="327" spans="1:5" ht="16" x14ac:dyDescent="0.2">
      <c r="A327" s="21">
        <v>44914</v>
      </c>
      <c r="B327" s="11">
        <v>28091.200000000001</v>
      </c>
      <c r="D327" s="23">
        <f t="shared" si="5"/>
        <v>248.79999999999927</v>
      </c>
      <c r="E327" s="3"/>
    </row>
    <row r="328" spans="1:5" ht="16" x14ac:dyDescent="0.2">
      <c r="A328" s="21">
        <v>44915</v>
      </c>
      <c r="B328" s="11">
        <v>28385.3</v>
      </c>
      <c r="D328" s="23">
        <f t="shared" si="5"/>
        <v>294.09999999999854</v>
      </c>
      <c r="E328" s="3"/>
    </row>
    <row r="329" spans="1:5" ht="16" x14ac:dyDescent="0.2">
      <c r="A329" s="21">
        <v>44916</v>
      </c>
      <c r="B329" s="11">
        <v>28413.5</v>
      </c>
      <c r="D329" s="23">
        <f t="shared" si="5"/>
        <v>28.200000000000728</v>
      </c>
      <c r="E329" s="3"/>
    </row>
    <row r="330" spans="1:5" ht="16" x14ac:dyDescent="0.2">
      <c r="A330" s="21">
        <v>44917</v>
      </c>
      <c r="B330" s="11">
        <v>28479.4</v>
      </c>
      <c r="D330" s="23">
        <f t="shared" si="5"/>
        <v>65.900000000001455</v>
      </c>
      <c r="E330" s="3"/>
    </row>
    <row r="331" spans="1:5" ht="16" x14ac:dyDescent="0.2">
      <c r="A331" s="21">
        <v>44918</v>
      </c>
      <c r="B331" s="11">
        <v>28546.3</v>
      </c>
      <c r="D331" s="23">
        <f t="shared" si="5"/>
        <v>66.899999999997817</v>
      </c>
      <c r="E331" s="3"/>
    </row>
    <row r="332" spans="1:5" ht="16" x14ac:dyDescent="0.2">
      <c r="A332" s="21">
        <v>44921</v>
      </c>
      <c r="B332" s="11">
        <v>28546.3</v>
      </c>
      <c r="D332" s="23">
        <f t="shared" si="5"/>
        <v>0</v>
      </c>
      <c r="E332" s="3"/>
    </row>
    <row r="333" spans="1:5" ht="16" x14ac:dyDescent="0.2">
      <c r="A333" s="21">
        <v>44922</v>
      </c>
      <c r="B333" s="11">
        <v>28657.1</v>
      </c>
      <c r="D333" s="23">
        <f t="shared" si="5"/>
        <v>110.79999999999927</v>
      </c>
      <c r="E333" s="3"/>
    </row>
    <row r="334" spans="1:5" ht="16" x14ac:dyDescent="0.2">
      <c r="A334" s="21">
        <v>44923</v>
      </c>
      <c r="B334" s="11">
        <v>28702.9</v>
      </c>
      <c r="D334" s="23">
        <f t="shared" si="5"/>
        <v>45.80000000000291</v>
      </c>
      <c r="E334" s="3"/>
    </row>
    <row r="335" spans="1:5" ht="16" x14ac:dyDescent="0.2">
      <c r="A335" s="21">
        <v>44924</v>
      </c>
      <c r="B335" s="11">
        <v>28100.3</v>
      </c>
      <c r="D335" s="23">
        <f t="shared" si="5"/>
        <v>-602.60000000000218</v>
      </c>
      <c r="E335" s="3"/>
    </row>
    <row r="336" spans="1:5" ht="16" x14ac:dyDescent="0.2">
      <c r="A336" s="21">
        <v>44925</v>
      </c>
      <c r="B336" s="11">
        <v>28147.5</v>
      </c>
      <c r="D336" s="23">
        <f t="shared" si="5"/>
        <v>47.200000000000728</v>
      </c>
      <c r="E336" s="3"/>
    </row>
    <row r="337" spans="1:5" ht="16" x14ac:dyDescent="0.2">
      <c r="A337" s="21">
        <v>44928</v>
      </c>
      <c r="B337" s="11">
        <v>28090.799999999999</v>
      </c>
      <c r="D337" s="23">
        <f t="shared" si="5"/>
        <v>-56.700000000000728</v>
      </c>
      <c r="E337" s="3"/>
    </row>
    <row r="338" spans="1:5" ht="16" x14ac:dyDescent="0.2">
      <c r="A338" s="21">
        <v>44929</v>
      </c>
      <c r="B338" s="11">
        <v>27639.4</v>
      </c>
      <c r="D338" s="23">
        <f t="shared" si="5"/>
        <v>-451.39999999999782</v>
      </c>
      <c r="E338" s="3"/>
    </row>
    <row r="339" spans="1:5" ht="16" x14ac:dyDescent="0.2">
      <c r="A339" s="21">
        <v>44930</v>
      </c>
      <c r="B339" s="11">
        <v>26958</v>
      </c>
      <c r="D339" s="23">
        <f t="shared" si="5"/>
        <v>-681.40000000000146</v>
      </c>
      <c r="E339" s="3"/>
    </row>
    <row r="340" spans="1:5" ht="16" x14ac:dyDescent="0.2">
      <c r="A340" s="21">
        <v>44931</v>
      </c>
      <c r="B340" s="11">
        <v>26997.1</v>
      </c>
      <c r="D340" s="23">
        <f t="shared" si="5"/>
        <v>39.099999999998545</v>
      </c>
      <c r="E340" s="3"/>
    </row>
    <row r="341" spans="1:5" ht="16" x14ac:dyDescent="0.2">
      <c r="A341" s="21">
        <v>44932</v>
      </c>
      <c r="B341" s="11">
        <v>26852.9</v>
      </c>
      <c r="D341" s="23">
        <f t="shared" si="5"/>
        <v>-144.19999999999709</v>
      </c>
      <c r="E341" s="3"/>
    </row>
    <row r="342" spans="1:5" ht="16" x14ac:dyDescent="0.2">
      <c r="A342" s="21">
        <v>44935</v>
      </c>
      <c r="B342" s="11">
        <v>26351.9</v>
      </c>
      <c r="D342" s="23">
        <f t="shared" si="5"/>
        <v>-501</v>
      </c>
      <c r="E342" s="3"/>
    </row>
    <row r="343" spans="1:5" ht="16" x14ac:dyDescent="0.2">
      <c r="A343" s="21">
        <v>44936</v>
      </c>
      <c r="B343" s="11">
        <v>25936.400000000001</v>
      </c>
      <c r="D343" s="23">
        <f t="shared" si="5"/>
        <v>-415.5</v>
      </c>
      <c r="E343" s="3"/>
    </row>
    <row r="344" spans="1:5" ht="16" x14ac:dyDescent="0.2">
      <c r="A344" s="21">
        <v>44937</v>
      </c>
      <c r="B344" s="11">
        <v>25634.1</v>
      </c>
      <c r="D344" s="23">
        <f t="shared" si="5"/>
        <v>-302.30000000000291</v>
      </c>
      <c r="E344" s="3"/>
    </row>
    <row r="345" spans="1:5" ht="16" x14ac:dyDescent="0.2">
      <c r="A345" s="21">
        <v>44938</v>
      </c>
      <c r="B345" s="11">
        <v>25727.5</v>
      </c>
      <c r="D345" s="23">
        <f t="shared" si="5"/>
        <v>93.400000000001455</v>
      </c>
      <c r="E345" s="3"/>
    </row>
    <row r="346" spans="1:5" ht="16" x14ac:dyDescent="0.2">
      <c r="A346" s="21">
        <v>44939</v>
      </c>
      <c r="B346" s="11">
        <v>25507.4</v>
      </c>
      <c r="D346" s="23">
        <f t="shared" si="5"/>
        <v>-220.09999999999854</v>
      </c>
      <c r="E346" s="3"/>
    </row>
    <row r="347" spans="1:5" ht="16" x14ac:dyDescent="0.2">
      <c r="A347" s="21">
        <v>44942</v>
      </c>
      <c r="B347" s="11">
        <v>25512.2</v>
      </c>
      <c r="D347" s="23">
        <f t="shared" si="5"/>
        <v>4.7999999999992724</v>
      </c>
      <c r="E347" s="3"/>
    </row>
    <row r="348" spans="1:5" ht="16" x14ac:dyDescent="0.2">
      <c r="A348" s="21">
        <v>44943</v>
      </c>
      <c r="B348" s="11">
        <v>25840.3</v>
      </c>
      <c r="D348" s="23">
        <f t="shared" si="5"/>
        <v>328.09999999999854</v>
      </c>
      <c r="E348" s="3"/>
    </row>
    <row r="349" spans="1:5" ht="16" x14ac:dyDescent="0.2">
      <c r="A349" s="21">
        <v>44944</v>
      </c>
      <c r="B349" s="11">
        <v>25904</v>
      </c>
      <c r="D349" s="23">
        <f t="shared" si="5"/>
        <v>63.700000000000728</v>
      </c>
      <c r="E349" s="3"/>
    </row>
    <row r="350" spans="1:5" ht="16" x14ac:dyDescent="0.2">
      <c r="A350" s="21">
        <v>44945</v>
      </c>
      <c r="B350" s="11">
        <v>26447.4</v>
      </c>
      <c r="D350" s="23">
        <f t="shared" si="5"/>
        <v>543.40000000000146</v>
      </c>
      <c r="E350" s="3"/>
    </row>
    <row r="351" spans="1:5" ht="16" x14ac:dyDescent="0.2">
      <c r="A351" s="21">
        <v>44946</v>
      </c>
      <c r="B351" s="11">
        <v>26082.1</v>
      </c>
      <c r="D351" s="23">
        <f t="shared" si="5"/>
        <v>-365.30000000000291</v>
      </c>
      <c r="E351" s="3"/>
    </row>
    <row r="352" spans="1:5" ht="16" x14ac:dyDescent="0.2">
      <c r="A352" s="21">
        <v>44949</v>
      </c>
      <c r="B352" s="11">
        <v>25546</v>
      </c>
      <c r="D352" s="23">
        <f t="shared" si="5"/>
        <v>-536.09999999999854</v>
      </c>
      <c r="E352" s="3"/>
    </row>
    <row r="353" spans="1:5" ht="16" x14ac:dyDescent="0.2">
      <c r="A353" s="21">
        <v>44950</v>
      </c>
      <c r="B353" s="11">
        <v>25680.9</v>
      </c>
      <c r="D353" s="23">
        <f t="shared" si="5"/>
        <v>134.90000000000146</v>
      </c>
      <c r="E353" s="3"/>
    </row>
    <row r="354" spans="1:5" ht="16" x14ac:dyDescent="0.2">
      <c r="A354" s="21">
        <v>44951</v>
      </c>
      <c r="B354" s="11">
        <v>26000.799999999999</v>
      </c>
      <c r="D354" s="23">
        <f t="shared" si="5"/>
        <v>319.89999999999782</v>
      </c>
      <c r="E354" s="3"/>
    </row>
    <row r="355" spans="1:5" ht="16" x14ac:dyDescent="0.2">
      <c r="A355" s="21">
        <v>44952</v>
      </c>
      <c r="B355" s="11">
        <v>26090.6</v>
      </c>
      <c r="D355" s="23">
        <f t="shared" si="5"/>
        <v>89.799999999999272</v>
      </c>
      <c r="E355" s="3"/>
    </row>
    <row r="356" spans="1:5" ht="16" x14ac:dyDescent="0.2">
      <c r="A356" s="21">
        <v>44953</v>
      </c>
      <c r="B356" s="11">
        <v>25827.1</v>
      </c>
      <c r="D356" s="23">
        <f t="shared" si="5"/>
        <v>-263.5</v>
      </c>
      <c r="E356" s="3"/>
    </row>
    <row r="357" spans="1:5" ht="16" x14ac:dyDescent="0.2">
      <c r="A357" s="21">
        <v>44956</v>
      </c>
      <c r="B357" s="11">
        <v>26128.400000000001</v>
      </c>
      <c r="D357" s="23">
        <f t="shared" si="5"/>
        <v>301.30000000000291</v>
      </c>
      <c r="E357" s="3"/>
    </row>
    <row r="358" spans="1:5" ht="16" x14ac:dyDescent="0.2">
      <c r="A358" s="21">
        <v>44957</v>
      </c>
      <c r="B358" s="11">
        <v>25910.3</v>
      </c>
      <c r="D358" s="23">
        <f t="shared" si="5"/>
        <v>-218.10000000000218</v>
      </c>
      <c r="E358" s="3"/>
    </row>
    <row r="359" spans="1:5" ht="16" x14ac:dyDescent="0.2">
      <c r="A359" s="21">
        <v>44958</v>
      </c>
      <c r="B359" s="11">
        <v>24914</v>
      </c>
      <c r="D359" s="23">
        <f t="shared" si="5"/>
        <v>-996.29999999999927</v>
      </c>
      <c r="E359" s="3"/>
    </row>
    <row r="360" spans="1:5" ht="16" x14ac:dyDescent="0.2">
      <c r="A360" s="21">
        <v>44959</v>
      </c>
      <c r="B360" s="11">
        <v>23549.5</v>
      </c>
      <c r="D360" s="23">
        <f t="shared" si="5"/>
        <v>-1364.5</v>
      </c>
      <c r="E360" s="3"/>
    </row>
    <row r="361" spans="1:5" ht="16" x14ac:dyDescent="0.2">
      <c r="A361" s="21">
        <v>44960</v>
      </c>
      <c r="B361" s="11">
        <v>23920.5</v>
      </c>
      <c r="D361" s="23">
        <f t="shared" si="5"/>
        <v>371</v>
      </c>
      <c r="E361" s="3"/>
    </row>
    <row r="362" spans="1:5" ht="16" x14ac:dyDescent="0.2">
      <c r="A362" s="21">
        <v>44963</v>
      </c>
      <c r="B362" s="11">
        <v>24201.8</v>
      </c>
      <c r="D362" s="23">
        <f t="shared" si="5"/>
        <v>281.29999999999927</v>
      </c>
      <c r="E362" s="3"/>
    </row>
    <row r="363" spans="1:5" ht="16" x14ac:dyDescent="0.2">
      <c r="A363" s="21">
        <v>44964</v>
      </c>
      <c r="B363" s="11">
        <v>24067.8</v>
      </c>
      <c r="D363" s="23">
        <f t="shared" si="5"/>
        <v>-134</v>
      </c>
      <c r="E363" s="3"/>
    </row>
    <row r="364" spans="1:5" ht="16" x14ac:dyDescent="0.2">
      <c r="A364" s="21">
        <v>44965</v>
      </c>
      <c r="B364" s="11">
        <v>24308.7</v>
      </c>
      <c r="D364" s="23">
        <f t="shared" si="5"/>
        <v>240.90000000000146</v>
      </c>
      <c r="E364" s="3"/>
    </row>
    <row r="365" spans="1:5" ht="16" x14ac:dyDescent="0.2">
      <c r="A365" s="21">
        <v>44966</v>
      </c>
      <c r="B365" s="11">
        <v>24859.8</v>
      </c>
      <c r="D365" s="23">
        <f t="shared" si="5"/>
        <v>551.09999999999854</v>
      </c>
      <c r="E365" s="3"/>
    </row>
    <row r="366" spans="1:5" ht="16" x14ac:dyDescent="0.2">
      <c r="A366" s="21">
        <v>44967</v>
      </c>
      <c r="B366" s="11">
        <v>25572.6</v>
      </c>
      <c r="D366" s="23">
        <f t="shared" si="5"/>
        <v>712.79999999999927</v>
      </c>
      <c r="E366" s="3"/>
    </row>
    <row r="367" spans="1:5" ht="16" x14ac:dyDescent="0.2">
      <c r="A367" s="21">
        <v>44970</v>
      </c>
      <c r="B367" s="11">
        <v>25395.1</v>
      </c>
      <c r="D367" s="23">
        <f t="shared" si="5"/>
        <v>-177.5</v>
      </c>
      <c r="E367" s="3"/>
    </row>
    <row r="368" spans="1:5" ht="16" x14ac:dyDescent="0.2">
      <c r="A368" s="21">
        <v>44971</v>
      </c>
      <c r="B368" s="11">
        <v>25378.400000000001</v>
      </c>
      <c r="D368" s="23">
        <f t="shared" si="5"/>
        <v>-16.69999999999709</v>
      </c>
      <c r="E368" s="3"/>
    </row>
    <row r="369" spans="1:5" ht="16" x14ac:dyDescent="0.2">
      <c r="A369" s="21">
        <v>44972</v>
      </c>
      <c r="B369" s="11">
        <v>24852.2</v>
      </c>
      <c r="D369" s="23">
        <f t="shared" si="5"/>
        <v>-526.20000000000073</v>
      </c>
      <c r="E369" s="3"/>
    </row>
    <row r="370" spans="1:5" ht="16" x14ac:dyDescent="0.2">
      <c r="A370" s="21">
        <v>44973</v>
      </c>
      <c r="B370" s="11">
        <v>24733.1</v>
      </c>
      <c r="D370" s="23">
        <f t="shared" si="5"/>
        <v>-119.10000000000218</v>
      </c>
      <c r="E370" s="3"/>
    </row>
    <row r="371" spans="1:5" ht="16" x14ac:dyDescent="0.2">
      <c r="A371" s="21">
        <v>44974</v>
      </c>
      <c r="B371" s="11">
        <v>25039</v>
      </c>
      <c r="D371" s="23">
        <f t="shared" si="5"/>
        <v>305.90000000000146</v>
      </c>
      <c r="E371" s="3"/>
    </row>
    <row r="372" spans="1:5" ht="16" x14ac:dyDescent="0.2">
      <c r="A372" s="21">
        <v>44977</v>
      </c>
      <c r="B372" s="11">
        <v>25078</v>
      </c>
      <c r="D372" s="23">
        <f t="shared" si="5"/>
        <v>39</v>
      </c>
      <c r="E372" s="3"/>
    </row>
    <row r="373" spans="1:5" ht="16" x14ac:dyDescent="0.2">
      <c r="A373" s="21">
        <v>44978</v>
      </c>
      <c r="B373" s="11">
        <v>25616.799999999999</v>
      </c>
      <c r="D373" s="23">
        <f t="shared" si="5"/>
        <v>538.79999999999927</v>
      </c>
      <c r="E373" s="3"/>
    </row>
    <row r="374" spans="1:5" ht="16" x14ac:dyDescent="0.2">
      <c r="A374" s="21">
        <v>44979</v>
      </c>
      <c r="B374" s="11">
        <v>25734.5</v>
      </c>
      <c r="D374" s="23">
        <f t="shared" si="5"/>
        <v>117.70000000000073</v>
      </c>
      <c r="E374" s="3"/>
    </row>
    <row r="375" spans="1:5" ht="16" x14ac:dyDescent="0.2">
      <c r="A375" s="21">
        <v>44980</v>
      </c>
      <c r="B375" s="11">
        <v>25814.3</v>
      </c>
      <c r="D375" s="23">
        <f t="shared" si="5"/>
        <v>79.799999999999272</v>
      </c>
      <c r="E375" s="3"/>
    </row>
    <row r="376" spans="1:5" ht="16" x14ac:dyDescent="0.2">
      <c r="A376" s="21">
        <v>44981</v>
      </c>
      <c r="B376" s="11">
        <v>26316.3</v>
      </c>
      <c r="D376" s="23">
        <f t="shared" si="5"/>
        <v>502</v>
      </c>
      <c r="E376" s="3"/>
    </row>
    <row r="377" spans="1:5" ht="16" x14ac:dyDescent="0.2">
      <c r="A377" s="21">
        <v>44984</v>
      </c>
      <c r="B377" s="11">
        <v>26169.7</v>
      </c>
      <c r="D377" s="23">
        <f t="shared" si="5"/>
        <v>-146.59999999999854</v>
      </c>
      <c r="E377" s="3"/>
    </row>
    <row r="378" spans="1:5" ht="16" x14ac:dyDescent="0.2">
      <c r="A378" s="21">
        <v>44985</v>
      </c>
      <c r="B378" s="11">
        <v>26239.200000000001</v>
      </c>
      <c r="D378" s="23">
        <f t="shared" si="5"/>
        <v>69.5</v>
      </c>
      <c r="E378" s="3"/>
    </row>
    <row r="379" spans="1:5" ht="16" x14ac:dyDescent="0.2">
      <c r="A379" s="21">
        <v>44986</v>
      </c>
      <c r="B379" s="11">
        <v>26521.1</v>
      </c>
      <c r="D379" s="23">
        <f t="shared" si="5"/>
        <v>281.89999999999782</v>
      </c>
      <c r="E379" s="3"/>
    </row>
    <row r="380" spans="1:5" ht="16" x14ac:dyDescent="0.2">
      <c r="A380" s="21">
        <v>44987</v>
      </c>
      <c r="B380" s="11">
        <v>26718.5</v>
      </c>
      <c r="D380" s="23">
        <f t="shared" si="5"/>
        <v>197.40000000000146</v>
      </c>
      <c r="E380" s="3"/>
    </row>
    <row r="381" spans="1:5" ht="16" x14ac:dyDescent="0.2">
      <c r="A381" s="21">
        <v>44988</v>
      </c>
      <c r="B381" s="11">
        <v>26464.6</v>
      </c>
      <c r="D381" s="23">
        <f t="shared" si="5"/>
        <v>-253.90000000000146</v>
      </c>
      <c r="E381" s="3"/>
    </row>
    <row r="382" spans="1:5" ht="16" x14ac:dyDescent="0.2">
      <c r="A382" s="21">
        <v>44991</v>
      </c>
      <c r="B382" s="11">
        <v>26679.200000000001</v>
      </c>
      <c r="D382" s="23">
        <f t="shared" si="5"/>
        <v>214.60000000000218</v>
      </c>
      <c r="E382" s="3"/>
    </row>
    <row r="383" spans="1:5" ht="16" x14ac:dyDescent="0.2">
      <c r="A383" s="21">
        <v>44992</v>
      </c>
      <c r="B383" s="11">
        <v>26957.8</v>
      </c>
      <c r="D383" s="23">
        <f t="shared" si="5"/>
        <v>278.59999999999854</v>
      </c>
      <c r="E383" s="3"/>
    </row>
    <row r="384" spans="1:5" ht="16" x14ac:dyDescent="0.2">
      <c r="A384" s="21">
        <v>44993</v>
      </c>
      <c r="B384" s="11">
        <v>27041.7</v>
      </c>
      <c r="D384" s="23">
        <f t="shared" si="5"/>
        <v>83.900000000001455</v>
      </c>
      <c r="E384" s="3"/>
    </row>
    <row r="385" spans="1:5" ht="16" x14ac:dyDescent="0.2">
      <c r="A385" s="21">
        <v>44994</v>
      </c>
      <c r="B385" s="11">
        <v>27193.9</v>
      </c>
      <c r="D385" s="23">
        <f t="shared" si="5"/>
        <v>152.20000000000073</v>
      </c>
      <c r="E385" s="3"/>
    </row>
    <row r="386" spans="1:5" ht="16" x14ac:dyDescent="0.2">
      <c r="A386" s="21">
        <v>44995</v>
      </c>
      <c r="B386" s="11">
        <v>27800.6</v>
      </c>
      <c r="D386" s="23">
        <f t="shared" si="5"/>
        <v>606.69999999999709</v>
      </c>
      <c r="E386" s="3"/>
    </row>
    <row r="387" spans="1:5" ht="16" x14ac:dyDescent="0.2">
      <c r="A387" s="21">
        <v>44998</v>
      </c>
      <c r="B387" s="11">
        <v>28013.3</v>
      </c>
      <c r="D387" s="23">
        <f t="shared" si="5"/>
        <v>212.70000000000073</v>
      </c>
      <c r="E387" s="3"/>
    </row>
    <row r="388" spans="1:5" ht="16" x14ac:dyDescent="0.2">
      <c r="A388" s="21">
        <v>44999</v>
      </c>
      <c r="B388" s="11">
        <v>27847.3</v>
      </c>
      <c r="D388" s="23">
        <f t="shared" si="5"/>
        <v>-166</v>
      </c>
      <c r="E388" s="3"/>
    </row>
    <row r="389" spans="1:5" ht="16" x14ac:dyDescent="0.2">
      <c r="A389" s="21">
        <v>45000</v>
      </c>
      <c r="B389" s="11">
        <v>27892.400000000001</v>
      </c>
      <c r="D389" s="23">
        <f t="shared" ref="D389:D452" si="6">B389-B388</f>
        <v>45.100000000002183</v>
      </c>
      <c r="E389" s="3"/>
    </row>
    <row r="390" spans="1:5" ht="16" x14ac:dyDescent="0.2">
      <c r="A390" s="21">
        <v>45001</v>
      </c>
      <c r="B390" s="11">
        <v>27864</v>
      </c>
      <c r="D390" s="23">
        <f t="shared" si="6"/>
        <v>-28.400000000001455</v>
      </c>
      <c r="E390" s="3"/>
    </row>
    <row r="391" spans="1:5" ht="16" x14ac:dyDescent="0.2">
      <c r="A391" s="21">
        <v>45002</v>
      </c>
      <c r="B391" s="11">
        <v>28071.4</v>
      </c>
      <c r="D391" s="23">
        <f t="shared" si="6"/>
        <v>207.40000000000146</v>
      </c>
      <c r="E391" s="3"/>
    </row>
    <row r="392" spans="1:5" ht="16" x14ac:dyDescent="0.2">
      <c r="A392" s="21">
        <v>45005</v>
      </c>
      <c r="B392" s="11">
        <v>28337.1</v>
      </c>
      <c r="D392" s="23">
        <f t="shared" si="6"/>
        <v>265.69999999999709</v>
      </c>
      <c r="E392" s="3"/>
    </row>
    <row r="393" spans="1:5" ht="16" x14ac:dyDescent="0.2">
      <c r="A393" s="21">
        <v>45006</v>
      </c>
      <c r="B393" s="11">
        <v>27954.2</v>
      </c>
      <c r="D393" s="23">
        <f t="shared" si="6"/>
        <v>-382.89999999999782</v>
      </c>
      <c r="E393" s="3"/>
    </row>
    <row r="394" spans="1:5" ht="16" x14ac:dyDescent="0.2">
      <c r="A394" s="21">
        <v>45007</v>
      </c>
      <c r="B394" s="11">
        <v>28306.5</v>
      </c>
      <c r="D394" s="23">
        <f t="shared" si="6"/>
        <v>352.29999999999927</v>
      </c>
      <c r="E394" s="3"/>
    </row>
    <row r="395" spans="1:5" ht="16" x14ac:dyDescent="0.2">
      <c r="A395" s="21">
        <v>45008</v>
      </c>
      <c r="B395" s="11">
        <v>27941.7</v>
      </c>
      <c r="D395" s="23">
        <f t="shared" si="6"/>
        <v>-364.79999999999927</v>
      </c>
      <c r="E395" s="3"/>
    </row>
    <row r="396" spans="1:5" ht="16" x14ac:dyDescent="0.2">
      <c r="A396" s="21">
        <v>45009</v>
      </c>
      <c r="B396" s="11">
        <v>28260.2</v>
      </c>
      <c r="D396" s="23">
        <f t="shared" si="6"/>
        <v>318.5</v>
      </c>
      <c r="E396" s="3"/>
    </row>
    <row r="397" spans="1:5" ht="16" x14ac:dyDescent="0.2">
      <c r="A397" s="21">
        <v>45012</v>
      </c>
      <c r="B397" s="11">
        <v>28428.6</v>
      </c>
      <c r="D397" s="23">
        <f t="shared" si="6"/>
        <v>168.39999999999782</v>
      </c>
      <c r="E397" s="3"/>
    </row>
    <row r="398" spans="1:5" ht="16" x14ac:dyDescent="0.2">
      <c r="A398" s="21">
        <v>45013</v>
      </c>
      <c r="B398" s="11">
        <v>29187.3</v>
      </c>
      <c r="D398" s="23">
        <f t="shared" si="6"/>
        <v>758.70000000000073</v>
      </c>
      <c r="E398" s="3"/>
    </row>
    <row r="399" spans="1:5" ht="16" x14ac:dyDescent="0.2">
      <c r="A399" s="21">
        <v>45014</v>
      </c>
      <c r="B399" s="11">
        <v>28983.5</v>
      </c>
      <c r="D399" s="23">
        <f t="shared" si="6"/>
        <v>-203.79999999999927</v>
      </c>
      <c r="E399" s="3"/>
    </row>
    <row r="400" spans="1:5" ht="16" x14ac:dyDescent="0.2">
      <c r="A400" s="21">
        <v>45015</v>
      </c>
      <c r="B400" s="11">
        <v>29022.2</v>
      </c>
      <c r="D400" s="23">
        <f t="shared" si="6"/>
        <v>38.700000000000728</v>
      </c>
      <c r="E400" s="3"/>
    </row>
    <row r="401" spans="1:5" ht="16" x14ac:dyDescent="0.2">
      <c r="A401" s="21">
        <v>45016</v>
      </c>
      <c r="B401" s="11">
        <v>28735.8</v>
      </c>
      <c r="D401" s="23">
        <f t="shared" si="6"/>
        <v>-286.40000000000146</v>
      </c>
      <c r="E401" s="3"/>
    </row>
    <row r="402" spans="1:5" ht="16" x14ac:dyDescent="0.2">
      <c r="A402" s="21">
        <v>45019</v>
      </c>
      <c r="B402" s="11">
        <v>29221.7</v>
      </c>
      <c r="D402" s="23">
        <f t="shared" si="6"/>
        <v>485.90000000000146</v>
      </c>
      <c r="E402" s="3"/>
    </row>
    <row r="403" spans="1:5" ht="16" x14ac:dyDescent="0.2">
      <c r="A403" s="21">
        <v>45020</v>
      </c>
      <c r="B403" s="11">
        <v>29269.3</v>
      </c>
      <c r="D403" s="23">
        <f t="shared" si="6"/>
        <v>47.599999999998545</v>
      </c>
      <c r="E403" s="3"/>
    </row>
    <row r="404" spans="1:5" ht="16" x14ac:dyDescent="0.2">
      <c r="A404" s="21">
        <v>45021</v>
      </c>
      <c r="B404" s="11">
        <v>29713.5</v>
      </c>
      <c r="D404" s="23">
        <f t="shared" si="6"/>
        <v>444.20000000000073</v>
      </c>
      <c r="E404" s="3"/>
    </row>
    <row r="405" spans="1:5" ht="16" x14ac:dyDescent="0.2">
      <c r="A405" s="21">
        <v>45022</v>
      </c>
      <c r="B405" s="11">
        <v>29606.1</v>
      </c>
      <c r="D405" s="23">
        <f t="shared" si="6"/>
        <v>-107.40000000000146</v>
      </c>
      <c r="E405" s="3"/>
    </row>
    <row r="406" spans="1:5" ht="16" x14ac:dyDescent="0.2">
      <c r="A406" s="21">
        <v>45023</v>
      </c>
      <c r="B406" s="11">
        <v>29606.1</v>
      </c>
      <c r="D406" s="23">
        <f t="shared" si="6"/>
        <v>0</v>
      </c>
      <c r="E406" s="3"/>
    </row>
    <row r="407" spans="1:5" ht="16" x14ac:dyDescent="0.2">
      <c r="A407" s="21">
        <v>45026</v>
      </c>
      <c r="B407" s="11">
        <v>29565.200000000001</v>
      </c>
      <c r="D407" s="23">
        <f t="shared" si="6"/>
        <v>-40.899999999997817</v>
      </c>
      <c r="E407" s="3"/>
    </row>
    <row r="408" spans="1:5" ht="16" x14ac:dyDescent="0.2">
      <c r="A408" s="21">
        <v>45027</v>
      </c>
      <c r="B408" s="11">
        <v>29613.3</v>
      </c>
      <c r="D408" s="23">
        <f t="shared" si="6"/>
        <v>48.099999999998545</v>
      </c>
      <c r="E408" s="3"/>
    </row>
    <row r="409" spans="1:5" ht="16" x14ac:dyDescent="0.2">
      <c r="A409" s="21">
        <v>45028</v>
      </c>
      <c r="B409" s="11">
        <v>30116.799999999999</v>
      </c>
      <c r="D409" s="23">
        <f t="shared" si="6"/>
        <v>503.5</v>
      </c>
      <c r="E409" s="3"/>
    </row>
    <row r="410" spans="1:5" ht="16" x14ac:dyDescent="0.2">
      <c r="A410" s="21">
        <v>45029</v>
      </c>
      <c r="B410" s="11">
        <v>30158.400000000001</v>
      </c>
      <c r="D410" s="23">
        <f t="shared" si="6"/>
        <v>41.600000000002183</v>
      </c>
      <c r="E410" s="3"/>
    </row>
    <row r="411" spans="1:5" ht="16" x14ac:dyDescent="0.2">
      <c r="A411" s="21">
        <v>45030</v>
      </c>
      <c r="B411" s="11">
        <v>30320.3</v>
      </c>
      <c r="D411" s="23">
        <f t="shared" si="6"/>
        <v>161.89999999999782</v>
      </c>
      <c r="E411" s="3"/>
    </row>
    <row r="412" spans="1:5" ht="16" x14ac:dyDescent="0.2">
      <c r="A412" s="21">
        <v>45033</v>
      </c>
      <c r="B412" s="11">
        <v>30421.9</v>
      </c>
      <c r="D412" s="23">
        <f t="shared" si="6"/>
        <v>101.60000000000218</v>
      </c>
      <c r="E412" s="3"/>
    </row>
    <row r="413" spans="1:5" ht="16" x14ac:dyDescent="0.2">
      <c r="A413" s="21">
        <v>45034</v>
      </c>
      <c r="B413" s="11">
        <v>30475.5</v>
      </c>
      <c r="D413" s="23">
        <f t="shared" si="6"/>
        <v>53.599999999998545</v>
      </c>
      <c r="E413" s="3"/>
    </row>
    <row r="414" spans="1:5" ht="16" x14ac:dyDescent="0.2">
      <c r="A414" s="21">
        <v>45035</v>
      </c>
      <c r="B414" s="11">
        <v>30346.1</v>
      </c>
      <c r="D414" s="23">
        <f t="shared" si="6"/>
        <v>-129.40000000000146</v>
      </c>
      <c r="E414" s="3"/>
    </row>
    <row r="415" spans="1:5" ht="16" x14ac:dyDescent="0.2">
      <c r="A415" s="21">
        <v>45036</v>
      </c>
      <c r="B415" s="11">
        <v>30566.5</v>
      </c>
      <c r="D415" s="23">
        <f t="shared" si="6"/>
        <v>220.40000000000146</v>
      </c>
      <c r="E415" s="3"/>
    </row>
    <row r="416" spans="1:5" ht="16" x14ac:dyDescent="0.2">
      <c r="A416" s="21">
        <v>45037</v>
      </c>
      <c r="B416" s="11">
        <v>30504.400000000001</v>
      </c>
      <c r="D416" s="23">
        <f t="shared" si="6"/>
        <v>-62.099999999998545</v>
      </c>
      <c r="E416" s="3"/>
    </row>
    <row r="417" spans="1:5" ht="16" x14ac:dyDescent="0.2">
      <c r="A417" s="21">
        <v>45040</v>
      </c>
      <c r="B417" s="11">
        <v>30495.200000000001</v>
      </c>
      <c r="D417" s="23">
        <f t="shared" si="6"/>
        <v>-9.2000000000007276</v>
      </c>
      <c r="E417" s="3"/>
    </row>
    <row r="418" spans="1:5" ht="16" x14ac:dyDescent="0.2">
      <c r="A418" s="21">
        <v>45041</v>
      </c>
      <c r="B418" s="11">
        <v>30842.9</v>
      </c>
      <c r="D418" s="23">
        <f t="shared" si="6"/>
        <v>347.70000000000073</v>
      </c>
      <c r="E418" s="3"/>
    </row>
    <row r="419" spans="1:5" ht="16" x14ac:dyDescent="0.2">
      <c r="A419" s="21">
        <v>45042</v>
      </c>
      <c r="B419" s="11">
        <v>30639.7</v>
      </c>
      <c r="D419" s="23">
        <f t="shared" si="6"/>
        <v>-203.20000000000073</v>
      </c>
      <c r="E419" s="3"/>
    </row>
    <row r="420" spans="1:5" ht="16" x14ac:dyDescent="0.2">
      <c r="A420" s="21">
        <v>45043</v>
      </c>
      <c r="B420" s="11">
        <v>30455.7</v>
      </c>
      <c r="D420" s="23">
        <f t="shared" si="6"/>
        <v>-184</v>
      </c>
      <c r="E420" s="3"/>
    </row>
    <row r="421" spans="1:5" ht="16" x14ac:dyDescent="0.2">
      <c r="A421" s="21">
        <v>45044</v>
      </c>
      <c r="B421" s="11">
        <v>30417.1</v>
      </c>
      <c r="D421" s="23">
        <f t="shared" si="6"/>
        <v>-38.600000000002183</v>
      </c>
      <c r="E421" s="3"/>
    </row>
    <row r="422" spans="1:5" ht="16" x14ac:dyDescent="0.2">
      <c r="A422" s="21">
        <v>45047</v>
      </c>
      <c r="B422" s="11">
        <v>30417.1</v>
      </c>
      <c r="D422" s="23">
        <f t="shared" si="6"/>
        <v>0</v>
      </c>
      <c r="E422" s="3"/>
    </row>
    <row r="423" spans="1:5" ht="16" x14ac:dyDescent="0.2">
      <c r="A423" s="21">
        <v>45048</v>
      </c>
      <c r="B423" s="11">
        <v>30482.9</v>
      </c>
      <c r="D423" s="23">
        <f t="shared" si="6"/>
        <v>65.80000000000291</v>
      </c>
      <c r="E423" s="3"/>
    </row>
    <row r="424" spans="1:5" ht="16" x14ac:dyDescent="0.2">
      <c r="A424" s="21">
        <v>45049</v>
      </c>
      <c r="B424" s="11">
        <v>31202.3</v>
      </c>
      <c r="D424" s="23">
        <f t="shared" si="6"/>
        <v>719.39999999999782</v>
      </c>
      <c r="E424" s="3"/>
    </row>
    <row r="425" spans="1:5" ht="16" x14ac:dyDescent="0.2">
      <c r="A425" s="21">
        <v>45050</v>
      </c>
      <c r="B425" s="11">
        <v>30968</v>
      </c>
      <c r="D425" s="23">
        <f t="shared" si="6"/>
        <v>-234.29999999999927</v>
      </c>
      <c r="E425" s="3"/>
    </row>
    <row r="426" spans="1:5" ht="16" x14ac:dyDescent="0.2">
      <c r="A426" s="21">
        <v>45051</v>
      </c>
      <c r="B426" s="11">
        <v>30722</v>
      </c>
      <c r="D426" s="23">
        <f t="shared" si="6"/>
        <v>-246</v>
      </c>
      <c r="E426" s="3"/>
    </row>
    <row r="427" spans="1:5" ht="16" x14ac:dyDescent="0.2">
      <c r="A427" s="21">
        <v>45054</v>
      </c>
      <c r="B427" s="11">
        <v>30124</v>
      </c>
      <c r="D427" s="23">
        <f t="shared" si="6"/>
        <v>-598</v>
      </c>
      <c r="E427" s="3"/>
    </row>
    <row r="428" spans="1:5" ht="16" x14ac:dyDescent="0.2">
      <c r="A428" s="21">
        <v>45055</v>
      </c>
      <c r="B428" s="11">
        <v>30310.7</v>
      </c>
      <c r="D428" s="23">
        <f t="shared" si="6"/>
        <v>186.70000000000073</v>
      </c>
      <c r="E428" s="3"/>
    </row>
    <row r="429" spans="1:5" ht="16" x14ac:dyDescent="0.2">
      <c r="A429" s="21">
        <v>45056</v>
      </c>
      <c r="B429" s="11">
        <v>31031.8</v>
      </c>
      <c r="D429" s="23">
        <f t="shared" si="6"/>
        <v>721.09999999999854</v>
      </c>
      <c r="E429" s="3"/>
    </row>
    <row r="430" spans="1:5" ht="16" x14ac:dyDescent="0.2">
      <c r="A430" s="21">
        <v>45057</v>
      </c>
      <c r="B430" s="11">
        <v>30805.1</v>
      </c>
      <c r="D430" s="23">
        <f t="shared" si="6"/>
        <v>-226.70000000000073</v>
      </c>
      <c r="E430" s="3"/>
    </row>
    <row r="431" spans="1:5" ht="16" x14ac:dyDescent="0.2">
      <c r="A431" s="21">
        <v>45058</v>
      </c>
      <c r="B431" s="11">
        <v>30637.1</v>
      </c>
      <c r="D431" s="23">
        <f t="shared" si="6"/>
        <v>-168</v>
      </c>
      <c r="E431" s="3"/>
    </row>
    <row r="432" spans="1:5" ht="16" x14ac:dyDescent="0.2">
      <c r="A432" s="21">
        <v>45061</v>
      </c>
      <c r="B432" s="11">
        <v>31044</v>
      </c>
      <c r="D432" s="23">
        <f t="shared" si="6"/>
        <v>406.90000000000146</v>
      </c>
      <c r="E432" s="3"/>
    </row>
    <row r="433" spans="1:5" ht="16" x14ac:dyDescent="0.2">
      <c r="A433" s="21">
        <v>45062</v>
      </c>
      <c r="B433" s="11">
        <v>30702.7</v>
      </c>
      <c r="D433" s="23">
        <f t="shared" si="6"/>
        <v>-341.29999999999927</v>
      </c>
      <c r="E433" s="3"/>
    </row>
    <row r="434" spans="1:5" ht="16" x14ac:dyDescent="0.2">
      <c r="A434" s="21">
        <v>45063</v>
      </c>
      <c r="B434" s="11">
        <v>31064.7</v>
      </c>
      <c r="D434" s="23">
        <f t="shared" si="6"/>
        <v>362</v>
      </c>
      <c r="E434" s="3"/>
    </row>
    <row r="435" spans="1:5" ht="16" x14ac:dyDescent="0.2">
      <c r="A435" s="21">
        <v>45064</v>
      </c>
      <c r="B435" s="11">
        <v>31025</v>
      </c>
      <c r="D435" s="23">
        <f t="shared" si="6"/>
        <v>-39.700000000000728</v>
      </c>
      <c r="E435" s="3"/>
    </row>
    <row r="436" spans="1:5" ht="16" x14ac:dyDescent="0.2">
      <c r="A436" s="21">
        <v>45065</v>
      </c>
      <c r="B436" s="11">
        <v>31104.6</v>
      </c>
      <c r="D436" s="23">
        <f t="shared" si="6"/>
        <v>79.599999999998545</v>
      </c>
      <c r="E436" s="3"/>
    </row>
    <row r="437" spans="1:5" ht="16" x14ac:dyDescent="0.2">
      <c r="A437" s="21">
        <v>45068</v>
      </c>
      <c r="B437" s="11">
        <v>30916.2</v>
      </c>
      <c r="D437" s="23">
        <f t="shared" si="6"/>
        <v>-188.39999999999782</v>
      </c>
      <c r="E437" s="3"/>
    </row>
    <row r="438" spans="1:5" ht="16" x14ac:dyDescent="0.2">
      <c r="A438" s="21">
        <v>45069</v>
      </c>
      <c r="B438" s="11">
        <v>30694.6</v>
      </c>
      <c r="D438" s="23">
        <f t="shared" si="6"/>
        <v>-221.60000000000218</v>
      </c>
      <c r="E438" s="3"/>
    </row>
    <row r="439" spans="1:5" ht="16" x14ac:dyDescent="0.2">
      <c r="A439" s="21">
        <v>45070</v>
      </c>
      <c r="B439" s="11">
        <v>30746.1</v>
      </c>
      <c r="D439" s="23">
        <f t="shared" si="6"/>
        <v>51.5</v>
      </c>
      <c r="E439" s="3"/>
    </row>
    <row r="440" spans="1:5" ht="16" x14ac:dyDescent="0.2">
      <c r="A440" s="21">
        <v>45071</v>
      </c>
      <c r="B440" s="11">
        <v>31179.9</v>
      </c>
      <c r="D440" s="23">
        <f t="shared" si="6"/>
        <v>433.80000000000291</v>
      </c>
      <c r="E440" s="3"/>
    </row>
    <row r="441" spans="1:5" ht="16" x14ac:dyDescent="0.2">
      <c r="A441" s="21">
        <v>45072</v>
      </c>
      <c r="B441" s="11">
        <v>30565.5</v>
      </c>
      <c r="D441" s="23">
        <f t="shared" si="6"/>
        <v>-614.40000000000146</v>
      </c>
      <c r="E441" s="3"/>
    </row>
    <row r="442" spans="1:5" ht="16" x14ac:dyDescent="0.2">
      <c r="A442" s="21">
        <v>45075</v>
      </c>
      <c r="B442" s="11">
        <v>30035.8</v>
      </c>
      <c r="D442" s="23">
        <f t="shared" si="6"/>
        <v>-529.70000000000073</v>
      </c>
      <c r="E442" s="3"/>
    </row>
    <row r="443" spans="1:5" ht="16" x14ac:dyDescent="0.2">
      <c r="A443" s="21">
        <v>45076</v>
      </c>
      <c r="B443" s="11">
        <v>30364.400000000001</v>
      </c>
      <c r="D443" s="23">
        <f t="shared" si="6"/>
        <v>328.60000000000218</v>
      </c>
      <c r="E443" s="3"/>
    </row>
    <row r="444" spans="1:5" ht="16" x14ac:dyDescent="0.2">
      <c r="A444" s="21">
        <v>45077</v>
      </c>
      <c r="B444" s="11">
        <v>30029.7</v>
      </c>
      <c r="D444" s="23">
        <f t="shared" si="6"/>
        <v>-334.70000000000073</v>
      </c>
      <c r="E444" s="3"/>
    </row>
    <row r="445" spans="1:5" ht="16" x14ac:dyDescent="0.2">
      <c r="A445" s="21">
        <v>45078</v>
      </c>
      <c r="B445" s="11">
        <v>30355</v>
      </c>
      <c r="D445" s="23">
        <f t="shared" si="6"/>
        <v>325.29999999999927</v>
      </c>
      <c r="E445" s="3"/>
    </row>
    <row r="446" spans="1:5" ht="16" x14ac:dyDescent="0.2">
      <c r="A446" s="21">
        <v>45079</v>
      </c>
      <c r="B446" s="11">
        <v>30240.1</v>
      </c>
      <c r="D446" s="23">
        <f t="shared" si="6"/>
        <v>-114.90000000000146</v>
      </c>
      <c r="E446" s="3"/>
    </row>
    <row r="447" spans="1:5" ht="16" x14ac:dyDescent="0.2">
      <c r="A447" s="21">
        <v>45082</v>
      </c>
      <c r="B447" s="11">
        <v>30108</v>
      </c>
      <c r="D447" s="23">
        <f t="shared" si="6"/>
        <v>-132.09999999999854</v>
      </c>
      <c r="E447" s="3"/>
    </row>
    <row r="448" spans="1:5" ht="16" x14ac:dyDescent="0.2">
      <c r="A448" s="21">
        <v>45083</v>
      </c>
      <c r="B448" s="11">
        <v>30128</v>
      </c>
      <c r="D448" s="23">
        <f t="shared" si="6"/>
        <v>20</v>
      </c>
      <c r="E448" s="3"/>
    </row>
    <row r="449" spans="1:5" ht="16" x14ac:dyDescent="0.2">
      <c r="A449" s="21">
        <v>45084</v>
      </c>
      <c r="B449" s="11">
        <v>29880.7</v>
      </c>
      <c r="D449" s="23">
        <f t="shared" si="6"/>
        <v>-247.29999999999927</v>
      </c>
      <c r="E449" s="3"/>
    </row>
    <row r="450" spans="1:5" ht="16" x14ac:dyDescent="0.2">
      <c r="A450" s="21">
        <v>45085</v>
      </c>
      <c r="B450" s="11">
        <v>29963.200000000001</v>
      </c>
      <c r="D450" s="23">
        <f t="shared" si="6"/>
        <v>82.5</v>
      </c>
      <c r="E450" s="3"/>
    </row>
    <row r="451" spans="1:5" ht="16" x14ac:dyDescent="0.2">
      <c r="A451" s="21">
        <v>45086</v>
      </c>
      <c r="B451" s="11">
        <v>30226.9</v>
      </c>
      <c r="D451" s="23">
        <f t="shared" si="6"/>
        <v>263.70000000000073</v>
      </c>
      <c r="E451" s="3"/>
    </row>
    <row r="452" spans="1:5" ht="16" x14ac:dyDescent="0.2">
      <c r="A452" s="21">
        <v>45089</v>
      </c>
      <c r="B452" s="11">
        <v>30155.5</v>
      </c>
      <c r="D452" s="23">
        <f t="shared" si="6"/>
        <v>-71.400000000001455</v>
      </c>
      <c r="E452" s="3"/>
    </row>
    <row r="453" spans="1:5" ht="16" x14ac:dyDescent="0.2">
      <c r="A453" s="21">
        <v>45090</v>
      </c>
      <c r="B453" s="11">
        <v>29976.1</v>
      </c>
      <c r="D453" s="23">
        <f t="shared" ref="D453:D516" si="7">B453-B452</f>
        <v>-179.40000000000146</v>
      </c>
      <c r="E453" s="3"/>
    </row>
    <row r="454" spans="1:5" ht="16" x14ac:dyDescent="0.2">
      <c r="A454" s="21">
        <v>45091</v>
      </c>
      <c r="B454" s="11">
        <v>29672.1</v>
      </c>
      <c r="D454" s="23">
        <f t="shared" si="7"/>
        <v>-304</v>
      </c>
      <c r="E454" s="3"/>
    </row>
    <row r="455" spans="1:5" ht="16" x14ac:dyDescent="0.2">
      <c r="A455" s="21">
        <v>45092</v>
      </c>
      <c r="B455" s="11">
        <v>29465.200000000001</v>
      </c>
      <c r="D455" s="23">
        <f t="shared" si="7"/>
        <v>-206.89999999999782</v>
      </c>
      <c r="E455" s="3"/>
    </row>
    <row r="456" spans="1:5" ht="16" x14ac:dyDescent="0.2">
      <c r="A456" s="21">
        <v>45093</v>
      </c>
      <c r="B456" s="11">
        <v>29558.6</v>
      </c>
      <c r="D456" s="23">
        <f t="shared" si="7"/>
        <v>93.399999999997817</v>
      </c>
      <c r="E456" s="3"/>
    </row>
    <row r="457" spans="1:5" ht="16" x14ac:dyDescent="0.2">
      <c r="A457" s="21">
        <v>45096</v>
      </c>
      <c r="B457" s="11">
        <v>29561.9</v>
      </c>
      <c r="D457" s="23">
        <f t="shared" si="7"/>
        <v>3.3000000000029104</v>
      </c>
      <c r="E457" s="3"/>
    </row>
    <row r="458" spans="1:5" ht="16" x14ac:dyDescent="0.2">
      <c r="A458" s="21">
        <v>45097</v>
      </c>
      <c r="B458" s="11">
        <v>29876.1</v>
      </c>
      <c r="D458" s="23">
        <f t="shared" si="7"/>
        <v>314.19999999999709</v>
      </c>
      <c r="E458" s="3"/>
    </row>
    <row r="459" spans="1:5" ht="16" x14ac:dyDescent="0.2">
      <c r="A459" s="21">
        <v>45098</v>
      </c>
      <c r="B459" s="11">
        <v>29761.4</v>
      </c>
      <c r="D459" s="23">
        <f t="shared" si="7"/>
        <v>-114.69999999999709</v>
      </c>
      <c r="E459" s="3"/>
    </row>
    <row r="460" spans="1:5" ht="16" x14ac:dyDescent="0.2">
      <c r="A460" s="21">
        <v>45099</v>
      </c>
      <c r="B460" s="11">
        <v>30138.799999999999</v>
      </c>
      <c r="D460" s="23">
        <f t="shared" si="7"/>
        <v>377.39999999999782</v>
      </c>
      <c r="E460" s="3"/>
    </row>
    <row r="461" spans="1:5" ht="16" x14ac:dyDescent="0.2">
      <c r="A461" s="21">
        <v>45100</v>
      </c>
      <c r="B461" s="11">
        <v>29720.6</v>
      </c>
      <c r="D461" s="23">
        <f t="shared" si="7"/>
        <v>-418.20000000000073</v>
      </c>
      <c r="E461" s="3"/>
    </row>
    <row r="462" spans="1:5" ht="16" x14ac:dyDescent="0.2">
      <c r="A462" s="21">
        <v>45103</v>
      </c>
      <c r="B462" s="11">
        <v>29957.3</v>
      </c>
      <c r="D462" s="23">
        <f t="shared" si="7"/>
        <v>236.70000000000073</v>
      </c>
      <c r="E462" s="3"/>
    </row>
    <row r="463" spans="1:5" ht="16" x14ac:dyDescent="0.2">
      <c r="A463" s="21">
        <v>45104</v>
      </c>
      <c r="B463" s="11">
        <v>30424.1</v>
      </c>
      <c r="D463" s="23">
        <f t="shared" si="7"/>
        <v>466.79999999999927</v>
      </c>
      <c r="E463" s="3"/>
    </row>
    <row r="464" spans="1:5" ht="16" x14ac:dyDescent="0.2">
      <c r="A464" s="21">
        <v>45105</v>
      </c>
      <c r="B464" s="11">
        <v>30273.1</v>
      </c>
      <c r="D464" s="23">
        <f t="shared" si="7"/>
        <v>-151</v>
      </c>
      <c r="E464" s="3"/>
    </row>
    <row r="465" spans="1:5" ht="16" x14ac:dyDescent="0.2">
      <c r="A465" s="21">
        <v>45106</v>
      </c>
      <c r="B465" s="11">
        <v>29789.9</v>
      </c>
      <c r="D465" s="23">
        <f t="shared" si="7"/>
        <v>-483.19999999999709</v>
      </c>
      <c r="E465" s="3"/>
    </row>
    <row r="466" spans="1:5" ht="16" x14ac:dyDescent="0.2">
      <c r="A466" s="21">
        <v>45107</v>
      </c>
      <c r="B466" s="11">
        <v>30108</v>
      </c>
      <c r="D466" s="23">
        <f t="shared" si="7"/>
        <v>318.09999999999854</v>
      </c>
      <c r="E466" s="3"/>
    </row>
    <row r="467" spans="1:5" ht="16" x14ac:dyDescent="0.2">
      <c r="A467" s="21">
        <v>45110</v>
      </c>
      <c r="B467" s="11">
        <v>29957.5</v>
      </c>
      <c r="D467" s="23">
        <f t="shared" si="7"/>
        <v>-150.5</v>
      </c>
      <c r="E467" s="3"/>
    </row>
    <row r="468" spans="1:5" ht="16" x14ac:dyDescent="0.2">
      <c r="A468" s="21">
        <v>45111</v>
      </c>
      <c r="B468" s="11">
        <v>29449</v>
      </c>
      <c r="D468" s="23">
        <f t="shared" si="7"/>
        <v>-508.5</v>
      </c>
      <c r="E468" s="3"/>
    </row>
    <row r="469" spans="1:5" ht="16" x14ac:dyDescent="0.2">
      <c r="A469" s="21">
        <v>45112</v>
      </c>
      <c r="B469" s="11">
        <v>28897.9</v>
      </c>
      <c r="D469" s="23">
        <f t="shared" si="7"/>
        <v>-551.09999999999854</v>
      </c>
      <c r="E469" s="3"/>
    </row>
    <row r="470" spans="1:5" ht="16" x14ac:dyDescent="0.2">
      <c r="A470" s="21">
        <v>45113</v>
      </c>
      <c r="B470" s="11">
        <v>29171.599999999999</v>
      </c>
      <c r="D470" s="23">
        <f t="shared" si="7"/>
        <v>273.69999999999709</v>
      </c>
      <c r="E470" s="3"/>
    </row>
    <row r="471" spans="1:5" ht="16" x14ac:dyDescent="0.2">
      <c r="A471" s="21">
        <v>45114</v>
      </c>
      <c r="B471" s="11">
        <v>29729.9</v>
      </c>
      <c r="D471" s="23">
        <f t="shared" si="7"/>
        <v>558.30000000000291</v>
      </c>
      <c r="E471" s="3"/>
    </row>
    <row r="472" spans="1:5" ht="16" x14ac:dyDescent="0.2">
      <c r="A472" s="21">
        <v>45117</v>
      </c>
      <c r="B472" s="11">
        <v>29509.3</v>
      </c>
      <c r="D472" s="23">
        <f t="shared" si="7"/>
        <v>-220.60000000000218</v>
      </c>
      <c r="E472" s="3"/>
    </row>
    <row r="473" spans="1:5" ht="16" x14ac:dyDescent="0.2">
      <c r="A473" s="21">
        <v>45118</v>
      </c>
      <c r="B473" s="11">
        <v>29520.2</v>
      </c>
      <c r="D473" s="23">
        <f t="shared" si="7"/>
        <v>10.900000000001455</v>
      </c>
      <c r="E473" s="3"/>
    </row>
    <row r="474" spans="1:5" ht="16" x14ac:dyDescent="0.2">
      <c r="A474" s="21">
        <v>45119</v>
      </c>
      <c r="B474" s="11">
        <v>29139.5</v>
      </c>
      <c r="D474" s="23">
        <f t="shared" si="7"/>
        <v>-380.70000000000073</v>
      </c>
      <c r="E474" s="3"/>
    </row>
    <row r="475" spans="1:5" ht="16" x14ac:dyDescent="0.2">
      <c r="A475" s="21">
        <v>45120</v>
      </c>
      <c r="B475" s="11">
        <v>28671.1</v>
      </c>
      <c r="D475" s="23">
        <f t="shared" si="7"/>
        <v>-468.40000000000146</v>
      </c>
      <c r="E475" s="3"/>
    </row>
    <row r="476" spans="1:5" ht="16" x14ac:dyDescent="0.2">
      <c r="A476" s="21">
        <v>45121</v>
      </c>
      <c r="B476" s="11">
        <v>28196.7</v>
      </c>
      <c r="D476" s="23">
        <f t="shared" si="7"/>
        <v>-474.39999999999782</v>
      </c>
      <c r="E476" s="3"/>
    </row>
    <row r="477" spans="1:5" ht="16" x14ac:dyDescent="0.2">
      <c r="A477" s="21">
        <v>45124</v>
      </c>
      <c r="B477" s="11">
        <v>28497.9</v>
      </c>
      <c r="D477" s="23">
        <f t="shared" si="7"/>
        <v>301.20000000000073</v>
      </c>
      <c r="E477" s="3"/>
    </row>
    <row r="478" spans="1:5" ht="16" x14ac:dyDescent="0.2">
      <c r="A478" s="21">
        <v>45125</v>
      </c>
      <c r="B478" s="11">
        <v>28635.7</v>
      </c>
      <c r="D478" s="23">
        <f t="shared" si="7"/>
        <v>137.79999999999927</v>
      </c>
      <c r="E478" s="3"/>
    </row>
    <row r="479" spans="1:5" ht="16" x14ac:dyDescent="0.2">
      <c r="A479" s="21">
        <v>45126</v>
      </c>
      <c r="B479" s="11">
        <v>27996.9</v>
      </c>
      <c r="D479" s="23">
        <f t="shared" si="7"/>
        <v>-638.79999999999927</v>
      </c>
      <c r="E479" s="3"/>
    </row>
    <row r="480" spans="1:5" ht="16" x14ac:dyDescent="0.2">
      <c r="A480" s="21">
        <v>45127</v>
      </c>
      <c r="B480" s="11">
        <v>27225.5</v>
      </c>
      <c r="D480" s="23">
        <f t="shared" si="7"/>
        <v>-771.40000000000146</v>
      </c>
      <c r="E480" s="3"/>
    </row>
    <row r="481" spans="1:5" ht="16" x14ac:dyDescent="0.2">
      <c r="A481" s="21">
        <v>45128</v>
      </c>
      <c r="B481" s="11">
        <v>28130</v>
      </c>
      <c r="D481" s="23">
        <f t="shared" si="7"/>
        <v>904.5</v>
      </c>
      <c r="E481" s="3"/>
    </row>
    <row r="482" spans="1:5" ht="16" x14ac:dyDescent="0.2">
      <c r="A482" s="21">
        <v>45131</v>
      </c>
      <c r="B482" s="11">
        <v>28100.400000000001</v>
      </c>
      <c r="D482" s="23">
        <f t="shared" si="7"/>
        <v>-29.599999999998545</v>
      </c>
      <c r="E482" s="3"/>
    </row>
    <row r="483" spans="1:5" ht="16" x14ac:dyDescent="0.2">
      <c r="A483" s="21">
        <v>45132</v>
      </c>
      <c r="B483" s="11">
        <v>27372.400000000001</v>
      </c>
      <c r="D483" s="23">
        <f t="shared" si="7"/>
        <v>-728</v>
      </c>
      <c r="E483" s="3"/>
    </row>
    <row r="484" spans="1:5" ht="16" x14ac:dyDescent="0.2">
      <c r="A484" s="21">
        <v>45133</v>
      </c>
      <c r="B484" s="11">
        <v>27312.3</v>
      </c>
      <c r="D484" s="23">
        <f t="shared" si="7"/>
        <v>-60.100000000002183</v>
      </c>
      <c r="E484" s="3"/>
    </row>
    <row r="485" spans="1:5" ht="16" x14ac:dyDescent="0.2">
      <c r="A485" s="21">
        <v>45134</v>
      </c>
      <c r="B485" s="11">
        <v>26846.6</v>
      </c>
      <c r="D485" s="23">
        <f t="shared" si="7"/>
        <v>-465.70000000000073</v>
      </c>
      <c r="E485" s="3"/>
    </row>
    <row r="486" spans="1:5" ht="16" x14ac:dyDescent="0.2">
      <c r="A486" s="21">
        <v>45135</v>
      </c>
      <c r="B486" s="11">
        <v>26955.1</v>
      </c>
      <c r="D486" s="23">
        <f t="shared" si="7"/>
        <v>108.5</v>
      </c>
      <c r="E486" s="3"/>
    </row>
    <row r="487" spans="1:5" ht="16" x14ac:dyDescent="0.2">
      <c r="A487" s="21">
        <v>45138</v>
      </c>
      <c r="B487" s="11">
        <v>26334.6</v>
      </c>
      <c r="D487" s="23">
        <f t="shared" si="7"/>
        <v>-620.5</v>
      </c>
      <c r="E487" s="3"/>
    </row>
    <row r="488" spans="1:5" ht="16" x14ac:dyDescent="0.2">
      <c r="A488" s="21">
        <v>45139</v>
      </c>
      <c r="B488" s="11">
        <v>26349.8</v>
      </c>
      <c r="D488" s="23">
        <f t="shared" si="7"/>
        <v>15.200000000000728</v>
      </c>
      <c r="E488" s="3"/>
    </row>
    <row r="489" spans="1:5" ht="16" x14ac:dyDescent="0.2">
      <c r="A489" s="21">
        <v>45140</v>
      </c>
      <c r="B489" s="11">
        <v>27111.4</v>
      </c>
      <c r="D489" s="23">
        <f t="shared" si="7"/>
        <v>761.60000000000218</v>
      </c>
      <c r="E489" s="3"/>
    </row>
    <row r="490" spans="1:5" ht="16" x14ac:dyDescent="0.2">
      <c r="A490" s="21">
        <v>45141</v>
      </c>
      <c r="B490" s="11">
        <v>28346.400000000001</v>
      </c>
      <c r="D490" s="23">
        <f t="shared" si="7"/>
        <v>1235</v>
      </c>
      <c r="E490" s="3"/>
    </row>
    <row r="491" spans="1:5" ht="16" x14ac:dyDescent="0.2">
      <c r="A491" s="21">
        <v>45142</v>
      </c>
      <c r="B491" s="11">
        <v>28517.200000000001</v>
      </c>
      <c r="D491" s="23">
        <f t="shared" si="7"/>
        <v>170.79999999999927</v>
      </c>
      <c r="E491" s="3"/>
    </row>
    <row r="492" spans="1:5" ht="16" x14ac:dyDescent="0.2">
      <c r="A492" s="21">
        <v>45145</v>
      </c>
      <c r="B492" s="11">
        <v>28502.799999999999</v>
      </c>
      <c r="D492" s="23">
        <f t="shared" si="7"/>
        <v>-14.400000000001455</v>
      </c>
      <c r="E492" s="3"/>
    </row>
    <row r="493" spans="1:5" ht="16" x14ac:dyDescent="0.2">
      <c r="A493" s="21">
        <v>45146</v>
      </c>
      <c r="B493" s="11">
        <v>28920.7</v>
      </c>
      <c r="D493" s="23">
        <f t="shared" si="7"/>
        <v>417.90000000000146</v>
      </c>
      <c r="E493" s="3"/>
    </row>
    <row r="494" spans="1:5" ht="16" x14ac:dyDescent="0.2">
      <c r="A494" s="21">
        <v>45147</v>
      </c>
      <c r="B494" s="11">
        <v>29035.8</v>
      </c>
      <c r="D494" s="23">
        <f t="shared" si="7"/>
        <v>115.09999999999854</v>
      </c>
      <c r="E494" s="3"/>
    </row>
    <row r="495" spans="1:5" ht="16" x14ac:dyDescent="0.2">
      <c r="A495" s="21">
        <v>45148</v>
      </c>
      <c r="B495" s="11">
        <v>29408.9</v>
      </c>
      <c r="D495" s="23">
        <f t="shared" si="7"/>
        <v>373.10000000000218</v>
      </c>
      <c r="E495" s="3"/>
    </row>
    <row r="496" spans="1:5" ht="16" x14ac:dyDescent="0.2">
      <c r="A496" s="21">
        <v>45149</v>
      </c>
      <c r="B496" s="11">
        <v>29076.3</v>
      </c>
      <c r="D496" s="23">
        <f t="shared" si="7"/>
        <v>-332.60000000000218</v>
      </c>
      <c r="E496" s="3"/>
    </row>
    <row r="497" spans="1:5" ht="16" x14ac:dyDescent="0.2">
      <c r="A497" s="21">
        <v>45152</v>
      </c>
      <c r="B497" s="11">
        <v>29706.5</v>
      </c>
      <c r="D497" s="23">
        <f t="shared" si="7"/>
        <v>630.20000000000073</v>
      </c>
      <c r="E497" s="3"/>
    </row>
    <row r="498" spans="1:5" ht="16" x14ac:dyDescent="0.2">
      <c r="A498" s="21">
        <v>45153</v>
      </c>
      <c r="B498" s="11">
        <v>29728.5</v>
      </c>
      <c r="D498" s="23">
        <f t="shared" si="7"/>
        <v>22</v>
      </c>
      <c r="E498" s="3"/>
    </row>
    <row r="499" spans="1:5" ht="16" x14ac:dyDescent="0.2">
      <c r="A499" s="21">
        <v>45154</v>
      </c>
      <c r="B499" s="11">
        <v>29937.5</v>
      </c>
      <c r="D499" s="23">
        <f t="shared" si="7"/>
        <v>209</v>
      </c>
      <c r="E499" s="3"/>
    </row>
    <row r="500" spans="1:5" ht="16" x14ac:dyDescent="0.2">
      <c r="A500" s="21">
        <v>45155</v>
      </c>
      <c r="B500" s="11">
        <v>30275.5</v>
      </c>
      <c r="D500" s="23">
        <f t="shared" si="7"/>
        <v>338</v>
      </c>
      <c r="E500" s="3"/>
    </row>
    <row r="501" spans="1:5" ht="16" x14ac:dyDescent="0.2">
      <c r="A501" s="21">
        <v>45156</v>
      </c>
      <c r="B501" s="11">
        <v>31078.7</v>
      </c>
      <c r="D501" s="23">
        <f t="shared" si="7"/>
        <v>803.20000000000073</v>
      </c>
      <c r="E501" s="3"/>
    </row>
    <row r="502" spans="1:5" ht="16" x14ac:dyDescent="0.2">
      <c r="A502" s="21">
        <v>45159</v>
      </c>
      <c r="B502" s="11">
        <v>31382.2</v>
      </c>
      <c r="D502" s="23">
        <f t="shared" si="7"/>
        <v>303.5</v>
      </c>
      <c r="E502" s="3"/>
    </row>
    <row r="503" spans="1:5" ht="16" x14ac:dyDescent="0.2">
      <c r="A503" s="21">
        <v>45160</v>
      </c>
      <c r="B503" s="11">
        <v>31451.1</v>
      </c>
      <c r="D503" s="23">
        <f t="shared" si="7"/>
        <v>68.899999999997817</v>
      </c>
      <c r="E503" s="3"/>
    </row>
    <row r="504" spans="1:5" ht="16" x14ac:dyDescent="0.2">
      <c r="A504" s="21">
        <v>45161</v>
      </c>
      <c r="B504" s="11">
        <v>31505.1</v>
      </c>
      <c r="D504" s="23">
        <f t="shared" si="7"/>
        <v>54</v>
      </c>
      <c r="E504" s="3"/>
    </row>
    <row r="505" spans="1:5" ht="16" x14ac:dyDescent="0.2">
      <c r="A505" s="21">
        <v>45162</v>
      </c>
      <c r="B505" s="11">
        <v>31169.5</v>
      </c>
      <c r="D505" s="23">
        <f t="shared" si="7"/>
        <v>-335.59999999999854</v>
      </c>
      <c r="E505" s="3"/>
    </row>
    <row r="506" spans="1:5" ht="16" x14ac:dyDescent="0.2">
      <c r="A506" s="21">
        <v>45163</v>
      </c>
      <c r="B506" s="11">
        <v>31565.5</v>
      </c>
      <c r="D506" s="23">
        <f t="shared" si="7"/>
        <v>396</v>
      </c>
      <c r="E506" s="3"/>
    </row>
    <row r="507" spans="1:5" ht="16" x14ac:dyDescent="0.2">
      <c r="A507" s="21">
        <v>45166</v>
      </c>
      <c r="B507" s="11">
        <v>31848.3</v>
      </c>
      <c r="D507" s="23">
        <f t="shared" si="7"/>
        <v>282.79999999999927</v>
      </c>
      <c r="E507" s="3"/>
    </row>
    <row r="508" spans="1:5" ht="16" x14ac:dyDescent="0.2">
      <c r="A508" s="21">
        <v>45167</v>
      </c>
      <c r="B508" s="11">
        <v>31658.400000000001</v>
      </c>
      <c r="D508" s="23">
        <f t="shared" si="7"/>
        <v>-189.89999999999782</v>
      </c>
      <c r="E508" s="3"/>
    </row>
    <row r="509" spans="1:5" ht="16" x14ac:dyDescent="0.2">
      <c r="A509" s="21">
        <v>45168</v>
      </c>
      <c r="B509" s="11">
        <v>31159.4</v>
      </c>
      <c r="D509" s="23">
        <f t="shared" si="7"/>
        <v>-499</v>
      </c>
      <c r="E509" s="3"/>
    </row>
    <row r="510" spans="1:5" ht="16" x14ac:dyDescent="0.2">
      <c r="A510" s="21">
        <v>45169</v>
      </c>
      <c r="B510" s="11">
        <v>31343</v>
      </c>
      <c r="D510" s="23">
        <f t="shared" si="7"/>
        <v>183.59999999999854</v>
      </c>
      <c r="E510" s="3"/>
    </row>
    <row r="511" spans="1:5" ht="16" x14ac:dyDescent="0.2">
      <c r="A511" s="21">
        <v>45170</v>
      </c>
      <c r="B511" s="11">
        <v>30795.200000000001</v>
      </c>
      <c r="D511" s="23">
        <f t="shared" si="7"/>
        <v>-547.79999999999927</v>
      </c>
      <c r="E511" s="3"/>
    </row>
    <row r="512" spans="1:5" ht="16" x14ac:dyDescent="0.2">
      <c r="A512" s="21">
        <v>45173</v>
      </c>
      <c r="B512" s="11">
        <v>31000.3</v>
      </c>
      <c r="D512" s="23">
        <f t="shared" si="7"/>
        <v>205.09999999999854</v>
      </c>
      <c r="E512" s="3"/>
    </row>
    <row r="513" spans="1:5" ht="16" x14ac:dyDescent="0.2">
      <c r="A513" s="21">
        <v>45174</v>
      </c>
      <c r="B513" s="11">
        <v>30895.4</v>
      </c>
      <c r="D513" s="23">
        <f t="shared" si="7"/>
        <v>-104.89999999999782</v>
      </c>
      <c r="E513" s="3"/>
    </row>
    <row r="514" spans="1:5" ht="16" x14ac:dyDescent="0.2">
      <c r="A514" s="21">
        <v>45175</v>
      </c>
      <c r="B514" s="11">
        <v>30941.5</v>
      </c>
      <c r="D514" s="23">
        <f t="shared" si="7"/>
        <v>46.099999999998545</v>
      </c>
      <c r="E514" s="3"/>
    </row>
    <row r="515" spans="1:5" ht="16" x14ac:dyDescent="0.2">
      <c r="A515" s="21">
        <v>45176</v>
      </c>
      <c r="B515" s="11">
        <v>31249.599999999999</v>
      </c>
      <c r="D515" s="23">
        <f t="shared" si="7"/>
        <v>308.09999999999854</v>
      </c>
      <c r="E515" s="3"/>
    </row>
    <row r="516" spans="1:5" ht="16" x14ac:dyDescent="0.2">
      <c r="A516" s="21">
        <v>45177</v>
      </c>
      <c r="B516" s="11">
        <v>31620</v>
      </c>
      <c r="D516" s="23">
        <f t="shared" si="7"/>
        <v>370.40000000000146</v>
      </c>
      <c r="E516" s="3"/>
    </row>
    <row r="517" spans="1:5" ht="16" x14ac:dyDescent="0.2">
      <c r="A517" s="21">
        <v>45180</v>
      </c>
      <c r="B517" s="11">
        <v>31731.3</v>
      </c>
      <c r="D517" s="23">
        <f t="shared" ref="D517:D580" si="8">B517-B516</f>
        <v>111.29999999999927</v>
      </c>
      <c r="E517" s="3"/>
    </row>
    <row r="518" spans="1:5" ht="16" x14ac:dyDescent="0.2">
      <c r="A518" s="21">
        <v>45181</v>
      </c>
      <c r="B518" s="11">
        <v>31586.6</v>
      </c>
      <c r="D518" s="23">
        <f t="shared" si="8"/>
        <v>-144.70000000000073</v>
      </c>
      <c r="E518" s="3"/>
    </row>
    <row r="519" spans="1:5" ht="16" x14ac:dyDescent="0.2">
      <c r="A519" s="21">
        <v>45182</v>
      </c>
      <c r="B519" s="11">
        <v>31609.9</v>
      </c>
      <c r="D519" s="23">
        <f t="shared" si="8"/>
        <v>23.30000000000291</v>
      </c>
      <c r="E519" s="3"/>
    </row>
    <row r="520" spans="1:5" ht="16" x14ac:dyDescent="0.2">
      <c r="A520" s="21">
        <v>45183</v>
      </c>
      <c r="B520" s="11">
        <v>31491.9</v>
      </c>
      <c r="D520" s="23">
        <f t="shared" si="8"/>
        <v>-118</v>
      </c>
      <c r="E520" s="3"/>
    </row>
    <row r="521" spans="1:5" ht="16" x14ac:dyDescent="0.2">
      <c r="A521" s="21">
        <v>45184</v>
      </c>
      <c r="B521" s="11">
        <v>31147</v>
      </c>
      <c r="D521" s="23">
        <f t="shared" si="8"/>
        <v>-344.90000000000146</v>
      </c>
      <c r="E521" s="3"/>
    </row>
    <row r="522" spans="1:5" ht="16" x14ac:dyDescent="0.2">
      <c r="A522" s="21">
        <v>45187</v>
      </c>
      <c r="B522" s="11">
        <v>31450.3</v>
      </c>
      <c r="D522" s="23">
        <f t="shared" si="8"/>
        <v>303.29999999999927</v>
      </c>
      <c r="E522" s="3"/>
    </row>
    <row r="523" spans="1:5" ht="16" x14ac:dyDescent="0.2">
      <c r="A523" s="21">
        <v>45188</v>
      </c>
      <c r="B523" s="11">
        <v>31634.7</v>
      </c>
      <c r="D523" s="23">
        <f t="shared" si="8"/>
        <v>184.40000000000146</v>
      </c>
      <c r="E523" s="3"/>
    </row>
    <row r="524" spans="1:5" ht="16" x14ac:dyDescent="0.2">
      <c r="A524" s="21">
        <v>45189</v>
      </c>
      <c r="B524" s="11">
        <v>31331.4</v>
      </c>
      <c r="D524" s="23">
        <f t="shared" si="8"/>
        <v>-303.29999999999927</v>
      </c>
      <c r="E524" s="3"/>
    </row>
    <row r="525" spans="1:5" ht="16" x14ac:dyDescent="0.2">
      <c r="A525" s="21">
        <v>45190</v>
      </c>
      <c r="B525" s="11">
        <v>31098.6</v>
      </c>
      <c r="D525" s="23">
        <f t="shared" si="8"/>
        <v>-232.80000000000291</v>
      </c>
      <c r="E525" s="3"/>
    </row>
    <row r="526" spans="1:5" ht="16" x14ac:dyDescent="0.2">
      <c r="A526" s="21">
        <v>45191</v>
      </c>
      <c r="B526" s="11">
        <v>31923.9</v>
      </c>
      <c r="D526" s="23">
        <f t="shared" si="8"/>
        <v>825.30000000000291</v>
      </c>
      <c r="E526" s="3"/>
    </row>
    <row r="527" spans="1:5" ht="16" x14ac:dyDescent="0.2">
      <c r="A527" s="21">
        <v>45194</v>
      </c>
      <c r="B527" s="11">
        <v>31935.9</v>
      </c>
      <c r="D527" s="23">
        <f t="shared" si="8"/>
        <v>12</v>
      </c>
      <c r="E527" s="3"/>
    </row>
    <row r="528" spans="1:5" ht="16" x14ac:dyDescent="0.2">
      <c r="A528" s="21">
        <v>45195</v>
      </c>
      <c r="B528" s="11">
        <v>32071.4</v>
      </c>
      <c r="D528" s="23">
        <f t="shared" si="8"/>
        <v>135.5</v>
      </c>
      <c r="E528" s="3"/>
    </row>
    <row r="529" spans="1:5" ht="16" x14ac:dyDescent="0.2">
      <c r="A529" s="21">
        <v>45196</v>
      </c>
      <c r="B529" s="11">
        <v>32595.1</v>
      </c>
      <c r="D529" s="23">
        <f t="shared" si="8"/>
        <v>523.69999999999709</v>
      </c>
      <c r="E529" s="3"/>
    </row>
    <row r="530" spans="1:5" ht="16" x14ac:dyDescent="0.2">
      <c r="A530" s="21">
        <v>45197</v>
      </c>
      <c r="B530" s="11">
        <v>32735.7</v>
      </c>
      <c r="D530" s="23">
        <f t="shared" si="8"/>
        <v>140.60000000000218</v>
      </c>
      <c r="E530" s="3"/>
    </row>
    <row r="531" spans="1:5" ht="16" x14ac:dyDescent="0.2">
      <c r="A531" s="21">
        <v>45198</v>
      </c>
      <c r="B531" s="11">
        <v>32991.4</v>
      </c>
      <c r="D531" s="23">
        <f t="shared" si="8"/>
        <v>255.70000000000073</v>
      </c>
      <c r="E531" s="3"/>
    </row>
    <row r="532" spans="1:5" ht="16" x14ac:dyDescent="0.2">
      <c r="A532" s="21">
        <v>45201</v>
      </c>
      <c r="B532" s="11">
        <v>32283.1</v>
      </c>
      <c r="D532" s="23">
        <f t="shared" si="8"/>
        <v>-708.30000000000291</v>
      </c>
      <c r="E532" s="3"/>
    </row>
    <row r="533" spans="1:5" ht="16" x14ac:dyDescent="0.2">
      <c r="A533" s="21">
        <v>45202</v>
      </c>
      <c r="B533" s="11">
        <v>32269.599999999999</v>
      </c>
      <c r="D533" s="23">
        <f t="shared" si="8"/>
        <v>-13.5</v>
      </c>
      <c r="E533" s="3"/>
    </row>
    <row r="534" spans="1:5" ht="16" x14ac:dyDescent="0.2">
      <c r="A534" s="21">
        <v>45203</v>
      </c>
      <c r="B534" s="11">
        <v>32787.1</v>
      </c>
      <c r="D534" s="23">
        <f t="shared" si="8"/>
        <v>517.5</v>
      </c>
      <c r="E534" s="3"/>
    </row>
    <row r="535" spans="1:5" ht="16" x14ac:dyDescent="0.2">
      <c r="A535" s="21">
        <v>45204</v>
      </c>
      <c r="B535" s="11">
        <v>32548</v>
      </c>
      <c r="D535" s="23">
        <f t="shared" si="8"/>
        <v>-239.09999999999854</v>
      </c>
      <c r="E535" s="3"/>
    </row>
    <row r="536" spans="1:5" ht="16" x14ac:dyDescent="0.2">
      <c r="A536" s="21">
        <v>45205</v>
      </c>
      <c r="B536" s="11">
        <v>32591.4</v>
      </c>
      <c r="D536" s="23">
        <f t="shared" si="8"/>
        <v>43.400000000001455</v>
      </c>
      <c r="E536" s="3"/>
    </row>
    <row r="537" spans="1:5" ht="16" x14ac:dyDescent="0.2">
      <c r="A537" s="21">
        <v>45208</v>
      </c>
      <c r="B537" s="11">
        <v>32605.1</v>
      </c>
      <c r="D537" s="23">
        <f t="shared" si="8"/>
        <v>13.69999999999709</v>
      </c>
      <c r="E537" s="3"/>
    </row>
    <row r="538" spans="1:5" ht="16" x14ac:dyDescent="0.2">
      <c r="A538" s="21">
        <v>45209</v>
      </c>
      <c r="B538" s="11">
        <v>32825.599999999999</v>
      </c>
      <c r="D538" s="23">
        <f t="shared" si="8"/>
        <v>220.5</v>
      </c>
      <c r="E538" s="3"/>
    </row>
    <row r="539" spans="1:5" ht="16" x14ac:dyDescent="0.2">
      <c r="A539" s="21">
        <v>45210</v>
      </c>
      <c r="B539" s="11">
        <v>32053</v>
      </c>
      <c r="D539" s="23">
        <f t="shared" si="8"/>
        <v>-772.59999999999854</v>
      </c>
      <c r="E539" s="3"/>
    </row>
    <row r="540" spans="1:5" ht="16" x14ac:dyDescent="0.2">
      <c r="A540" s="21">
        <v>45211</v>
      </c>
      <c r="B540" s="11">
        <v>31909.9</v>
      </c>
      <c r="D540" s="23">
        <f t="shared" si="8"/>
        <v>-143.09999999999854</v>
      </c>
      <c r="E540" s="3"/>
    </row>
    <row r="541" spans="1:5" ht="16" x14ac:dyDescent="0.2">
      <c r="A541" s="21">
        <v>45212</v>
      </c>
      <c r="B541" s="11">
        <v>32086.1</v>
      </c>
      <c r="D541" s="23">
        <f t="shared" si="8"/>
        <v>176.19999999999709</v>
      </c>
      <c r="E541" s="3"/>
    </row>
    <row r="542" spans="1:5" ht="16" x14ac:dyDescent="0.2">
      <c r="A542" s="21">
        <v>45215</v>
      </c>
      <c r="B542" s="11">
        <v>32677.599999999999</v>
      </c>
      <c r="D542" s="23">
        <f t="shared" si="8"/>
        <v>591.5</v>
      </c>
      <c r="E542" s="3"/>
    </row>
    <row r="543" spans="1:5" ht="16" x14ac:dyDescent="0.2">
      <c r="A543" s="21">
        <v>45216</v>
      </c>
      <c r="B543" s="11">
        <v>32495.200000000001</v>
      </c>
      <c r="D543" s="23">
        <f t="shared" si="8"/>
        <v>-182.39999999999782</v>
      </c>
      <c r="E543" s="3"/>
    </row>
    <row r="544" spans="1:5" ht="16" x14ac:dyDescent="0.2">
      <c r="A544" s="21">
        <v>45217</v>
      </c>
      <c r="B544" s="11">
        <v>33037</v>
      </c>
      <c r="D544" s="23">
        <f t="shared" si="8"/>
        <v>541.79999999999927</v>
      </c>
      <c r="E544" s="3"/>
    </row>
    <row r="545" spans="1:5" ht="16" x14ac:dyDescent="0.2">
      <c r="A545" s="21">
        <v>45218</v>
      </c>
      <c r="B545" s="11">
        <v>33699.800000000003</v>
      </c>
      <c r="D545" s="23">
        <f t="shared" si="8"/>
        <v>662.80000000000291</v>
      </c>
      <c r="E545" s="3"/>
    </row>
    <row r="546" spans="1:5" ht="16" x14ac:dyDescent="0.2">
      <c r="A546" s="21">
        <v>45219</v>
      </c>
      <c r="B546" s="11">
        <v>33603.800000000003</v>
      </c>
      <c r="D546" s="23">
        <f t="shared" si="8"/>
        <v>-96</v>
      </c>
      <c r="E546" s="3"/>
    </row>
    <row r="547" spans="1:5" ht="16" x14ac:dyDescent="0.2">
      <c r="A547" s="21">
        <v>45222</v>
      </c>
      <c r="B547" s="11">
        <v>33881.5</v>
      </c>
      <c r="D547" s="23">
        <f t="shared" si="8"/>
        <v>277.69999999999709</v>
      </c>
      <c r="E547" s="3"/>
    </row>
    <row r="548" spans="1:5" ht="16" x14ac:dyDescent="0.2">
      <c r="A548" s="21">
        <v>45223</v>
      </c>
      <c r="B548" s="11">
        <v>33955.9</v>
      </c>
      <c r="D548" s="23">
        <f t="shared" si="8"/>
        <v>74.400000000001455</v>
      </c>
      <c r="E548" s="3"/>
    </row>
    <row r="549" spans="1:5" ht="16" x14ac:dyDescent="0.2">
      <c r="A549" s="21">
        <v>45224</v>
      </c>
      <c r="B549" s="11">
        <v>33562.1</v>
      </c>
      <c r="D549" s="23">
        <f t="shared" si="8"/>
        <v>-393.80000000000291</v>
      </c>
      <c r="E549" s="3"/>
    </row>
    <row r="550" spans="1:5" ht="16" x14ac:dyDescent="0.2">
      <c r="A550" s="21">
        <v>45225</v>
      </c>
      <c r="B550" s="11">
        <v>34506.400000000001</v>
      </c>
      <c r="D550" s="23">
        <f t="shared" si="8"/>
        <v>944.30000000000291</v>
      </c>
      <c r="E550" s="3"/>
    </row>
    <row r="551" spans="1:5" ht="16" x14ac:dyDescent="0.2">
      <c r="A551" s="21">
        <v>45226</v>
      </c>
      <c r="B551" s="11">
        <v>34850.800000000003</v>
      </c>
      <c r="D551" s="23">
        <f t="shared" si="8"/>
        <v>344.40000000000146</v>
      </c>
      <c r="E551" s="3"/>
    </row>
    <row r="552" spans="1:5" ht="16" x14ac:dyDescent="0.2">
      <c r="A552" s="21">
        <v>45229</v>
      </c>
      <c r="B552" s="11">
        <v>34423.699999999997</v>
      </c>
      <c r="D552" s="23">
        <f t="shared" si="8"/>
        <v>-427.10000000000582</v>
      </c>
      <c r="E552" s="3"/>
    </row>
    <row r="553" spans="1:5" ht="16" x14ac:dyDescent="0.2">
      <c r="A553" s="21">
        <v>45230</v>
      </c>
      <c r="B553" s="11">
        <v>34698.6</v>
      </c>
      <c r="D553" s="23">
        <f t="shared" si="8"/>
        <v>274.90000000000146</v>
      </c>
      <c r="E553" s="3"/>
    </row>
    <row r="554" spans="1:5" ht="16" x14ac:dyDescent="0.2">
      <c r="A554" s="21">
        <v>45231</v>
      </c>
      <c r="B554" s="11">
        <v>34458.1</v>
      </c>
      <c r="D554" s="23">
        <f t="shared" si="8"/>
        <v>-240.5</v>
      </c>
      <c r="E554" s="3"/>
    </row>
    <row r="555" spans="1:5" ht="16" x14ac:dyDescent="0.2">
      <c r="A555" s="21">
        <v>45232</v>
      </c>
      <c r="B555" s="11">
        <v>34221.300000000003</v>
      </c>
      <c r="D555" s="23">
        <f t="shared" si="8"/>
        <v>-236.79999999999563</v>
      </c>
      <c r="E555" s="3"/>
    </row>
    <row r="556" spans="1:5" ht="16" x14ac:dyDescent="0.2">
      <c r="A556" s="21">
        <v>45233</v>
      </c>
      <c r="B556" s="11">
        <v>33315.199999999997</v>
      </c>
      <c r="D556" s="23">
        <f t="shared" si="8"/>
        <v>-906.10000000000582</v>
      </c>
      <c r="E556" s="3"/>
    </row>
    <row r="557" spans="1:5" ht="16" x14ac:dyDescent="0.2">
      <c r="A557" s="21">
        <v>45236</v>
      </c>
      <c r="B557" s="11">
        <v>32541.4</v>
      </c>
      <c r="D557" s="23">
        <f t="shared" si="8"/>
        <v>-773.79999999999563</v>
      </c>
      <c r="E557" s="3"/>
    </row>
    <row r="558" spans="1:5" ht="16" x14ac:dyDescent="0.2">
      <c r="A558" s="21">
        <v>45237</v>
      </c>
      <c r="B558" s="11">
        <v>33179.5</v>
      </c>
      <c r="D558" s="23">
        <f t="shared" si="8"/>
        <v>638.09999999999854</v>
      </c>
      <c r="E558" s="3"/>
    </row>
    <row r="559" spans="1:5" ht="16" x14ac:dyDescent="0.2">
      <c r="A559" s="21">
        <v>45238</v>
      </c>
      <c r="B559" s="11">
        <v>32959.9</v>
      </c>
      <c r="D559" s="23">
        <f t="shared" si="8"/>
        <v>-219.59999999999854</v>
      </c>
      <c r="E559" s="3"/>
    </row>
    <row r="560" spans="1:5" ht="16" x14ac:dyDescent="0.2">
      <c r="A560" s="21">
        <v>45239</v>
      </c>
      <c r="B560" s="11">
        <v>32873.800000000003</v>
      </c>
      <c r="D560" s="23">
        <f t="shared" si="8"/>
        <v>-86.099999999998545</v>
      </c>
      <c r="E560" s="3"/>
    </row>
    <row r="561" spans="1:5" ht="16" x14ac:dyDescent="0.2">
      <c r="A561" s="21">
        <v>45240</v>
      </c>
      <c r="B561" s="11">
        <v>32724.799999999999</v>
      </c>
      <c r="D561" s="23">
        <f t="shared" si="8"/>
        <v>-149.00000000000364</v>
      </c>
      <c r="E561" s="3"/>
    </row>
    <row r="562" spans="1:5" ht="16" x14ac:dyDescent="0.2">
      <c r="A562" s="21">
        <v>45243</v>
      </c>
      <c r="B562" s="11">
        <v>33104.400000000001</v>
      </c>
      <c r="D562" s="23">
        <f t="shared" si="8"/>
        <v>379.60000000000218</v>
      </c>
      <c r="E562" s="3"/>
    </row>
    <row r="563" spans="1:5" ht="16" x14ac:dyDescent="0.2">
      <c r="A563" s="21">
        <v>45244</v>
      </c>
      <c r="B563" s="11">
        <v>33063.300000000003</v>
      </c>
      <c r="D563" s="23">
        <f t="shared" si="8"/>
        <v>-41.099999999998545</v>
      </c>
      <c r="E563" s="3"/>
    </row>
    <row r="564" spans="1:5" ht="16" x14ac:dyDescent="0.2">
      <c r="A564" s="21">
        <v>45245</v>
      </c>
      <c r="B564" s="11">
        <v>31615.599999999999</v>
      </c>
      <c r="D564" s="23">
        <f t="shared" si="8"/>
        <v>-1447.7000000000044</v>
      </c>
      <c r="E564" s="3"/>
    </row>
    <row r="565" spans="1:5" ht="16" x14ac:dyDescent="0.2">
      <c r="A565" s="21">
        <v>45246</v>
      </c>
      <c r="B565" s="11">
        <v>31380.1</v>
      </c>
      <c r="D565" s="23">
        <f t="shared" si="8"/>
        <v>-235.5</v>
      </c>
      <c r="E565" s="3"/>
    </row>
    <row r="566" spans="1:5" ht="16" x14ac:dyDescent="0.2">
      <c r="A566" s="21">
        <v>45247</v>
      </c>
      <c r="B566" s="11">
        <v>31478.3</v>
      </c>
      <c r="D566" s="23">
        <f t="shared" si="8"/>
        <v>98.200000000000728</v>
      </c>
      <c r="E566" s="3"/>
    </row>
    <row r="567" spans="1:5" ht="16" x14ac:dyDescent="0.2">
      <c r="A567" s="21">
        <v>45250</v>
      </c>
      <c r="B567" s="11">
        <v>31257.200000000001</v>
      </c>
      <c r="D567" s="23">
        <f t="shared" si="8"/>
        <v>-221.09999999999854</v>
      </c>
      <c r="E567" s="3"/>
    </row>
    <row r="568" spans="1:5" ht="16" x14ac:dyDescent="0.2">
      <c r="A568" s="21">
        <v>45251</v>
      </c>
      <c r="B568" s="11">
        <v>30915.3</v>
      </c>
      <c r="D568" s="23">
        <f t="shared" si="8"/>
        <v>-341.90000000000146</v>
      </c>
      <c r="E568" s="3"/>
    </row>
    <row r="569" spans="1:5" ht="16" x14ac:dyDescent="0.2">
      <c r="A569" s="21">
        <v>45252</v>
      </c>
      <c r="B569" s="11">
        <v>31215.9</v>
      </c>
      <c r="D569" s="23">
        <f t="shared" si="8"/>
        <v>300.60000000000218</v>
      </c>
      <c r="E569" s="3"/>
    </row>
    <row r="570" spans="1:5" ht="16" x14ac:dyDescent="0.2">
      <c r="A570" s="21">
        <v>45253</v>
      </c>
      <c r="B570" s="11">
        <v>31341.5</v>
      </c>
      <c r="D570" s="23">
        <f t="shared" si="8"/>
        <v>125.59999999999854</v>
      </c>
      <c r="E570" s="3"/>
    </row>
    <row r="571" spans="1:5" ht="16" x14ac:dyDescent="0.2">
      <c r="A571" s="21">
        <v>45254</v>
      </c>
      <c r="B571" s="11">
        <v>31375.200000000001</v>
      </c>
      <c r="D571" s="23">
        <f t="shared" si="8"/>
        <v>33.700000000000728</v>
      </c>
      <c r="E571" s="3"/>
    </row>
    <row r="572" spans="1:5" ht="16" x14ac:dyDescent="0.2">
      <c r="A572" s="21">
        <v>45257</v>
      </c>
      <c r="B572" s="11">
        <v>31338.1</v>
      </c>
      <c r="D572" s="23">
        <f t="shared" si="8"/>
        <v>-37.100000000002183</v>
      </c>
      <c r="E572" s="3"/>
    </row>
    <row r="573" spans="1:5" ht="16" x14ac:dyDescent="0.2">
      <c r="A573" s="21">
        <v>45258</v>
      </c>
      <c r="B573" s="11">
        <v>31132.400000000001</v>
      </c>
      <c r="D573" s="23">
        <f t="shared" si="8"/>
        <v>-205.69999999999709</v>
      </c>
      <c r="E573" s="3"/>
    </row>
    <row r="574" spans="1:5" ht="16" x14ac:dyDescent="0.2">
      <c r="A574" s="21">
        <v>45259</v>
      </c>
      <c r="B574" s="11">
        <v>31087.599999999999</v>
      </c>
      <c r="D574" s="23">
        <f t="shared" si="8"/>
        <v>-44.80000000000291</v>
      </c>
      <c r="E574" s="3"/>
    </row>
    <row r="575" spans="1:5" ht="16" x14ac:dyDescent="0.2">
      <c r="A575" s="21">
        <v>45260</v>
      </c>
      <c r="B575" s="11">
        <v>30548.2</v>
      </c>
      <c r="D575" s="23">
        <f t="shared" si="8"/>
        <v>-539.39999999999782</v>
      </c>
      <c r="E575" s="3"/>
    </row>
    <row r="576" spans="1:5" ht="16" x14ac:dyDescent="0.2">
      <c r="A576" s="21">
        <v>45261</v>
      </c>
      <c r="B576" s="11">
        <v>30969.4</v>
      </c>
      <c r="D576" s="23">
        <f t="shared" si="8"/>
        <v>421.20000000000073</v>
      </c>
      <c r="E576" s="3"/>
    </row>
    <row r="577" spans="1:5" ht="16" x14ac:dyDescent="0.2">
      <c r="A577" s="21">
        <v>45262</v>
      </c>
      <c r="B577" s="11">
        <v>30969.4</v>
      </c>
      <c r="D577" s="23">
        <f t="shared" si="8"/>
        <v>0</v>
      </c>
      <c r="E577" s="3"/>
    </row>
    <row r="578" spans="1:5" ht="16" x14ac:dyDescent="0.2">
      <c r="A578" s="21">
        <v>45263</v>
      </c>
      <c r="B578" s="11">
        <v>30969.4</v>
      </c>
      <c r="D578" s="23">
        <f t="shared" si="8"/>
        <v>0</v>
      </c>
      <c r="E578" s="3"/>
    </row>
    <row r="579" spans="1:5" ht="16" x14ac:dyDescent="0.2">
      <c r="A579" s="21">
        <v>45264</v>
      </c>
      <c r="B579" s="11">
        <v>30740.2</v>
      </c>
      <c r="D579" s="23">
        <f t="shared" si="8"/>
        <v>-229.20000000000073</v>
      </c>
      <c r="E579" s="3"/>
    </row>
    <row r="580" spans="1:5" ht="16" x14ac:dyDescent="0.2">
      <c r="A580" s="21">
        <v>45265</v>
      </c>
      <c r="B580" s="11">
        <v>31022.7</v>
      </c>
      <c r="D580" s="23">
        <f t="shared" si="8"/>
        <v>282.5</v>
      </c>
      <c r="E580" s="3"/>
    </row>
    <row r="581" spans="1:5" ht="16" x14ac:dyDescent="0.2">
      <c r="A581" s="21">
        <v>45266</v>
      </c>
      <c r="B581" s="11">
        <v>30603.3</v>
      </c>
      <c r="D581" s="23">
        <f t="shared" ref="D581:D644" si="9">B581-B580</f>
        <v>-419.40000000000146</v>
      </c>
      <c r="E581" s="3"/>
    </row>
    <row r="582" spans="1:5" ht="16" x14ac:dyDescent="0.2">
      <c r="A582" s="21">
        <v>45267</v>
      </c>
      <c r="B582" s="11">
        <v>30598.2</v>
      </c>
      <c r="D582" s="23">
        <f t="shared" si="9"/>
        <v>-5.0999999999985448</v>
      </c>
      <c r="E582" s="3"/>
    </row>
    <row r="583" spans="1:5" ht="16" x14ac:dyDescent="0.2">
      <c r="A583" s="21">
        <v>45268</v>
      </c>
      <c r="B583" s="11">
        <v>30532.3</v>
      </c>
      <c r="D583" s="23">
        <f t="shared" si="9"/>
        <v>-65.900000000001455</v>
      </c>
      <c r="E583" s="3"/>
    </row>
    <row r="584" spans="1:5" ht="16" x14ac:dyDescent="0.2">
      <c r="A584" s="21">
        <v>45269</v>
      </c>
      <c r="B584" s="11">
        <v>30532.3</v>
      </c>
      <c r="D584" s="23">
        <f t="shared" si="9"/>
        <v>0</v>
      </c>
      <c r="E584" s="3"/>
    </row>
    <row r="585" spans="1:5" ht="16" x14ac:dyDescent="0.2">
      <c r="A585" s="21">
        <v>45270</v>
      </c>
      <c r="B585" s="11">
        <v>30532.3</v>
      </c>
      <c r="D585" s="23">
        <f t="shared" si="9"/>
        <v>0</v>
      </c>
      <c r="E585" s="3"/>
    </row>
    <row r="586" spans="1:5" ht="16" x14ac:dyDescent="0.2">
      <c r="A586" s="21">
        <v>45271</v>
      </c>
      <c r="B586" s="11">
        <v>30993.7</v>
      </c>
      <c r="D586" s="23">
        <f t="shared" si="9"/>
        <v>461.40000000000146</v>
      </c>
      <c r="E586" s="3"/>
    </row>
    <row r="587" spans="1:5" ht="16" x14ac:dyDescent="0.2">
      <c r="A587" s="21">
        <v>45272</v>
      </c>
      <c r="B587" s="11">
        <v>31960.400000000001</v>
      </c>
      <c r="D587" s="23">
        <f t="shared" si="9"/>
        <v>966.70000000000073</v>
      </c>
      <c r="E587" s="3"/>
    </row>
    <row r="588" spans="1:5" ht="16" x14ac:dyDescent="0.2">
      <c r="A588" s="21">
        <v>45273</v>
      </c>
      <c r="B588" s="11">
        <v>31573.3</v>
      </c>
      <c r="D588" s="23">
        <f t="shared" si="9"/>
        <v>-387.10000000000218</v>
      </c>
      <c r="E588" s="3"/>
    </row>
    <row r="589" spans="1:5" ht="16" x14ac:dyDescent="0.2">
      <c r="A589" s="21">
        <v>45274</v>
      </c>
      <c r="B589" s="11">
        <v>28632</v>
      </c>
      <c r="D589" s="23">
        <f t="shared" si="9"/>
        <v>-2941.2999999999993</v>
      </c>
      <c r="E589" s="3"/>
    </row>
    <row r="590" spans="1:5" ht="16" x14ac:dyDescent="0.2">
      <c r="A590" s="21">
        <v>45275</v>
      </c>
      <c r="B590" s="11">
        <v>28980.400000000001</v>
      </c>
      <c r="D590" s="23">
        <f t="shared" si="9"/>
        <v>348.40000000000146</v>
      </c>
      <c r="E590" s="3"/>
    </row>
    <row r="591" spans="1:5" ht="16" x14ac:dyDescent="0.2">
      <c r="A591" s="21">
        <v>45276</v>
      </c>
      <c r="B591" s="11">
        <v>28980.400000000001</v>
      </c>
      <c r="D591" s="23">
        <f t="shared" si="9"/>
        <v>0</v>
      </c>
      <c r="E591" s="3"/>
    </row>
    <row r="592" spans="1:5" ht="16" x14ac:dyDescent="0.2">
      <c r="A592" s="21">
        <v>45277</v>
      </c>
      <c r="B592" s="11">
        <v>28980.400000000001</v>
      </c>
      <c r="D592" s="23">
        <f t="shared" si="9"/>
        <v>0</v>
      </c>
      <c r="E592" s="3"/>
    </row>
    <row r="593" spans="1:5" ht="16" x14ac:dyDescent="0.2">
      <c r="A593" s="21">
        <v>45278</v>
      </c>
      <c r="B593" s="11">
        <v>29396.1</v>
      </c>
      <c r="D593" s="23">
        <f t="shared" si="9"/>
        <v>415.69999999999709</v>
      </c>
      <c r="E593" s="3"/>
    </row>
    <row r="594" spans="1:5" ht="16" x14ac:dyDescent="0.2">
      <c r="A594" s="21">
        <v>45279</v>
      </c>
      <c r="B594" s="11">
        <v>28221.8</v>
      </c>
      <c r="D594" s="23">
        <f t="shared" si="9"/>
        <v>-1174.2999999999993</v>
      </c>
      <c r="E594" s="3"/>
    </row>
    <row r="595" spans="1:5" ht="16" x14ac:dyDescent="0.2">
      <c r="A595" s="21">
        <v>45280</v>
      </c>
      <c r="B595" s="11">
        <v>28650.7</v>
      </c>
      <c r="D595" s="23">
        <f t="shared" si="9"/>
        <v>428.90000000000146</v>
      </c>
      <c r="E595" s="3"/>
    </row>
    <row r="596" spans="1:5" ht="16" x14ac:dyDescent="0.2">
      <c r="A596" s="21">
        <v>45281</v>
      </c>
      <c r="B596" s="11">
        <v>28450.1</v>
      </c>
      <c r="D596" s="23">
        <f t="shared" si="9"/>
        <v>-200.60000000000218</v>
      </c>
      <c r="E596" s="3"/>
    </row>
    <row r="597" spans="1:5" ht="16" x14ac:dyDescent="0.2">
      <c r="A597" s="21">
        <v>45282</v>
      </c>
      <c r="B597" s="11">
        <v>28920</v>
      </c>
      <c r="D597" s="23">
        <f t="shared" si="9"/>
        <v>469.90000000000146</v>
      </c>
      <c r="E597" s="3"/>
    </row>
    <row r="598" spans="1:5" ht="16" x14ac:dyDescent="0.2">
      <c r="A598" s="21">
        <v>45283</v>
      </c>
      <c r="B598" s="11">
        <v>28920</v>
      </c>
      <c r="D598" s="23">
        <f t="shared" si="9"/>
        <v>0</v>
      </c>
      <c r="E598" s="3"/>
    </row>
    <row r="599" spans="1:5" ht="16" x14ac:dyDescent="0.2">
      <c r="A599" s="21">
        <v>45284</v>
      </c>
      <c r="B599" s="11">
        <v>28920</v>
      </c>
      <c r="D599" s="23">
        <f t="shared" si="9"/>
        <v>0</v>
      </c>
      <c r="E599" s="3"/>
    </row>
    <row r="600" spans="1:5" ht="16" x14ac:dyDescent="0.2">
      <c r="A600" s="21">
        <v>45285</v>
      </c>
      <c r="B600" s="11">
        <v>28919</v>
      </c>
      <c r="D600" s="23">
        <f t="shared" si="9"/>
        <v>-1</v>
      </c>
      <c r="E600" s="3"/>
    </row>
    <row r="601" spans="1:5" ht="16" x14ac:dyDescent="0.2">
      <c r="A601" s="21">
        <v>45286</v>
      </c>
      <c r="B601" s="11">
        <v>28833.4</v>
      </c>
      <c r="D601" s="23">
        <f t="shared" si="9"/>
        <v>-85.599999999998545</v>
      </c>
      <c r="E601" s="3"/>
    </row>
    <row r="602" spans="1:5" ht="16" x14ac:dyDescent="0.2">
      <c r="A602" s="21">
        <v>45287</v>
      </c>
      <c r="B602" s="11">
        <v>28503.200000000001</v>
      </c>
      <c r="D602" s="23">
        <f t="shared" si="9"/>
        <v>-330.20000000000073</v>
      </c>
      <c r="E602" s="3"/>
    </row>
    <row r="603" spans="1:5" ht="16" x14ac:dyDescent="0.2">
      <c r="A603" s="21">
        <v>45288</v>
      </c>
      <c r="B603" s="11">
        <v>28462.400000000001</v>
      </c>
      <c r="D603" s="23">
        <f t="shared" si="9"/>
        <v>-40.799999999999272</v>
      </c>
      <c r="E603" s="3"/>
    </row>
    <row r="604" spans="1:5" ht="16" x14ac:dyDescent="0.2">
      <c r="A604" s="21">
        <v>45289</v>
      </c>
      <c r="B604" s="11">
        <v>28760.1</v>
      </c>
      <c r="D604" s="23">
        <f t="shared" si="9"/>
        <v>297.69999999999709</v>
      </c>
      <c r="E604" s="3"/>
    </row>
    <row r="605" spans="1:5" ht="16" x14ac:dyDescent="0.2">
      <c r="A605" s="21">
        <v>45290</v>
      </c>
      <c r="B605" s="11">
        <v>28760.1</v>
      </c>
      <c r="D605" s="23">
        <f t="shared" si="9"/>
        <v>0</v>
      </c>
      <c r="E605" s="3"/>
    </row>
    <row r="606" spans="1:5" ht="16" x14ac:dyDescent="0.2">
      <c r="A606" s="21">
        <v>45291</v>
      </c>
      <c r="B606" s="11">
        <v>28760.1</v>
      </c>
      <c r="D606" s="23">
        <f t="shared" si="9"/>
        <v>0</v>
      </c>
      <c r="E606" s="3"/>
    </row>
    <row r="607" spans="1:5" ht="16" x14ac:dyDescent="0.2">
      <c r="A607" s="21">
        <v>45292</v>
      </c>
      <c r="B607" s="11">
        <v>28767.200000000001</v>
      </c>
      <c r="D607" s="23">
        <f t="shared" si="9"/>
        <v>7.1000000000021828</v>
      </c>
      <c r="E607" s="3"/>
    </row>
    <row r="608" spans="1:5" ht="16" x14ac:dyDescent="0.2">
      <c r="A608" s="21">
        <v>45293</v>
      </c>
      <c r="B608" s="11">
        <v>29462.1</v>
      </c>
      <c r="D608" s="23">
        <f t="shared" si="9"/>
        <v>694.89999999999782</v>
      </c>
      <c r="E608" s="3"/>
    </row>
    <row r="609" spans="1:5" ht="16" x14ac:dyDescent="0.2">
      <c r="A609" s="21">
        <v>45294</v>
      </c>
      <c r="B609" s="11">
        <v>31006.400000000001</v>
      </c>
      <c r="D609" s="23">
        <f t="shared" si="9"/>
        <v>1544.3000000000029</v>
      </c>
      <c r="E609" s="3"/>
    </row>
    <row r="610" spans="1:5" ht="16" x14ac:dyDescent="0.2">
      <c r="A610" s="21">
        <v>45295</v>
      </c>
      <c r="B610" s="11">
        <v>31532.400000000001</v>
      </c>
      <c r="D610" s="23">
        <f t="shared" si="9"/>
        <v>526</v>
      </c>
      <c r="E610" s="3"/>
    </row>
    <row r="611" spans="1:5" ht="16" x14ac:dyDescent="0.2">
      <c r="A611" s="21">
        <v>45296</v>
      </c>
      <c r="B611" s="11">
        <v>31393.599999999999</v>
      </c>
      <c r="D611" s="23">
        <f t="shared" si="9"/>
        <v>-138.80000000000291</v>
      </c>
      <c r="E611" s="3"/>
    </row>
    <row r="612" spans="1:5" ht="16" x14ac:dyDescent="0.2">
      <c r="A612" s="21">
        <v>45297</v>
      </c>
      <c r="B612" s="11">
        <v>31393.599999999999</v>
      </c>
      <c r="D612" s="23">
        <f t="shared" si="9"/>
        <v>0</v>
      </c>
      <c r="E612" s="3"/>
    </row>
    <row r="613" spans="1:5" ht="16" x14ac:dyDescent="0.2">
      <c r="A613" s="21">
        <v>45298</v>
      </c>
      <c r="B613" s="11">
        <v>31393.599999999999</v>
      </c>
      <c r="D613" s="23">
        <f t="shared" si="9"/>
        <v>0</v>
      </c>
      <c r="E613" s="3"/>
    </row>
    <row r="614" spans="1:5" ht="16" x14ac:dyDescent="0.2">
      <c r="A614" s="21">
        <v>45299</v>
      </c>
      <c r="B614" s="11">
        <v>30733.599999999999</v>
      </c>
      <c r="D614" s="23">
        <f t="shared" si="9"/>
        <v>-660</v>
      </c>
      <c r="E614" s="3"/>
    </row>
    <row r="615" spans="1:5" ht="16" x14ac:dyDescent="0.2">
      <c r="A615" s="21">
        <v>45300</v>
      </c>
      <c r="B615" s="11">
        <v>30961.5</v>
      </c>
      <c r="D615" s="23">
        <f t="shared" si="9"/>
        <v>227.90000000000146</v>
      </c>
      <c r="E615" s="3"/>
    </row>
    <row r="616" spans="1:5" ht="16" x14ac:dyDescent="0.2">
      <c r="A616" s="21">
        <v>45301</v>
      </c>
      <c r="B616" s="11">
        <v>31322.7</v>
      </c>
      <c r="D616" s="23">
        <f t="shared" si="9"/>
        <v>361.20000000000073</v>
      </c>
      <c r="E616" s="3"/>
    </row>
    <row r="617" spans="1:5" ht="16" x14ac:dyDescent="0.2">
      <c r="A617" s="21">
        <v>45302</v>
      </c>
      <c r="B617" s="11">
        <v>31928.6</v>
      </c>
      <c r="D617" s="23">
        <f t="shared" si="9"/>
        <v>605.89999999999782</v>
      </c>
      <c r="E617" s="3"/>
    </row>
    <row r="618" spans="1:5" ht="16" x14ac:dyDescent="0.2">
      <c r="A618" s="21">
        <v>45303</v>
      </c>
      <c r="B618" s="11">
        <v>32834.6</v>
      </c>
      <c r="D618" s="23">
        <f t="shared" si="9"/>
        <v>906</v>
      </c>
      <c r="E618" s="3"/>
    </row>
    <row r="619" spans="1:5" ht="16" x14ac:dyDescent="0.2">
      <c r="A619" s="21">
        <v>45304</v>
      </c>
      <c r="B619" s="11">
        <v>32834.6</v>
      </c>
      <c r="D619" s="23">
        <f t="shared" si="9"/>
        <v>0</v>
      </c>
      <c r="E619" s="3"/>
    </row>
    <row r="620" spans="1:5" ht="16" x14ac:dyDescent="0.2">
      <c r="A620" s="21">
        <v>45305</v>
      </c>
      <c r="B620" s="11">
        <v>32834.6</v>
      </c>
      <c r="D620" s="23">
        <f t="shared" si="9"/>
        <v>0</v>
      </c>
      <c r="E620" s="3"/>
    </row>
    <row r="621" spans="1:5" ht="16" x14ac:dyDescent="0.2">
      <c r="A621" s="21">
        <v>45306</v>
      </c>
      <c r="B621" s="11">
        <v>33186.1</v>
      </c>
      <c r="D621" s="23">
        <f t="shared" si="9"/>
        <v>351.5</v>
      </c>
      <c r="E621" s="3"/>
    </row>
    <row r="622" spans="1:5" ht="16" x14ac:dyDescent="0.2">
      <c r="A622" s="21">
        <v>45307</v>
      </c>
      <c r="B622" s="11">
        <v>33519.800000000003</v>
      </c>
      <c r="D622" s="23">
        <f t="shared" si="9"/>
        <v>333.70000000000437</v>
      </c>
      <c r="E622" s="3"/>
    </row>
    <row r="623" spans="1:5" ht="16" x14ac:dyDescent="0.2">
      <c r="A623" s="21">
        <v>45308</v>
      </c>
      <c r="B623" s="11">
        <v>34539</v>
      </c>
      <c r="D623" s="23">
        <f t="shared" si="9"/>
        <v>1019.1999999999971</v>
      </c>
      <c r="E623" s="3"/>
    </row>
    <row r="624" spans="1:5" ht="16" x14ac:dyDescent="0.2">
      <c r="A624" s="21">
        <v>45309</v>
      </c>
      <c r="B624" s="11">
        <v>35125.199999999997</v>
      </c>
      <c r="D624" s="23">
        <f t="shared" si="9"/>
        <v>586.19999999999709</v>
      </c>
      <c r="E624" s="3"/>
    </row>
    <row r="625" spans="1:5" ht="16" x14ac:dyDescent="0.2">
      <c r="A625" s="21">
        <v>45310</v>
      </c>
      <c r="B625" s="11">
        <v>35374.199999999997</v>
      </c>
      <c r="D625" s="23">
        <f t="shared" si="9"/>
        <v>249</v>
      </c>
      <c r="E625" s="3"/>
    </row>
    <row r="626" spans="1:5" ht="16" x14ac:dyDescent="0.2">
      <c r="A626" s="21">
        <v>45311</v>
      </c>
      <c r="B626" s="11">
        <v>35374.199999999997</v>
      </c>
      <c r="D626" s="23">
        <f t="shared" si="9"/>
        <v>0</v>
      </c>
      <c r="E626" s="3"/>
    </row>
    <row r="627" spans="1:5" ht="16" x14ac:dyDescent="0.2">
      <c r="A627" s="21">
        <v>45312</v>
      </c>
      <c r="B627" s="11">
        <v>35374.199999999997</v>
      </c>
      <c r="D627" s="23">
        <f t="shared" si="9"/>
        <v>0</v>
      </c>
      <c r="E627" s="3"/>
    </row>
    <row r="628" spans="1:5" ht="16" x14ac:dyDescent="0.2">
      <c r="A628" s="21">
        <v>45313</v>
      </c>
      <c r="B628" s="11">
        <v>34930.5</v>
      </c>
      <c r="D628" s="23">
        <f t="shared" si="9"/>
        <v>-443.69999999999709</v>
      </c>
      <c r="E628" s="3"/>
    </row>
    <row r="629" spans="1:5" ht="16" x14ac:dyDescent="0.2">
      <c r="A629" s="21">
        <v>45314</v>
      </c>
      <c r="B629" s="11">
        <v>34169</v>
      </c>
      <c r="D629" s="23">
        <f t="shared" si="9"/>
        <v>-761.5</v>
      </c>
      <c r="E629" s="3"/>
    </row>
    <row r="630" spans="1:5" ht="16" x14ac:dyDescent="0.2">
      <c r="A630" s="21">
        <v>45315</v>
      </c>
      <c r="B630" s="11">
        <v>34145.1</v>
      </c>
      <c r="D630" s="23">
        <f t="shared" si="9"/>
        <v>-23.900000000001455</v>
      </c>
      <c r="E630" s="3"/>
    </row>
    <row r="631" spans="1:5" ht="16" x14ac:dyDescent="0.2">
      <c r="A631" s="21">
        <v>45316</v>
      </c>
      <c r="B631" s="11">
        <v>34098.5</v>
      </c>
      <c r="D631" s="23">
        <f t="shared" si="9"/>
        <v>-46.599999999998545</v>
      </c>
      <c r="E631" s="3"/>
    </row>
    <row r="632" spans="1:5" ht="16" x14ac:dyDescent="0.2">
      <c r="A632" s="21">
        <v>45317</v>
      </c>
      <c r="B632" s="11">
        <v>33985.800000000003</v>
      </c>
      <c r="D632" s="23">
        <f t="shared" si="9"/>
        <v>-112.69999999999709</v>
      </c>
      <c r="E632" s="3"/>
    </row>
    <row r="633" spans="1:5" ht="16" x14ac:dyDescent="0.2">
      <c r="A633" s="21">
        <v>45318</v>
      </c>
      <c r="B633" s="11">
        <v>33985.800000000003</v>
      </c>
      <c r="D633" s="23">
        <f t="shared" si="9"/>
        <v>0</v>
      </c>
      <c r="E633" s="3"/>
    </row>
    <row r="634" spans="1:5" ht="16" x14ac:dyDescent="0.2">
      <c r="A634" s="21">
        <v>45319</v>
      </c>
      <c r="B634" s="11">
        <v>33985.800000000003</v>
      </c>
      <c r="D634" s="23">
        <f t="shared" si="9"/>
        <v>0</v>
      </c>
      <c r="E634" s="3"/>
    </row>
    <row r="635" spans="1:5" ht="16" x14ac:dyDescent="0.2">
      <c r="A635" s="21">
        <v>45320</v>
      </c>
      <c r="B635" s="11">
        <v>34011.199999999997</v>
      </c>
      <c r="D635" s="23">
        <f t="shared" si="9"/>
        <v>25.399999999994179</v>
      </c>
      <c r="E635" s="3"/>
    </row>
    <row r="636" spans="1:5" ht="16" x14ac:dyDescent="0.2">
      <c r="A636" s="21">
        <v>45321</v>
      </c>
      <c r="B636" s="11">
        <v>34774.199999999997</v>
      </c>
      <c r="D636" s="23">
        <f t="shared" si="9"/>
        <v>763</v>
      </c>
      <c r="E636" s="3"/>
    </row>
    <row r="637" spans="1:5" ht="16" x14ac:dyDescent="0.2">
      <c r="A637" s="21">
        <v>45322</v>
      </c>
      <c r="B637" s="11">
        <v>35215</v>
      </c>
      <c r="D637" s="23">
        <f t="shared" si="9"/>
        <v>440.80000000000291</v>
      </c>
      <c r="E637" s="3"/>
    </row>
    <row r="638" spans="1:5" ht="16" x14ac:dyDescent="0.2">
      <c r="A638" s="21">
        <v>45323</v>
      </c>
      <c r="B638" s="11">
        <v>35528.400000000001</v>
      </c>
      <c r="D638" s="23">
        <f t="shared" si="9"/>
        <v>313.40000000000146</v>
      </c>
      <c r="E638" s="3"/>
    </row>
    <row r="639" spans="1:5" ht="16" x14ac:dyDescent="0.2">
      <c r="A639" s="21">
        <v>45324</v>
      </c>
      <c r="B639" s="11">
        <v>35747</v>
      </c>
      <c r="D639" s="23">
        <f t="shared" si="9"/>
        <v>218.59999999999854</v>
      </c>
      <c r="E639" s="3"/>
    </row>
    <row r="640" spans="1:5" ht="16" x14ac:dyDescent="0.2">
      <c r="A640" s="21">
        <v>45325</v>
      </c>
      <c r="B640" s="11">
        <v>35747</v>
      </c>
      <c r="D640" s="23">
        <f t="shared" si="9"/>
        <v>0</v>
      </c>
      <c r="E640" s="3"/>
    </row>
    <row r="641" spans="1:5" ht="16" x14ac:dyDescent="0.2">
      <c r="A641" s="21">
        <v>45326</v>
      </c>
      <c r="B641" s="11">
        <v>35747</v>
      </c>
      <c r="D641" s="23">
        <f t="shared" si="9"/>
        <v>0</v>
      </c>
      <c r="E641" s="3"/>
    </row>
    <row r="642" spans="1:5" ht="16" x14ac:dyDescent="0.2">
      <c r="A642" s="21">
        <v>45327</v>
      </c>
      <c r="B642" s="11">
        <v>36136.800000000003</v>
      </c>
      <c r="D642" s="23">
        <f t="shared" si="9"/>
        <v>389.80000000000291</v>
      </c>
      <c r="E642" s="3"/>
    </row>
    <row r="643" spans="1:5" ht="16" x14ac:dyDescent="0.2">
      <c r="A643" s="21">
        <v>45328</v>
      </c>
      <c r="B643" s="11">
        <v>36304.6</v>
      </c>
      <c r="D643" s="23">
        <f t="shared" si="9"/>
        <v>167.79999999999563</v>
      </c>
      <c r="E643" s="3"/>
    </row>
    <row r="644" spans="1:5" ht="16" x14ac:dyDescent="0.2">
      <c r="A644" s="21">
        <v>45329</v>
      </c>
      <c r="B644" s="11">
        <v>36273.199999999997</v>
      </c>
      <c r="D644" s="23">
        <f t="shared" si="9"/>
        <v>-31.400000000001455</v>
      </c>
      <c r="E644" s="3"/>
    </row>
    <row r="645" spans="1:5" ht="16" x14ac:dyDescent="0.2">
      <c r="A645" s="21">
        <v>45330</v>
      </c>
      <c r="B645" s="11">
        <v>35494.400000000001</v>
      </c>
      <c r="D645" s="23">
        <f t="shared" ref="D645:D708" si="10">B645-B644</f>
        <v>-778.79999999999563</v>
      </c>
      <c r="E645" s="3"/>
    </row>
    <row r="646" spans="1:5" ht="16" x14ac:dyDescent="0.2">
      <c r="A646" s="21">
        <v>45331</v>
      </c>
      <c r="B646" s="11">
        <v>35550.5</v>
      </c>
      <c r="D646" s="23">
        <f t="shared" si="10"/>
        <v>56.099999999998545</v>
      </c>
      <c r="E646" s="3"/>
    </row>
    <row r="647" spans="1:5" ht="16" x14ac:dyDescent="0.2">
      <c r="A647" s="21">
        <v>45332</v>
      </c>
      <c r="B647" s="11">
        <v>35550.5</v>
      </c>
      <c r="D647" s="23">
        <f t="shared" si="10"/>
        <v>0</v>
      </c>
      <c r="E647" s="3"/>
    </row>
    <row r="648" spans="1:5" ht="16" x14ac:dyDescent="0.2">
      <c r="A648" s="21">
        <v>45333</v>
      </c>
      <c r="B648" s="11">
        <v>35550.5</v>
      </c>
      <c r="D648" s="23">
        <f t="shared" si="10"/>
        <v>0</v>
      </c>
      <c r="E648" s="3"/>
    </row>
    <row r="649" spans="1:5" ht="16" x14ac:dyDescent="0.2">
      <c r="A649" s="21">
        <v>45334</v>
      </c>
      <c r="B649" s="11">
        <v>34450.300000000003</v>
      </c>
      <c r="D649" s="23">
        <f t="shared" si="10"/>
        <v>-1100.1999999999971</v>
      </c>
      <c r="E649" s="3"/>
    </row>
    <row r="650" spans="1:5" ht="16" x14ac:dyDescent="0.2">
      <c r="A650" s="21">
        <v>45335</v>
      </c>
      <c r="B650" s="11">
        <v>35599.9</v>
      </c>
      <c r="D650" s="23">
        <f t="shared" si="10"/>
        <v>1149.5999999999985</v>
      </c>
      <c r="E650" s="3"/>
    </row>
    <row r="651" spans="1:5" ht="16" x14ac:dyDescent="0.2">
      <c r="A651" s="21">
        <v>45336</v>
      </c>
      <c r="B651" s="11">
        <v>34933.1</v>
      </c>
      <c r="D651" s="23">
        <f t="shared" si="10"/>
        <v>-666.80000000000291</v>
      </c>
      <c r="E651" s="3"/>
    </row>
    <row r="652" spans="1:5" ht="16" x14ac:dyDescent="0.2">
      <c r="A652" s="21">
        <v>45337</v>
      </c>
      <c r="B652" s="11">
        <v>34488.1</v>
      </c>
      <c r="D652" s="23">
        <f t="shared" si="10"/>
        <v>-445</v>
      </c>
      <c r="E652" s="3"/>
    </row>
    <row r="653" spans="1:5" ht="16" x14ac:dyDescent="0.2">
      <c r="A653" s="21">
        <v>45338</v>
      </c>
      <c r="B653" s="11">
        <v>34582.6</v>
      </c>
      <c r="D653" s="23">
        <f t="shared" si="10"/>
        <v>94.5</v>
      </c>
      <c r="E653" s="3"/>
    </row>
    <row r="654" spans="1:5" ht="16" x14ac:dyDescent="0.2">
      <c r="A654" s="21">
        <v>45339</v>
      </c>
      <c r="B654" s="11">
        <v>34582.6</v>
      </c>
      <c r="D654" s="23">
        <f t="shared" si="10"/>
        <v>0</v>
      </c>
      <c r="E654" s="3"/>
    </row>
    <row r="655" spans="1:5" ht="16" x14ac:dyDescent="0.2">
      <c r="A655" s="21">
        <v>45340</v>
      </c>
      <c r="B655" s="11">
        <v>34582.6</v>
      </c>
      <c r="D655" s="23">
        <f t="shared" si="10"/>
        <v>0</v>
      </c>
      <c r="E655" s="3"/>
    </row>
    <row r="656" spans="1:5" ht="16" x14ac:dyDescent="0.2">
      <c r="A656" s="21">
        <v>45341</v>
      </c>
      <c r="B656" s="11">
        <v>34669.800000000003</v>
      </c>
      <c r="D656" s="23">
        <f t="shared" si="10"/>
        <v>87.200000000004366</v>
      </c>
      <c r="E656" s="3"/>
    </row>
    <row r="657" spans="1:5" ht="16" x14ac:dyDescent="0.2">
      <c r="A657" s="21">
        <v>45342</v>
      </c>
      <c r="B657" s="11">
        <v>35208</v>
      </c>
      <c r="D657" s="23">
        <f t="shared" si="10"/>
        <v>538.19999999999709</v>
      </c>
      <c r="E657" s="3"/>
    </row>
    <row r="658" spans="1:5" ht="16" x14ac:dyDescent="0.2">
      <c r="A658" s="21">
        <v>45343</v>
      </c>
      <c r="B658" s="11">
        <v>35585.1</v>
      </c>
      <c r="D658" s="23">
        <f t="shared" si="10"/>
        <v>377.09999999999854</v>
      </c>
      <c r="E658" s="3"/>
    </row>
    <row r="659" spans="1:5" ht="16" x14ac:dyDescent="0.2">
      <c r="A659" s="21">
        <v>45344</v>
      </c>
      <c r="B659" s="11">
        <v>36161.599999999999</v>
      </c>
      <c r="D659" s="23">
        <f t="shared" si="10"/>
        <v>576.5</v>
      </c>
      <c r="E659" s="3"/>
    </row>
    <row r="660" spans="1:5" ht="16" x14ac:dyDescent="0.2">
      <c r="A660" s="21">
        <v>45345</v>
      </c>
      <c r="B660" s="11">
        <v>36426.800000000003</v>
      </c>
      <c r="D660" s="23">
        <f t="shared" si="10"/>
        <v>265.20000000000437</v>
      </c>
      <c r="E660" s="3"/>
    </row>
    <row r="661" spans="1:5" ht="16" x14ac:dyDescent="0.2">
      <c r="A661" s="21">
        <v>45346</v>
      </c>
      <c r="B661" s="11">
        <v>36426.800000000003</v>
      </c>
      <c r="D661" s="23">
        <f t="shared" si="10"/>
        <v>0</v>
      </c>
      <c r="E661" s="3"/>
    </row>
    <row r="662" spans="1:5" ht="16" x14ac:dyDescent="0.2">
      <c r="A662" s="21">
        <v>45347</v>
      </c>
      <c r="B662" s="11">
        <v>36426.800000000003</v>
      </c>
      <c r="D662" s="23">
        <f t="shared" si="10"/>
        <v>0</v>
      </c>
      <c r="E662" s="3"/>
    </row>
    <row r="663" spans="1:5" ht="16" x14ac:dyDescent="0.2">
      <c r="A663" s="21">
        <v>45348</v>
      </c>
      <c r="B663" s="11">
        <v>36910.5</v>
      </c>
      <c r="D663" s="23">
        <f t="shared" si="10"/>
        <v>483.69999999999709</v>
      </c>
      <c r="E663" s="3"/>
    </row>
    <row r="664" spans="1:5" ht="16" x14ac:dyDescent="0.2">
      <c r="A664" s="21">
        <v>45349</v>
      </c>
      <c r="B664" s="11">
        <v>35819.699999999997</v>
      </c>
      <c r="D664" s="23">
        <f t="shared" si="10"/>
        <v>-1090.8000000000029</v>
      </c>
      <c r="E664" s="3"/>
    </row>
    <row r="665" spans="1:5" ht="16" x14ac:dyDescent="0.2">
      <c r="A665" s="21">
        <v>45350</v>
      </c>
      <c r="B665" s="11">
        <v>36756.1</v>
      </c>
      <c r="D665" s="23">
        <f t="shared" si="10"/>
        <v>936.40000000000146</v>
      </c>
      <c r="E665" s="3"/>
    </row>
    <row r="666" spans="1:5" ht="16" x14ac:dyDescent="0.2">
      <c r="A666" s="21">
        <v>45351</v>
      </c>
      <c r="B666" s="11">
        <v>36167.599999999999</v>
      </c>
      <c r="D666" s="23">
        <f t="shared" si="10"/>
        <v>-588.5</v>
      </c>
      <c r="E666" s="3"/>
    </row>
    <row r="667" spans="1:5" ht="16" x14ac:dyDescent="0.2">
      <c r="A667" s="21">
        <v>45352</v>
      </c>
      <c r="B667" s="11">
        <v>36109.300000000003</v>
      </c>
      <c r="D667" s="23">
        <f t="shared" si="10"/>
        <v>-58.299999999995634</v>
      </c>
      <c r="E667" s="3"/>
    </row>
    <row r="668" spans="1:5" ht="16" x14ac:dyDescent="0.2">
      <c r="A668" s="21">
        <v>45353</v>
      </c>
      <c r="B668" s="11">
        <v>36109.300000000003</v>
      </c>
      <c r="D668" s="23">
        <f t="shared" si="10"/>
        <v>0</v>
      </c>
      <c r="E668" s="3"/>
    </row>
    <row r="669" spans="1:5" ht="16" x14ac:dyDescent="0.2">
      <c r="A669" s="21">
        <v>45354</v>
      </c>
      <c r="B669" s="11">
        <v>36109.300000000003</v>
      </c>
      <c r="D669" s="23">
        <f t="shared" si="10"/>
        <v>0</v>
      </c>
      <c r="E669" s="3"/>
    </row>
    <row r="670" spans="1:5" ht="16" x14ac:dyDescent="0.2">
      <c r="A670" s="21">
        <v>45355</v>
      </c>
      <c r="B670" s="11">
        <v>36938.5</v>
      </c>
      <c r="D670" s="23">
        <f t="shared" si="10"/>
        <v>829.19999999999709</v>
      </c>
      <c r="E670" s="3"/>
    </row>
    <row r="671" spans="1:5" ht="16" x14ac:dyDescent="0.2">
      <c r="A671" s="21">
        <v>45356</v>
      </c>
      <c r="B671" s="11">
        <v>36695.5</v>
      </c>
      <c r="D671" s="23">
        <f t="shared" si="10"/>
        <v>-243</v>
      </c>
      <c r="E671" s="3"/>
    </row>
    <row r="672" spans="1:5" ht="16" x14ac:dyDescent="0.2">
      <c r="A672" s="21">
        <v>45357</v>
      </c>
      <c r="B672" s="11">
        <v>36498.800000000003</v>
      </c>
      <c r="D672" s="23">
        <f t="shared" si="10"/>
        <v>-196.69999999999709</v>
      </c>
      <c r="E672" s="3"/>
    </row>
    <row r="673" spans="1:5" ht="16" x14ac:dyDescent="0.2">
      <c r="A673" s="21">
        <v>45358</v>
      </c>
      <c r="B673" s="11">
        <v>36411.1</v>
      </c>
      <c r="D673" s="23">
        <f t="shared" si="10"/>
        <v>-87.700000000004366</v>
      </c>
      <c r="E673" s="3"/>
    </row>
    <row r="674" spans="1:5" ht="16" x14ac:dyDescent="0.2">
      <c r="A674" s="21">
        <v>45359</v>
      </c>
      <c r="B674" s="11">
        <v>36433.1</v>
      </c>
      <c r="D674" s="23">
        <f t="shared" si="10"/>
        <v>22</v>
      </c>
      <c r="E674" s="3"/>
    </row>
    <row r="675" spans="1:5" ht="16" x14ac:dyDescent="0.2">
      <c r="A675" s="21">
        <v>45360</v>
      </c>
      <c r="B675" s="11">
        <v>36433.1</v>
      </c>
      <c r="D675" s="23">
        <f t="shared" si="10"/>
        <v>0</v>
      </c>
      <c r="E675" s="3"/>
    </row>
    <row r="676" spans="1:5" ht="16" x14ac:dyDescent="0.2">
      <c r="A676" s="21">
        <v>45361</v>
      </c>
      <c r="B676" s="11">
        <v>36433.1</v>
      </c>
      <c r="D676" s="23">
        <f t="shared" si="10"/>
        <v>0</v>
      </c>
      <c r="E676" s="3"/>
    </row>
    <row r="677" spans="1:5" ht="16" x14ac:dyDescent="0.2">
      <c r="A677" s="21">
        <v>45362</v>
      </c>
      <c r="B677" s="11">
        <v>36459.800000000003</v>
      </c>
      <c r="D677" s="23">
        <f t="shared" si="10"/>
        <v>26.700000000004366</v>
      </c>
      <c r="E677" s="3"/>
    </row>
    <row r="678" spans="1:5" ht="16" x14ac:dyDescent="0.2">
      <c r="A678" s="21">
        <v>45363</v>
      </c>
      <c r="B678" s="11">
        <v>36887.199999999997</v>
      </c>
      <c r="D678" s="23">
        <f t="shared" si="10"/>
        <v>427.39999999999418</v>
      </c>
      <c r="E678" s="3"/>
    </row>
    <row r="679" spans="1:5" ht="16" x14ac:dyDescent="0.2">
      <c r="A679" s="21">
        <v>45364</v>
      </c>
      <c r="B679" s="11">
        <v>36937</v>
      </c>
      <c r="D679" s="23">
        <f t="shared" si="10"/>
        <v>49.80000000000291</v>
      </c>
      <c r="E679" s="3"/>
    </row>
    <row r="680" spans="1:5" ht="16" x14ac:dyDescent="0.2">
      <c r="A680" s="21">
        <v>45365</v>
      </c>
      <c r="B680" s="11">
        <v>37247.599999999999</v>
      </c>
      <c r="D680" s="23">
        <f t="shared" si="10"/>
        <v>310.59999999999854</v>
      </c>
      <c r="E680" s="3"/>
    </row>
    <row r="681" spans="1:5" ht="16" x14ac:dyDescent="0.2">
      <c r="A681" s="21">
        <v>45366</v>
      </c>
      <c r="B681" s="11">
        <v>37056</v>
      </c>
      <c r="D681" s="23">
        <f t="shared" si="10"/>
        <v>-191.59999999999854</v>
      </c>
      <c r="E681" s="3"/>
    </row>
    <row r="682" spans="1:5" ht="16" x14ac:dyDescent="0.2">
      <c r="A682" s="21">
        <v>45367</v>
      </c>
      <c r="B682" s="11">
        <v>37056</v>
      </c>
      <c r="D682" s="23">
        <f t="shared" si="10"/>
        <v>0</v>
      </c>
      <c r="E682" s="3"/>
    </row>
    <row r="683" spans="1:5" ht="16" x14ac:dyDescent="0.2">
      <c r="A683" s="21">
        <v>45368</v>
      </c>
      <c r="B683" s="11">
        <v>37056</v>
      </c>
      <c r="D683" s="23">
        <f t="shared" si="10"/>
        <v>0</v>
      </c>
      <c r="E683" s="3"/>
    </row>
    <row r="684" spans="1:5" ht="16" x14ac:dyDescent="0.2">
      <c r="A684" s="21">
        <v>45369</v>
      </c>
      <c r="B684" s="11">
        <v>37434.9</v>
      </c>
      <c r="D684" s="23">
        <f t="shared" si="10"/>
        <v>378.90000000000146</v>
      </c>
      <c r="E684" s="3"/>
    </row>
    <row r="685" spans="1:5" ht="16" x14ac:dyDescent="0.2">
      <c r="A685" s="21">
        <v>45370</v>
      </c>
      <c r="B685" s="11">
        <v>37731</v>
      </c>
      <c r="D685" s="23">
        <f t="shared" si="10"/>
        <v>296.09999999999854</v>
      </c>
      <c r="E685" s="3"/>
    </row>
    <row r="686" spans="1:5" ht="16" x14ac:dyDescent="0.2">
      <c r="A686" s="21">
        <v>45371</v>
      </c>
      <c r="B686" s="11">
        <v>37439.9</v>
      </c>
      <c r="D686" s="23">
        <f t="shared" si="10"/>
        <v>-291.09999999999854</v>
      </c>
      <c r="E686" s="3"/>
    </row>
    <row r="687" spans="1:5" ht="16" x14ac:dyDescent="0.2">
      <c r="A687" s="21">
        <v>45372</v>
      </c>
      <c r="B687" s="11">
        <v>36969.300000000003</v>
      </c>
      <c r="D687" s="23">
        <f t="shared" si="10"/>
        <v>-470.59999999999854</v>
      </c>
      <c r="E687" s="3"/>
    </row>
    <row r="688" spans="1:5" ht="16" x14ac:dyDescent="0.2">
      <c r="A688" s="21">
        <v>45373</v>
      </c>
      <c r="B688" s="11">
        <v>36856.9</v>
      </c>
      <c r="D688" s="23">
        <f t="shared" si="10"/>
        <v>-112.40000000000146</v>
      </c>
      <c r="E688" s="3"/>
    </row>
    <row r="689" spans="1:5" ht="16" x14ac:dyDescent="0.2">
      <c r="A689" s="21">
        <v>45374</v>
      </c>
      <c r="B689" s="11">
        <v>36856.9</v>
      </c>
      <c r="D689" s="23">
        <f t="shared" si="10"/>
        <v>0</v>
      </c>
      <c r="E689" s="3"/>
    </row>
    <row r="690" spans="1:5" ht="16" x14ac:dyDescent="0.2">
      <c r="A690" s="21">
        <v>45375</v>
      </c>
      <c r="B690" s="11">
        <v>36856.9</v>
      </c>
      <c r="D690" s="23">
        <f t="shared" si="10"/>
        <v>0</v>
      </c>
      <c r="E690" s="3"/>
    </row>
    <row r="691" spans="1:5" ht="16" x14ac:dyDescent="0.2">
      <c r="A691" s="21">
        <v>45376</v>
      </c>
      <c r="B691" s="11">
        <v>36964</v>
      </c>
      <c r="D691" s="23">
        <f t="shared" si="10"/>
        <v>107.09999999999854</v>
      </c>
      <c r="E691" s="3"/>
    </row>
    <row r="692" spans="1:5" ht="16" x14ac:dyDescent="0.2">
      <c r="A692" s="21">
        <v>45377</v>
      </c>
      <c r="B692" s="11">
        <v>36961.300000000003</v>
      </c>
      <c r="D692" s="23">
        <f t="shared" si="10"/>
        <v>-2.6999999999970896</v>
      </c>
      <c r="E692" s="3"/>
    </row>
    <row r="693" spans="1:5" ht="16" x14ac:dyDescent="0.2">
      <c r="A693" s="21">
        <v>45378</v>
      </c>
      <c r="B693" s="11">
        <v>36190.800000000003</v>
      </c>
      <c r="D693" s="23">
        <f t="shared" si="10"/>
        <v>-770.5</v>
      </c>
      <c r="E693" s="3"/>
    </row>
    <row r="694" spans="1:5" ht="16" x14ac:dyDescent="0.2">
      <c r="A694" s="21">
        <v>45379</v>
      </c>
      <c r="B694" s="11">
        <v>35874.400000000001</v>
      </c>
      <c r="D694" s="23">
        <f t="shared" si="10"/>
        <v>-316.40000000000146</v>
      </c>
      <c r="E694" s="3"/>
    </row>
    <row r="695" spans="1:5" ht="16" x14ac:dyDescent="0.2">
      <c r="A695" s="21">
        <v>45380</v>
      </c>
      <c r="B695" s="11">
        <v>35883.1</v>
      </c>
      <c r="D695" s="23">
        <f t="shared" si="10"/>
        <v>8.6999999999970896</v>
      </c>
      <c r="E695" s="3"/>
    </row>
    <row r="696" spans="1:5" ht="16" x14ac:dyDescent="0.2">
      <c r="A696" s="21">
        <v>45381</v>
      </c>
      <c r="B696" s="11">
        <v>35883.1</v>
      </c>
      <c r="D696" s="23">
        <f t="shared" si="10"/>
        <v>0</v>
      </c>
      <c r="E696" s="3"/>
    </row>
    <row r="697" spans="1:5" ht="16" x14ac:dyDescent="0.2">
      <c r="A697" s="21">
        <v>45382</v>
      </c>
      <c r="B697" s="11">
        <v>35883.1</v>
      </c>
      <c r="D697" s="23">
        <f t="shared" si="10"/>
        <v>0</v>
      </c>
      <c r="E697" s="3"/>
    </row>
    <row r="698" spans="1:5" ht="16" x14ac:dyDescent="0.2">
      <c r="A698" s="21">
        <v>45383</v>
      </c>
      <c r="B698" s="11">
        <v>36115.1</v>
      </c>
      <c r="D698" s="23">
        <f t="shared" si="10"/>
        <v>232</v>
      </c>
      <c r="E698" s="3"/>
    </row>
    <row r="699" spans="1:5" ht="16" x14ac:dyDescent="0.2">
      <c r="A699" s="21">
        <v>45384</v>
      </c>
      <c r="B699" s="11">
        <v>36474.400000000001</v>
      </c>
      <c r="D699" s="23">
        <f t="shared" si="10"/>
        <v>359.30000000000291</v>
      </c>
      <c r="E699" s="3"/>
    </row>
    <row r="700" spans="1:5" ht="16" x14ac:dyDescent="0.2">
      <c r="A700" s="21">
        <v>45385</v>
      </c>
      <c r="B700" s="11">
        <v>36262</v>
      </c>
      <c r="D700" s="23">
        <f t="shared" si="10"/>
        <v>-212.40000000000146</v>
      </c>
      <c r="E700" s="3"/>
    </row>
    <row r="701" spans="1:5" ht="16" x14ac:dyDescent="0.2">
      <c r="A701" s="21">
        <v>45386</v>
      </c>
      <c r="B701" s="11">
        <v>35770.199999999997</v>
      </c>
      <c r="D701" s="23">
        <f t="shared" si="10"/>
        <v>-491.80000000000291</v>
      </c>
      <c r="E701" s="3"/>
    </row>
    <row r="702" spans="1:5" ht="16" x14ac:dyDescent="0.2">
      <c r="A702" s="21">
        <v>45387</v>
      </c>
      <c r="B702" s="11">
        <v>36263</v>
      </c>
      <c r="D702" s="23">
        <f t="shared" si="10"/>
        <v>492.80000000000291</v>
      </c>
      <c r="E702" s="3"/>
    </row>
    <row r="703" spans="1:5" ht="16" x14ac:dyDescent="0.2">
      <c r="A703" s="21">
        <v>45388</v>
      </c>
      <c r="B703" s="11">
        <v>36263</v>
      </c>
      <c r="D703" s="23">
        <f t="shared" si="10"/>
        <v>0</v>
      </c>
      <c r="E703" s="3"/>
    </row>
    <row r="704" spans="1:5" ht="16" x14ac:dyDescent="0.2">
      <c r="A704" s="21">
        <v>45389</v>
      </c>
      <c r="B704" s="11">
        <v>36263</v>
      </c>
      <c r="D704" s="23">
        <f t="shared" si="10"/>
        <v>0</v>
      </c>
      <c r="E704" s="3"/>
    </row>
    <row r="705" spans="1:5" ht="16" x14ac:dyDescent="0.2">
      <c r="A705" s="21">
        <v>45390</v>
      </c>
      <c r="B705" s="11">
        <v>35930.400000000001</v>
      </c>
      <c r="D705" s="23">
        <f t="shared" si="10"/>
        <v>-332.59999999999854</v>
      </c>
      <c r="E705" s="3"/>
    </row>
    <row r="706" spans="1:5" ht="16" x14ac:dyDescent="0.2">
      <c r="A706" s="21">
        <v>45391</v>
      </c>
      <c r="B706" s="11">
        <v>34824.699999999997</v>
      </c>
      <c r="D706" s="23">
        <f t="shared" si="10"/>
        <v>-1105.7000000000044</v>
      </c>
      <c r="E706" s="3"/>
    </row>
    <row r="707" spans="1:5" ht="16" x14ac:dyDescent="0.2">
      <c r="A707" s="21">
        <v>45392</v>
      </c>
      <c r="B707" s="11">
        <v>35620.400000000001</v>
      </c>
      <c r="D707" s="23">
        <f t="shared" si="10"/>
        <v>795.70000000000437</v>
      </c>
      <c r="E707" s="3"/>
    </row>
    <row r="708" spans="1:5" ht="16" x14ac:dyDescent="0.2">
      <c r="A708" s="21">
        <v>45393</v>
      </c>
      <c r="B708" s="11">
        <v>35742.300000000003</v>
      </c>
      <c r="D708" s="23">
        <f t="shared" si="10"/>
        <v>121.90000000000146</v>
      </c>
      <c r="E708" s="3"/>
    </row>
    <row r="709" spans="1:5" ht="16" x14ac:dyDescent="0.2">
      <c r="A709" s="21">
        <v>45394</v>
      </c>
      <c r="B709" s="11">
        <v>36516</v>
      </c>
      <c r="D709" s="23">
        <f t="shared" ref="D709:D772" si="11">B709-B708</f>
        <v>773.69999999999709</v>
      </c>
      <c r="E709" s="3"/>
    </row>
    <row r="710" spans="1:5" ht="16" x14ac:dyDescent="0.2">
      <c r="A710" s="21">
        <v>45395</v>
      </c>
      <c r="B710" s="11">
        <v>36516</v>
      </c>
      <c r="D710" s="23">
        <f t="shared" si="11"/>
        <v>0</v>
      </c>
      <c r="E710" s="3"/>
    </row>
    <row r="711" spans="1:5" ht="16" x14ac:dyDescent="0.2">
      <c r="A711" s="21">
        <v>45396</v>
      </c>
      <c r="B711" s="11">
        <v>36516</v>
      </c>
      <c r="D711" s="23">
        <f t="shared" si="11"/>
        <v>0</v>
      </c>
      <c r="E711" s="3"/>
    </row>
    <row r="712" spans="1:5" ht="16" x14ac:dyDescent="0.2">
      <c r="A712" s="21">
        <v>45397</v>
      </c>
      <c r="B712" s="11">
        <v>37027.1</v>
      </c>
      <c r="D712" s="23">
        <f t="shared" si="11"/>
        <v>511.09999999999854</v>
      </c>
      <c r="E712" s="3"/>
    </row>
    <row r="713" spans="1:5" ht="16" x14ac:dyDescent="0.2">
      <c r="A713" s="21">
        <v>45398</v>
      </c>
      <c r="B713" s="11">
        <v>37395.199999999997</v>
      </c>
      <c r="D713" s="23">
        <f t="shared" si="11"/>
        <v>368.09999999999854</v>
      </c>
      <c r="E713" s="3"/>
    </row>
    <row r="714" spans="1:5" ht="16" x14ac:dyDescent="0.2">
      <c r="A714" s="21">
        <v>45399</v>
      </c>
      <c r="B714" s="11">
        <v>37330.1</v>
      </c>
      <c r="D714" s="23">
        <f t="shared" si="11"/>
        <v>-65.099999999998545</v>
      </c>
      <c r="E714" s="3"/>
    </row>
    <row r="715" spans="1:5" ht="16" x14ac:dyDescent="0.2">
      <c r="A715" s="21">
        <v>45400</v>
      </c>
      <c r="B715" s="11">
        <v>37525.699999999997</v>
      </c>
      <c r="D715" s="23">
        <f t="shared" si="11"/>
        <v>195.59999999999854</v>
      </c>
      <c r="E715" s="3"/>
    </row>
    <row r="716" spans="1:5" ht="16" x14ac:dyDescent="0.2">
      <c r="A716" s="21">
        <v>45401</v>
      </c>
      <c r="B716" s="11">
        <v>37507.4</v>
      </c>
      <c r="D716" s="23">
        <f t="shared" si="11"/>
        <v>-18.299999999995634</v>
      </c>
      <c r="E716" s="3"/>
    </row>
    <row r="717" spans="1:5" ht="16" x14ac:dyDescent="0.2">
      <c r="A717" s="21">
        <v>45402</v>
      </c>
      <c r="B717" s="11">
        <v>37507.4</v>
      </c>
      <c r="D717" s="23">
        <f t="shared" si="11"/>
        <v>0</v>
      </c>
      <c r="E717" s="3"/>
    </row>
    <row r="718" spans="1:5" ht="16" x14ac:dyDescent="0.2">
      <c r="A718" s="21">
        <v>45403</v>
      </c>
      <c r="B718" s="11">
        <v>37507.4</v>
      </c>
      <c r="D718" s="23">
        <f t="shared" si="11"/>
        <v>0</v>
      </c>
      <c r="E718" s="3"/>
    </row>
    <row r="719" spans="1:5" ht="16" x14ac:dyDescent="0.2">
      <c r="A719" s="21">
        <v>45404</v>
      </c>
      <c r="B719" s="11">
        <v>37440.9</v>
      </c>
      <c r="D719" s="23">
        <f t="shared" si="11"/>
        <v>-66.5</v>
      </c>
      <c r="E719" s="3"/>
    </row>
    <row r="720" spans="1:5" ht="16" x14ac:dyDescent="0.2">
      <c r="A720" s="21">
        <v>45405</v>
      </c>
      <c r="B720" s="11">
        <v>37185.9</v>
      </c>
      <c r="D720" s="23">
        <f t="shared" si="11"/>
        <v>-255</v>
      </c>
      <c r="E720" s="3"/>
    </row>
    <row r="721" spans="1:5" ht="16" x14ac:dyDescent="0.2">
      <c r="A721" s="21">
        <v>45406</v>
      </c>
      <c r="B721" s="11">
        <v>37318.400000000001</v>
      </c>
      <c r="D721" s="23">
        <f t="shared" si="11"/>
        <v>132.5</v>
      </c>
      <c r="E721" s="3"/>
    </row>
    <row r="722" spans="1:5" ht="16" x14ac:dyDescent="0.2">
      <c r="A722" s="21">
        <v>45407</v>
      </c>
      <c r="B722" s="11">
        <v>37064.9</v>
      </c>
      <c r="D722" s="23">
        <f t="shared" si="11"/>
        <v>-253.5</v>
      </c>
      <c r="E722" s="3"/>
    </row>
    <row r="723" spans="1:5" ht="16" x14ac:dyDescent="0.2">
      <c r="A723" s="21">
        <v>45408</v>
      </c>
      <c r="B723" s="11">
        <v>37198.300000000003</v>
      </c>
      <c r="D723" s="23">
        <f t="shared" si="11"/>
        <v>133.40000000000146</v>
      </c>
      <c r="E723" s="3"/>
    </row>
    <row r="724" spans="1:5" ht="16" x14ac:dyDescent="0.2">
      <c r="A724" s="21">
        <v>45409</v>
      </c>
      <c r="B724" s="11">
        <v>37198.300000000003</v>
      </c>
      <c r="D724" s="23">
        <f t="shared" si="11"/>
        <v>0</v>
      </c>
      <c r="E724" s="3"/>
    </row>
    <row r="725" spans="1:5" ht="16" x14ac:dyDescent="0.2">
      <c r="A725" s="21">
        <v>45410</v>
      </c>
      <c r="B725" s="11">
        <v>37198.300000000003</v>
      </c>
      <c r="D725" s="23">
        <f t="shared" si="11"/>
        <v>0</v>
      </c>
      <c r="E725" s="3"/>
    </row>
    <row r="726" spans="1:5" ht="16" x14ac:dyDescent="0.2">
      <c r="A726" s="21">
        <v>45411</v>
      </c>
      <c r="B726" s="11">
        <v>37007.300000000003</v>
      </c>
      <c r="D726" s="23">
        <f t="shared" si="11"/>
        <v>-191</v>
      </c>
      <c r="E726" s="3"/>
    </row>
    <row r="727" spans="1:5" ht="16" x14ac:dyDescent="0.2">
      <c r="A727" s="22">
        <v>45412</v>
      </c>
      <c r="B727" s="12">
        <v>37126.9</v>
      </c>
      <c r="D727" s="23">
        <f t="shared" si="11"/>
        <v>119.59999999999854</v>
      </c>
      <c r="E727" s="3"/>
    </row>
    <row r="728" spans="1:5" x14ac:dyDescent="0.2">
      <c r="A728" s="3">
        <v>45413</v>
      </c>
      <c r="B728" s="13">
        <v>36898.9</v>
      </c>
      <c r="D728" s="23">
        <f t="shared" si="11"/>
        <v>-228</v>
      </c>
      <c r="E728" s="3"/>
    </row>
    <row r="729" spans="1:5" x14ac:dyDescent="0.2">
      <c r="A729" s="3">
        <v>45414</v>
      </c>
      <c r="B729" s="13">
        <v>37437.9</v>
      </c>
      <c r="D729" s="23">
        <f t="shared" si="11"/>
        <v>539</v>
      </c>
      <c r="E729" s="3"/>
    </row>
    <row r="730" spans="1:5" x14ac:dyDescent="0.2">
      <c r="A730" s="3">
        <v>45415</v>
      </c>
      <c r="B730" s="13">
        <v>37146.400000000001</v>
      </c>
      <c r="D730" s="23">
        <f t="shared" si="11"/>
        <v>-291.5</v>
      </c>
      <c r="E730" s="3"/>
    </row>
    <row r="731" spans="1:5" x14ac:dyDescent="0.2">
      <c r="A731" s="3">
        <v>45418</v>
      </c>
      <c r="B731" s="13">
        <v>36890.800000000003</v>
      </c>
      <c r="D731" s="23">
        <f t="shared" si="11"/>
        <v>-255.59999999999854</v>
      </c>
      <c r="E731" s="3"/>
    </row>
    <row r="732" spans="1:5" x14ac:dyDescent="0.2">
      <c r="A732" s="3">
        <v>45419</v>
      </c>
      <c r="B732" s="13">
        <v>37075.5</v>
      </c>
      <c r="D732" s="23">
        <f t="shared" si="11"/>
        <v>184.69999999999709</v>
      </c>
      <c r="E732" s="3"/>
    </row>
    <row r="733" spans="1:5" x14ac:dyDescent="0.2">
      <c r="A733" s="3">
        <v>45420</v>
      </c>
      <c r="B733" s="13">
        <v>36938.1</v>
      </c>
      <c r="D733" s="23">
        <f t="shared" si="11"/>
        <v>-137.40000000000146</v>
      </c>
      <c r="E733" s="3"/>
    </row>
    <row r="734" spans="1:5" x14ac:dyDescent="0.2">
      <c r="A734" s="3">
        <v>45421</v>
      </c>
      <c r="B734" s="13">
        <v>36917.199999999997</v>
      </c>
      <c r="D734" s="23">
        <f t="shared" si="11"/>
        <v>-20.900000000001455</v>
      </c>
      <c r="E734" s="3"/>
    </row>
    <row r="735" spans="1:5" x14ac:dyDescent="0.2">
      <c r="A735" s="3">
        <v>45422</v>
      </c>
      <c r="B735" s="13">
        <v>36675.300000000003</v>
      </c>
      <c r="D735" s="23">
        <f t="shared" si="11"/>
        <v>-241.89999999999418</v>
      </c>
      <c r="E735" s="3"/>
    </row>
    <row r="736" spans="1:5" x14ac:dyDescent="0.2">
      <c r="A736" s="3">
        <v>45425</v>
      </c>
      <c r="B736" s="13">
        <v>36726.6</v>
      </c>
      <c r="D736" s="23">
        <f t="shared" si="11"/>
        <v>51.299999999995634</v>
      </c>
      <c r="E736" s="3"/>
    </row>
    <row r="737" spans="1:5" x14ac:dyDescent="0.2">
      <c r="A737" s="3">
        <v>45426</v>
      </c>
      <c r="B737" s="13">
        <v>37147.699999999997</v>
      </c>
      <c r="D737" s="23">
        <f t="shared" si="11"/>
        <v>421.09999999999854</v>
      </c>
      <c r="E737" s="3"/>
    </row>
    <row r="738" spans="1:5" x14ac:dyDescent="0.2">
      <c r="A738" s="3">
        <v>45427</v>
      </c>
      <c r="B738" s="13">
        <v>37162.800000000003</v>
      </c>
      <c r="D738" s="23">
        <f t="shared" si="11"/>
        <v>15.100000000005821</v>
      </c>
      <c r="E738" s="3"/>
    </row>
    <row r="739" spans="1:5" x14ac:dyDescent="0.2">
      <c r="A739" s="3">
        <v>45428</v>
      </c>
      <c r="B739" s="13">
        <v>37501.5</v>
      </c>
      <c r="D739" s="23">
        <f t="shared" si="11"/>
        <v>338.69999999999709</v>
      </c>
      <c r="E739" s="3"/>
    </row>
    <row r="740" spans="1:5" x14ac:dyDescent="0.2">
      <c r="A740" s="3">
        <v>45429</v>
      </c>
      <c r="B740" s="13">
        <v>37920.800000000003</v>
      </c>
      <c r="D740" s="23">
        <f t="shared" si="11"/>
        <v>419.30000000000291</v>
      </c>
      <c r="E740" s="3"/>
    </row>
    <row r="741" spans="1:5" x14ac:dyDescent="0.2">
      <c r="A741" s="3">
        <v>45432</v>
      </c>
      <c r="B741" s="13">
        <v>37936.5</v>
      </c>
      <c r="D741" s="23">
        <f t="shared" si="11"/>
        <v>15.69999999999709</v>
      </c>
      <c r="E741" s="3"/>
    </row>
    <row r="742" spans="1:5" x14ac:dyDescent="0.2">
      <c r="A742" s="3">
        <v>45433</v>
      </c>
      <c r="B742" s="13">
        <v>38077.199999999997</v>
      </c>
      <c r="D742" s="23">
        <f t="shared" si="11"/>
        <v>140.69999999999709</v>
      </c>
      <c r="E742" s="3"/>
    </row>
    <row r="743" spans="1:5" x14ac:dyDescent="0.2">
      <c r="A743" s="3">
        <v>45434</v>
      </c>
      <c r="B743" s="13">
        <v>37985.800000000003</v>
      </c>
      <c r="D743" s="23">
        <f t="shared" si="11"/>
        <v>-91.399999999994179</v>
      </c>
      <c r="E743" s="3"/>
    </row>
    <row r="744" spans="1:5" x14ac:dyDescent="0.2">
      <c r="A744" s="3">
        <v>45435</v>
      </c>
      <c r="B744" s="13">
        <v>37706.800000000003</v>
      </c>
      <c r="D744" s="23">
        <f t="shared" si="11"/>
        <v>-279</v>
      </c>
      <c r="E744" s="3"/>
    </row>
    <row r="745" spans="1:5" x14ac:dyDescent="0.2">
      <c r="A745" s="3">
        <v>45436</v>
      </c>
      <c r="B745" s="13">
        <v>37836.699999999997</v>
      </c>
      <c r="D745" s="23">
        <f t="shared" si="11"/>
        <v>129.89999999999418</v>
      </c>
      <c r="E745" s="3"/>
    </row>
    <row r="746" spans="1:5" x14ac:dyDescent="0.2">
      <c r="A746" s="3">
        <v>45439</v>
      </c>
      <c r="B746" s="13">
        <v>37773.4</v>
      </c>
      <c r="D746" s="23">
        <f t="shared" si="11"/>
        <v>-63.299999999995634</v>
      </c>
      <c r="E746" s="3"/>
    </row>
    <row r="747" spans="1:5" x14ac:dyDescent="0.2">
      <c r="A747" s="3">
        <v>45440</v>
      </c>
      <c r="B747" s="13">
        <v>37715.800000000003</v>
      </c>
      <c r="D747" s="23">
        <f t="shared" si="11"/>
        <v>-57.599999999998545</v>
      </c>
      <c r="E747" s="3"/>
    </row>
    <row r="748" spans="1:5" x14ac:dyDescent="0.2">
      <c r="A748" s="3">
        <v>45441</v>
      </c>
      <c r="B748" s="13">
        <v>37459.5</v>
      </c>
      <c r="D748" s="23">
        <f t="shared" si="11"/>
        <v>-256.30000000000291</v>
      </c>
      <c r="E748" s="3"/>
    </row>
    <row r="749" spans="1:5" x14ac:dyDescent="0.2">
      <c r="A749" s="3">
        <v>45442</v>
      </c>
      <c r="B749" s="13">
        <v>37812.5</v>
      </c>
      <c r="D749" s="23">
        <f t="shared" si="11"/>
        <v>353</v>
      </c>
      <c r="E749" s="3"/>
    </row>
    <row r="750" spans="1:5" x14ac:dyDescent="0.2">
      <c r="A750" s="3">
        <v>45443</v>
      </c>
      <c r="B750" s="13">
        <v>38052.199999999997</v>
      </c>
      <c r="D750" s="23">
        <f t="shared" si="11"/>
        <v>239.69999999999709</v>
      </c>
      <c r="E750" s="3"/>
    </row>
    <row r="751" spans="1:5" x14ac:dyDescent="0.2">
      <c r="A751" s="3">
        <v>45446</v>
      </c>
      <c r="B751" s="13">
        <v>38137.4</v>
      </c>
      <c r="D751" s="23">
        <f t="shared" si="11"/>
        <v>85.200000000004366</v>
      </c>
      <c r="E751" s="3"/>
    </row>
    <row r="752" spans="1:5" x14ac:dyDescent="0.2">
      <c r="A752" s="3">
        <v>45447</v>
      </c>
      <c r="B752" s="13">
        <v>37781.199999999997</v>
      </c>
      <c r="D752" s="23">
        <f t="shared" si="11"/>
        <v>-356.20000000000437</v>
      </c>
      <c r="E752" s="3"/>
    </row>
    <row r="753" spans="1:5" x14ac:dyDescent="0.2">
      <c r="A753" s="3">
        <v>45448</v>
      </c>
      <c r="B753" s="13">
        <v>37530.800000000003</v>
      </c>
      <c r="D753" s="23">
        <f t="shared" si="11"/>
        <v>-250.39999999999418</v>
      </c>
      <c r="E753" s="3"/>
    </row>
    <row r="754" spans="1:5" x14ac:dyDescent="0.2">
      <c r="A754" s="3">
        <v>45449</v>
      </c>
      <c r="B754" s="13">
        <v>37558</v>
      </c>
      <c r="D754" s="23">
        <f t="shared" si="11"/>
        <v>27.19999999999709</v>
      </c>
      <c r="E754" s="3"/>
    </row>
    <row r="755" spans="1:5" x14ac:dyDescent="0.2">
      <c r="A755" s="3">
        <v>45450</v>
      </c>
      <c r="B755" s="13">
        <v>37781.4</v>
      </c>
      <c r="D755" s="23">
        <f t="shared" si="11"/>
        <v>223.40000000000146</v>
      </c>
      <c r="E755" s="3"/>
    </row>
    <row r="756" spans="1:5" x14ac:dyDescent="0.2">
      <c r="A756" s="3">
        <v>45453</v>
      </c>
      <c r="B756" s="13">
        <v>37866.5</v>
      </c>
      <c r="D756" s="23">
        <f t="shared" si="11"/>
        <v>85.099999999998545</v>
      </c>
      <c r="E756" s="3"/>
    </row>
    <row r="757" spans="1:5" x14ac:dyDescent="0.2">
      <c r="A757" s="3">
        <v>45454</v>
      </c>
      <c r="B757" s="13">
        <v>37406.300000000003</v>
      </c>
      <c r="D757" s="23">
        <f t="shared" si="11"/>
        <v>-460.19999999999709</v>
      </c>
      <c r="E757" s="3"/>
    </row>
    <row r="758" spans="1:5" x14ac:dyDescent="0.2">
      <c r="A758" s="3">
        <v>45455</v>
      </c>
      <c r="B758" s="13">
        <v>36526.9</v>
      </c>
      <c r="D758" s="23">
        <f t="shared" si="11"/>
        <v>-879.40000000000146</v>
      </c>
      <c r="E758" s="3"/>
    </row>
    <row r="759" spans="1:5" x14ac:dyDescent="0.2">
      <c r="A759" s="3">
        <v>45456</v>
      </c>
      <c r="B759" s="13">
        <v>36716.6</v>
      </c>
      <c r="D759" s="23">
        <f t="shared" si="11"/>
        <v>189.69999999999709</v>
      </c>
      <c r="E759" s="3"/>
    </row>
    <row r="760" spans="1:5" x14ac:dyDescent="0.2">
      <c r="A760" s="3">
        <v>45457</v>
      </c>
      <c r="B760" s="13">
        <v>37177.5</v>
      </c>
      <c r="D760" s="23">
        <f t="shared" si="11"/>
        <v>460.90000000000146</v>
      </c>
      <c r="E760" s="3"/>
    </row>
    <row r="761" spans="1:5" x14ac:dyDescent="0.2">
      <c r="A761" s="3">
        <v>45460</v>
      </c>
      <c r="B761" s="13">
        <v>37373.300000000003</v>
      </c>
      <c r="D761" s="23">
        <f t="shared" si="11"/>
        <v>195.80000000000291</v>
      </c>
      <c r="E761" s="3"/>
    </row>
    <row r="762" spans="1:5" x14ac:dyDescent="0.2">
      <c r="A762" s="3">
        <v>45461</v>
      </c>
      <c r="B762" s="13">
        <v>37306.1</v>
      </c>
      <c r="D762" s="23">
        <f t="shared" si="11"/>
        <v>-67.200000000004366</v>
      </c>
      <c r="E762" s="3"/>
    </row>
    <row r="763" spans="1:5" x14ac:dyDescent="0.2">
      <c r="A763" s="3">
        <v>45462</v>
      </c>
      <c r="B763" s="13">
        <v>37253.599999999999</v>
      </c>
      <c r="D763" s="23">
        <f t="shared" si="11"/>
        <v>-52.5</v>
      </c>
      <c r="E763" s="3"/>
    </row>
    <row r="764" spans="1:5" x14ac:dyDescent="0.2">
      <c r="A764" s="3">
        <v>45463</v>
      </c>
      <c r="B764" s="13">
        <v>37080.6</v>
      </c>
      <c r="D764" s="23">
        <f t="shared" si="11"/>
        <v>-173</v>
      </c>
      <c r="E764" s="3"/>
    </row>
    <row r="765" spans="1:5" x14ac:dyDescent="0.2">
      <c r="A765" s="3">
        <v>45464</v>
      </c>
      <c r="B765" s="13">
        <v>36781.300000000003</v>
      </c>
      <c r="D765" s="23">
        <f t="shared" si="11"/>
        <v>-299.29999999999563</v>
      </c>
      <c r="E765" s="3"/>
    </row>
    <row r="766" spans="1:5" x14ac:dyDescent="0.2">
      <c r="A766" s="3">
        <v>45467</v>
      </c>
      <c r="B766" s="13">
        <v>37160</v>
      </c>
      <c r="D766" s="23">
        <f t="shared" si="11"/>
        <v>378.69999999999709</v>
      </c>
      <c r="E766" s="3"/>
    </row>
    <row r="767" spans="1:5" x14ac:dyDescent="0.2">
      <c r="A767" s="3">
        <v>45468</v>
      </c>
      <c r="B767" s="13">
        <v>37180.9</v>
      </c>
      <c r="D767" s="23">
        <f t="shared" si="11"/>
        <v>20.900000000001455</v>
      </c>
      <c r="E767" s="3"/>
    </row>
    <row r="768" spans="1:5" x14ac:dyDescent="0.2">
      <c r="A768" s="3">
        <v>45469</v>
      </c>
      <c r="B768" s="13">
        <v>37370.9</v>
      </c>
      <c r="D768" s="23">
        <f t="shared" si="11"/>
        <v>190</v>
      </c>
      <c r="E768" s="3"/>
    </row>
    <row r="769" spans="1:5" x14ac:dyDescent="0.2">
      <c r="A769" s="3">
        <v>45470</v>
      </c>
      <c r="B769" s="13">
        <v>36880.400000000001</v>
      </c>
      <c r="D769" s="23">
        <f t="shared" si="11"/>
        <v>-490.5</v>
      </c>
      <c r="E769" s="3"/>
    </row>
    <row r="770" spans="1:5" x14ac:dyDescent="0.2">
      <c r="A770" s="3">
        <v>45471</v>
      </c>
      <c r="B770" s="13">
        <v>36359.9</v>
      </c>
      <c r="D770" s="23">
        <f t="shared" si="11"/>
        <v>-520.5</v>
      </c>
      <c r="E770" s="3"/>
    </row>
    <row r="771" spans="1:5" x14ac:dyDescent="0.2">
      <c r="A771" s="3">
        <v>45474</v>
      </c>
      <c r="B771" s="13">
        <v>36489.599999999999</v>
      </c>
      <c r="D771" s="23">
        <f t="shared" si="11"/>
        <v>129.69999999999709</v>
      </c>
      <c r="E771" s="3"/>
    </row>
    <row r="772" spans="1:5" x14ac:dyDescent="0.2">
      <c r="A772" s="3">
        <v>45475</v>
      </c>
      <c r="B772" s="13">
        <v>36079.9</v>
      </c>
      <c r="D772" s="23">
        <f t="shared" si="11"/>
        <v>-409.69999999999709</v>
      </c>
      <c r="E772" s="3"/>
    </row>
    <row r="773" spans="1:5" x14ac:dyDescent="0.2">
      <c r="A773" s="3">
        <v>45476</v>
      </c>
      <c r="B773" s="13">
        <v>36045.199999999997</v>
      </c>
      <c r="D773" s="23">
        <f t="shared" ref="D773:D836" si="12">B773-B772</f>
        <v>-34.700000000004366</v>
      </c>
      <c r="E773" s="3"/>
    </row>
    <row r="774" spans="1:5" x14ac:dyDescent="0.2">
      <c r="A774" s="3">
        <v>45477</v>
      </c>
      <c r="B774" s="13">
        <v>36135.699999999997</v>
      </c>
      <c r="D774" s="23">
        <f t="shared" si="12"/>
        <v>90.5</v>
      </c>
      <c r="E774" s="3"/>
    </row>
    <row r="775" spans="1:5" x14ac:dyDescent="0.2">
      <c r="A775" s="3">
        <v>45478</v>
      </c>
      <c r="B775" s="13">
        <v>36228</v>
      </c>
      <c r="D775" s="23">
        <f t="shared" si="12"/>
        <v>92.30000000000291</v>
      </c>
      <c r="E775" s="3"/>
    </row>
    <row r="776" spans="1:5" x14ac:dyDescent="0.2">
      <c r="A776" s="3">
        <v>45481</v>
      </c>
      <c r="B776" s="13">
        <v>36544.5</v>
      </c>
      <c r="D776" s="23">
        <f t="shared" si="12"/>
        <v>316.5</v>
      </c>
      <c r="E776" s="3"/>
    </row>
    <row r="777" spans="1:5" x14ac:dyDescent="0.2">
      <c r="A777" s="3">
        <v>45482</v>
      </c>
      <c r="B777" s="13">
        <v>36674.300000000003</v>
      </c>
      <c r="D777" s="23">
        <f t="shared" si="12"/>
        <v>129.80000000000291</v>
      </c>
      <c r="E777" s="3"/>
    </row>
    <row r="778" spans="1:5" x14ac:dyDescent="0.2">
      <c r="A778" s="3">
        <v>45483</v>
      </c>
      <c r="B778" s="13">
        <v>36827.599999999999</v>
      </c>
      <c r="D778" s="23">
        <f t="shared" si="12"/>
        <v>153.29999999999563</v>
      </c>
      <c r="E778" s="3"/>
    </row>
    <row r="779" spans="1:5" x14ac:dyDescent="0.2">
      <c r="A779" s="3">
        <v>45484</v>
      </c>
      <c r="B779" s="13">
        <v>36283.4</v>
      </c>
      <c r="D779" s="23">
        <f t="shared" si="12"/>
        <v>-544.19999999999709</v>
      </c>
      <c r="E779" s="3"/>
    </row>
    <row r="780" spans="1:5" x14ac:dyDescent="0.2">
      <c r="A780" s="3">
        <v>45485</v>
      </c>
      <c r="B780" s="13">
        <v>35977.800000000003</v>
      </c>
      <c r="D780" s="23">
        <f t="shared" si="12"/>
        <v>-305.59999999999854</v>
      </c>
      <c r="E780" s="3"/>
    </row>
    <row r="781" spans="1:5" x14ac:dyDescent="0.2">
      <c r="A781" s="3">
        <v>45488</v>
      </c>
      <c r="B781" s="13">
        <v>35856.5</v>
      </c>
      <c r="D781" s="23">
        <f t="shared" si="12"/>
        <v>-121.30000000000291</v>
      </c>
      <c r="E781" s="3"/>
    </row>
    <row r="782" spans="1:5" x14ac:dyDescent="0.2">
      <c r="A782" s="3">
        <v>45489</v>
      </c>
      <c r="B782" s="13">
        <v>35669.599999999999</v>
      </c>
      <c r="D782" s="23">
        <f t="shared" si="12"/>
        <v>-186.90000000000146</v>
      </c>
      <c r="E782" s="3"/>
    </row>
    <row r="783" spans="1:5" x14ac:dyDescent="0.2">
      <c r="A783" s="3">
        <v>45490</v>
      </c>
      <c r="B783" s="13">
        <v>36233.699999999997</v>
      </c>
      <c r="D783" s="23">
        <f t="shared" si="12"/>
        <v>564.09999999999854</v>
      </c>
      <c r="E783" s="3"/>
    </row>
    <row r="784" spans="1:5" x14ac:dyDescent="0.2">
      <c r="A784" s="3">
        <v>45491</v>
      </c>
      <c r="B784" s="13">
        <v>36853.4</v>
      </c>
      <c r="D784" s="23">
        <f t="shared" si="12"/>
        <v>619.70000000000437</v>
      </c>
      <c r="E784" s="3"/>
    </row>
    <row r="785" spans="1:5" x14ac:dyDescent="0.2">
      <c r="A785" s="3">
        <v>45492</v>
      </c>
      <c r="B785" s="13">
        <v>36817.599999999999</v>
      </c>
      <c r="D785" s="23">
        <f t="shared" si="12"/>
        <v>-35.80000000000291</v>
      </c>
      <c r="E785" s="3"/>
    </row>
    <row r="786" spans="1:5" x14ac:dyDescent="0.2">
      <c r="A786" s="3">
        <v>45495</v>
      </c>
      <c r="B786" s="13">
        <v>36784.6</v>
      </c>
      <c r="D786" s="23">
        <f t="shared" si="12"/>
        <v>-33</v>
      </c>
      <c r="E786" s="3"/>
    </row>
    <row r="787" spans="1:5" x14ac:dyDescent="0.2">
      <c r="A787" s="3">
        <v>45496</v>
      </c>
      <c r="B787" s="13">
        <v>36756.6</v>
      </c>
      <c r="D787" s="23">
        <f t="shared" si="12"/>
        <v>-28</v>
      </c>
      <c r="E787" s="3"/>
    </row>
    <row r="788" spans="1:5" x14ac:dyDescent="0.2">
      <c r="A788" s="3">
        <v>45497</v>
      </c>
      <c r="B788" s="13">
        <v>37316.199999999997</v>
      </c>
      <c r="D788" s="23">
        <f t="shared" si="12"/>
        <v>559.59999999999854</v>
      </c>
      <c r="E788" s="3"/>
    </row>
    <row r="789" spans="1:5" x14ac:dyDescent="0.2">
      <c r="A789" s="3">
        <v>45498</v>
      </c>
      <c r="B789" s="13">
        <v>37768.6</v>
      </c>
      <c r="D789" s="23">
        <f t="shared" si="12"/>
        <v>452.40000000000146</v>
      </c>
      <c r="E789" s="3"/>
    </row>
    <row r="790" spans="1:5" x14ac:dyDescent="0.2">
      <c r="A790" s="3">
        <v>45499</v>
      </c>
      <c r="B790" s="13">
        <v>38153.1</v>
      </c>
      <c r="D790" s="23">
        <f t="shared" si="12"/>
        <v>384.5</v>
      </c>
      <c r="E790" s="3"/>
    </row>
    <row r="791" spans="1:5" x14ac:dyDescent="0.2">
      <c r="A791" s="3">
        <v>45502</v>
      </c>
      <c r="B791" s="13">
        <v>38069.4</v>
      </c>
      <c r="D791" s="23">
        <f t="shared" si="12"/>
        <v>-83.69999999999709</v>
      </c>
      <c r="E791" s="3"/>
    </row>
    <row r="792" spans="1:5" x14ac:dyDescent="0.2">
      <c r="A792" s="3">
        <v>45503</v>
      </c>
      <c r="B792" s="13">
        <v>37951</v>
      </c>
      <c r="D792" s="23">
        <f t="shared" si="12"/>
        <v>-118.40000000000146</v>
      </c>
      <c r="E792" s="3"/>
    </row>
    <row r="793" spans="1:5" x14ac:dyDescent="0.2">
      <c r="A793" s="3">
        <v>45504</v>
      </c>
      <c r="B793" s="13">
        <v>36870.9</v>
      </c>
      <c r="D793" s="23">
        <f t="shared" si="12"/>
        <v>-1080.0999999999985</v>
      </c>
      <c r="E793" s="3"/>
    </row>
    <row r="794" spans="1:5" x14ac:dyDescent="0.2">
      <c r="A794" s="3">
        <v>45505</v>
      </c>
      <c r="B794" s="13">
        <v>37165.9</v>
      </c>
      <c r="D794" s="23">
        <f t="shared" si="12"/>
        <v>295</v>
      </c>
      <c r="E794" s="3"/>
    </row>
    <row r="795" spans="1:5" x14ac:dyDescent="0.2">
      <c r="A795" s="3">
        <v>45506</v>
      </c>
      <c r="B795" s="13">
        <v>37795.599999999999</v>
      </c>
      <c r="D795" s="23">
        <f t="shared" si="12"/>
        <v>629.69999999999709</v>
      </c>
      <c r="E795" s="3"/>
    </row>
    <row r="796" spans="1:5" x14ac:dyDescent="0.2">
      <c r="A796" s="3">
        <v>45509</v>
      </c>
      <c r="B796" s="13">
        <v>37481.300000000003</v>
      </c>
      <c r="D796" s="23">
        <f t="shared" si="12"/>
        <v>-314.29999999999563</v>
      </c>
      <c r="E796" s="3"/>
    </row>
    <row r="797" spans="1:5" x14ac:dyDescent="0.2">
      <c r="A797" s="3">
        <v>45510</v>
      </c>
      <c r="B797" s="13">
        <v>37723.1</v>
      </c>
      <c r="D797" s="23">
        <f t="shared" si="12"/>
        <v>241.79999999999563</v>
      </c>
      <c r="E797" s="3"/>
    </row>
    <row r="798" spans="1:5" x14ac:dyDescent="0.2">
      <c r="A798" s="3">
        <v>45511</v>
      </c>
      <c r="B798" s="13">
        <v>37797.199999999997</v>
      </c>
      <c r="D798" s="23">
        <f t="shared" si="12"/>
        <v>74.099999999998545</v>
      </c>
      <c r="E798" s="3"/>
    </row>
    <row r="799" spans="1:5" x14ac:dyDescent="0.2">
      <c r="A799" s="3">
        <v>45512</v>
      </c>
      <c r="B799" s="13">
        <v>37991.9</v>
      </c>
      <c r="D799" s="23">
        <f t="shared" si="12"/>
        <v>194.70000000000437</v>
      </c>
      <c r="E799" s="3"/>
    </row>
    <row r="800" spans="1:5" x14ac:dyDescent="0.2">
      <c r="A800" s="3">
        <v>45513</v>
      </c>
      <c r="B800" s="13">
        <v>37819.1</v>
      </c>
      <c r="D800" s="23">
        <f t="shared" si="12"/>
        <v>-172.80000000000291</v>
      </c>
      <c r="E800" s="3"/>
    </row>
    <row r="801" spans="1:5" x14ac:dyDescent="0.2">
      <c r="A801" s="3">
        <v>45516</v>
      </c>
      <c r="B801" s="13">
        <v>38274.800000000003</v>
      </c>
      <c r="D801" s="23">
        <f t="shared" si="12"/>
        <v>455.70000000000437</v>
      </c>
      <c r="E801" s="3"/>
    </row>
    <row r="802" spans="1:5" x14ac:dyDescent="0.2">
      <c r="A802" s="3">
        <v>45517</v>
      </c>
      <c r="B802" s="13">
        <v>37855.699999999997</v>
      </c>
      <c r="D802" s="23">
        <f t="shared" si="12"/>
        <v>-419.10000000000582</v>
      </c>
      <c r="E802" s="3"/>
    </row>
    <row r="803" spans="1:5" x14ac:dyDescent="0.2">
      <c r="A803" s="3">
        <v>45518</v>
      </c>
      <c r="B803" s="13">
        <v>37946.1</v>
      </c>
      <c r="D803" s="23">
        <f t="shared" si="12"/>
        <v>90.400000000001455</v>
      </c>
      <c r="E803" s="3"/>
    </row>
    <row r="804" spans="1:5" x14ac:dyDescent="0.2">
      <c r="A804" s="3">
        <v>45519</v>
      </c>
      <c r="B804" s="13">
        <v>37738.1</v>
      </c>
      <c r="D804" s="23">
        <f t="shared" si="12"/>
        <v>-208</v>
      </c>
      <c r="E804" s="3"/>
    </row>
    <row r="805" spans="1:5" x14ac:dyDescent="0.2">
      <c r="A805" s="3">
        <v>45520</v>
      </c>
      <c r="B805" s="13">
        <v>37928.300000000003</v>
      </c>
      <c r="D805" s="23">
        <f t="shared" si="12"/>
        <v>190.20000000000437</v>
      </c>
      <c r="E805" s="3"/>
    </row>
    <row r="806" spans="1:5" x14ac:dyDescent="0.2">
      <c r="A806" s="3">
        <v>45523</v>
      </c>
      <c r="B806" s="13">
        <v>37787.199999999997</v>
      </c>
      <c r="D806" s="23">
        <f t="shared" si="12"/>
        <v>-141.10000000000582</v>
      </c>
      <c r="E806" s="3"/>
    </row>
    <row r="807" spans="1:5" x14ac:dyDescent="0.2">
      <c r="A807" s="3">
        <v>45524</v>
      </c>
      <c r="B807" s="13">
        <v>37485.800000000003</v>
      </c>
      <c r="D807" s="23">
        <f t="shared" si="12"/>
        <v>-301.39999999999418</v>
      </c>
      <c r="E807" s="3"/>
    </row>
    <row r="808" spans="1:5" x14ac:dyDescent="0.2">
      <c r="A808" s="3">
        <v>45525</v>
      </c>
      <c r="B808" s="13">
        <v>37451.199999999997</v>
      </c>
      <c r="D808" s="23">
        <f t="shared" si="12"/>
        <v>-34.600000000005821</v>
      </c>
      <c r="E808" s="3"/>
    </row>
    <row r="809" spans="1:5" x14ac:dyDescent="0.2">
      <c r="A809" s="3">
        <v>45526</v>
      </c>
      <c r="B809" s="13">
        <v>37412.199999999997</v>
      </c>
      <c r="D809" s="23">
        <f t="shared" si="12"/>
        <v>-39</v>
      </c>
      <c r="E809" s="3"/>
    </row>
    <row r="810" spans="1:5" x14ac:dyDescent="0.2">
      <c r="A810" s="3">
        <v>45527</v>
      </c>
      <c r="B810" s="13">
        <v>37437</v>
      </c>
      <c r="D810" s="23">
        <f t="shared" si="12"/>
        <v>24.80000000000291</v>
      </c>
      <c r="E810" s="3"/>
    </row>
    <row r="811" spans="1:5" x14ac:dyDescent="0.2">
      <c r="A811" s="3">
        <v>45530</v>
      </c>
      <c r="B811" s="13">
        <v>37421</v>
      </c>
      <c r="D811" s="23">
        <f t="shared" si="12"/>
        <v>-16</v>
      </c>
      <c r="E811" s="3"/>
    </row>
    <row r="812" spans="1:5" x14ac:dyDescent="0.2">
      <c r="A812" s="3">
        <v>45531</v>
      </c>
      <c r="B812" s="13">
        <v>37556.699999999997</v>
      </c>
      <c r="D812" s="23">
        <f t="shared" si="12"/>
        <v>135.69999999999709</v>
      </c>
      <c r="E812" s="3"/>
    </row>
    <row r="813" spans="1:5" x14ac:dyDescent="0.2">
      <c r="A813" s="3">
        <v>45532</v>
      </c>
      <c r="B813" s="13">
        <v>37695.800000000003</v>
      </c>
      <c r="D813" s="23">
        <f t="shared" si="12"/>
        <v>139.10000000000582</v>
      </c>
      <c r="E813" s="3"/>
    </row>
    <row r="814" spans="1:5" x14ac:dyDescent="0.2">
      <c r="A814" s="3">
        <v>45533</v>
      </c>
      <c r="B814" s="13">
        <v>37513.199999999997</v>
      </c>
      <c r="D814" s="23">
        <f t="shared" si="12"/>
        <v>-182.60000000000582</v>
      </c>
      <c r="E814" s="3"/>
    </row>
    <row r="815" spans="1:5" x14ac:dyDescent="0.2">
      <c r="A815" s="3">
        <v>45534</v>
      </c>
      <c r="B815" s="13">
        <v>37531.5</v>
      </c>
      <c r="D815" s="23">
        <f t="shared" si="12"/>
        <v>18.30000000000291</v>
      </c>
      <c r="E815" s="3"/>
    </row>
    <row r="816" spans="1:5" x14ac:dyDescent="0.2">
      <c r="A816" s="3">
        <v>45537</v>
      </c>
      <c r="B816" s="13">
        <v>37686.800000000003</v>
      </c>
      <c r="D816" s="23">
        <f t="shared" si="12"/>
        <v>155.30000000000291</v>
      </c>
      <c r="E816" s="3"/>
    </row>
    <row r="817" spans="1:5" x14ac:dyDescent="0.2">
      <c r="A817" s="3">
        <v>45538</v>
      </c>
      <c r="B817" s="13">
        <v>38081.5</v>
      </c>
      <c r="D817" s="23">
        <f t="shared" si="12"/>
        <v>394.69999999999709</v>
      </c>
      <c r="E817" s="3"/>
    </row>
    <row r="818" spans="1:5" x14ac:dyDescent="0.2">
      <c r="A818" s="3">
        <v>45539</v>
      </c>
      <c r="B818" s="13">
        <v>38267.300000000003</v>
      </c>
      <c r="D818" s="23">
        <f t="shared" si="12"/>
        <v>185.80000000000291</v>
      </c>
      <c r="E818" s="3"/>
    </row>
    <row r="819" spans="1:5" x14ac:dyDescent="0.2">
      <c r="A819" s="3">
        <v>45540</v>
      </c>
      <c r="B819" s="13">
        <v>38388.5</v>
      </c>
      <c r="D819" s="23">
        <f t="shared" si="12"/>
        <v>121.19999999999709</v>
      </c>
      <c r="E819" s="3"/>
    </row>
    <row r="820" spans="1:5" x14ac:dyDescent="0.2">
      <c r="A820" s="3">
        <v>45541</v>
      </c>
      <c r="B820" s="13">
        <v>38546.5</v>
      </c>
      <c r="D820" s="23">
        <f t="shared" si="12"/>
        <v>158</v>
      </c>
      <c r="E820" s="3"/>
    </row>
    <row r="821" spans="1:5" x14ac:dyDescent="0.2">
      <c r="A821" s="3">
        <v>45544</v>
      </c>
      <c r="B821" s="13">
        <v>38339.1</v>
      </c>
      <c r="D821" s="23">
        <f t="shared" si="12"/>
        <v>-207.40000000000146</v>
      </c>
      <c r="E821" s="3"/>
    </row>
    <row r="822" spans="1:5" x14ac:dyDescent="0.2">
      <c r="A822" s="3">
        <v>45545</v>
      </c>
      <c r="B822" s="13">
        <v>38341.4</v>
      </c>
      <c r="D822" s="23">
        <f t="shared" si="12"/>
        <v>2.3000000000029104</v>
      </c>
      <c r="E822" s="3"/>
    </row>
    <row r="823" spans="1:5" x14ac:dyDescent="0.2">
      <c r="A823" s="3">
        <v>45546</v>
      </c>
      <c r="B823" s="13">
        <v>37624.300000000003</v>
      </c>
      <c r="D823" s="23">
        <f t="shared" si="12"/>
        <v>-717.09999999999854</v>
      </c>
      <c r="E823" s="3"/>
    </row>
    <row r="824" spans="1:5" x14ac:dyDescent="0.2">
      <c r="A824" s="3">
        <v>45547</v>
      </c>
      <c r="B824" s="13">
        <v>37745.300000000003</v>
      </c>
      <c r="D824" s="23">
        <f t="shared" si="12"/>
        <v>121</v>
      </c>
      <c r="E824" s="3"/>
    </row>
    <row r="825" spans="1:5" x14ac:dyDescent="0.2">
      <c r="A825" s="3">
        <v>45548</v>
      </c>
      <c r="B825" s="13">
        <v>37169.1</v>
      </c>
      <c r="D825" s="23">
        <f t="shared" si="12"/>
        <v>-576.20000000000437</v>
      </c>
      <c r="E825" s="3"/>
    </row>
    <row r="826" spans="1:5" x14ac:dyDescent="0.2">
      <c r="A826" s="3">
        <v>45551</v>
      </c>
      <c r="B826" s="13">
        <v>37039.9</v>
      </c>
      <c r="D826" s="23">
        <f t="shared" si="12"/>
        <v>-129.19999999999709</v>
      </c>
      <c r="E826" s="3"/>
    </row>
    <row r="827" spans="1:5" x14ac:dyDescent="0.2">
      <c r="A827" s="3">
        <v>45552</v>
      </c>
      <c r="B827" s="13">
        <v>36525.5</v>
      </c>
      <c r="D827" s="23">
        <f t="shared" si="12"/>
        <v>-514.40000000000146</v>
      </c>
      <c r="E827" s="3"/>
    </row>
    <row r="828" spans="1:5" x14ac:dyDescent="0.2">
      <c r="A828" s="3">
        <v>45553</v>
      </c>
      <c r="B828" s="13">
        <v>36416.199999999997</v>
      </c>
      <c r="D828" s="23">
        <f t="shared" si="12"/>
        <v>-109.30000000000291</v>
      </c>
      <c r="E828" s="3"/>
    </row>
    <row r="829" spans="1:5" x14ac:dyDescent="0.2">
      <c r="A829" s="3">
        <v>45554</v>
      </c>
      <c r="B829" s="13">
        <v>35962.699999999997</v>
      </c>
      <c r="D829" s="23">
        <f t="shared" si="12"/>
        <v>-453.5</v>
      </c>
      <c r="E829" s="3"/>
    </row>
    <row r="830" spans="1:5" x14ac:dyDescent="0.2">
      <c r="A830" s="3">
        <v>45555</v>
      </c>
      <c r="B830" s="13">
        <v>35729.4</v>
      </c>
      <c r="D830" s="23">
        <f t="shared" si="12"/>
        <v>-233.29999999999563</v>
      </c>
      <c r="E830" s="3"/>
    </row>
    <row r="831" spans="1:5" x14ac:dyDescent="0.2">
      <c r="A831" s="3">
        <v>45558</v>
      </c>
      <c r="B831" s="13">
        <v>35614.300000000003</v>
      </c>
      <c r="D831" s="23">
        <f t="shared" si="12"/>
        <v>-115.09999999999854</v>
      </c>
      <c r="E831" s="3"/>
    </row>
    <row r="832" spans="1:5" x14ac:dyDescent="0.2">
      <c r="A832" s="3">
        <v>45559</v>
      </c>
      <c r="B832" s="13">
        <v>35803.300000000003</v>
      </c>
      <c r="D832" s="23">
        <f t="shared" si="12"/>
        <v>189</v>
      </c>
      <c r="E832" s="3"/>
    </row>
    <row r="833" spans="1:5" x14ac:dyDescent="0.2">
      <c r="A833" s="3">
        <v>45560</v>
      </c>
      <c r="B833" s="13">
        <v>35579.9</v>
      </c>
      <c r="D833" s="23">
        <f t="shared" si="12"/>
        <v>-223.40000000000146</v>
      </c>
      <c r="E833" s="3"/>
    </row>
    <row r="834" spans="1:5" x14ac:dyDescent="0.2">
      <c r="A834" s="3">
        <v>45561</v>
      </c>
      <c r="B834" s="13">
        <v>35531.699999999997</v>
      </c>
      <c r="D834" s="23">
        <f t="shared" si="12"/>
        <v>-48.200000000004366</v>
      </c>
      <c r="E834" s="3"/>
    </row>
    <row r="835" spans="1:5" x14ac:dyDescent="0.2">
      <c r="A835" s="3">
        <v>45562</v>
      </c>
      <c r="B835" s="13">
        <v>35054.6</v>
      </c>
      <c r="D835" s="23">
        <f t="shared" si="12"/>
        <v>-477.09999999999854</v>
      </c>
      <c r="E835" s="3"/>
    </row>
    <row r="836" spans="1:5" x14ac:dyDescent="0.2">
      <c r="A836" s="3">
        <v>45565</v>
      </c>
      <c r="B836" s="13">
        <v>35140.199999999997</v>
      </c>
      <c r="D836" s="23">
        <f t="shared" si="12"/>
        <v>85.599999999998545</v>
      </c>
      <c r="E836" s="3"/>
    </row>
    <row r="837" spans="1:5" x14ac:dyDescent="0.2">
      <c r="A837" s="3">
        <v>45566</v>
      </c>
      <c r="B837" s="13">
        <v>35416.9</v>
      </c>
      <c r="D837" s="23">
        <f t="shared" ref="D837:D900" si="13">B837-B836</f>
        <v>276.70000000000437</v>
      </c>
      <c r="E837" s="3"/>
    </row>
    <row r="838" spans="1:5" x14ac:dyDescent="0.2">
      <c r="A838" s="3">
        <v>45567</v>
      </c>
      <c r="B838" s="13">
        <v>35454.300000000003</v>
      </c>
      <c r="D838" s="23">
        <f t="shared" si="13"/>
        <v>37.400000000001455</v>
      </c>
      <c r="E838" s="3"/>
    </row>
    <row r="839" spans="1:5" x14ac:dyDescent="0.2">
      <c r="A839" s="3">
        <v>45568</v>
      </c>
      <c r="B839" s="13">
        <v>35427.199999999997</v>
      </c>
      <c r="D839" s="23">
        <f t="shared" si="13"/>
        <v>-27.100000000005821</v>
      </c>
      <c r="E839" s="3"/>
    </row>
    <row r="840" spans="1:5" x14ac:dyDescent="0.2">
      <c r="A840" s="3">
        <v>45569</v>
      </c>
      <c r="B840" s="13">
        <v>35623.5</v>
      </c>
      <c r="D840" s="23">
        <f t="shared" si="13"/>
        <v>196.30000000000291</v>
      </c>
      <c r="E840" s="3"/>
    </row>
    <row r="841" spans="1:5" x14ac:dyDescent="0.2">
      <c r="A841" s="3">
        <v>45572</v>
      </c>
      <c r="B841" s="13">
        <v>35851.300000000003</v>
      </c>
      <c r="D841" s="23">
        <f t="shared" si="13"/>
        <v>227.80000000000291</v>
      </c>
      <c r="E841" s="3"/>
    </row>
    <row r="842" spans="1:5" x14ac:dyDescent="0.2">
      <c r="A842" s="3">
        <v>45573</v>
      </c>
      <c r="B842" s="13">
        <v>35901.199999999997</v>
      </c>
      <c r="D842" s="23">
        <f t="shared" si="13"/>
        <v>49.899999999994179</v>
      </c>
      <c r="E842" s="3"/>
    </row>
    <row r="843" spans="1:5" x14ac:dyDescent="0.2">
      <c r="A843" s="3">
        <v>45574</v>
      </c>
      <c r="B843" s="13">
        <v>35714.1</v>
      </c>
      <c r="D843" s="23">
        <f t="shared" si="13"/>
        <v>-187.09999999999854</v>
      </c>
      <c r="E843" s="3"/>
    </row>
    <row r="844" spans="1:5" x14ac:dyDescent="0.2">
      <c r="A844" s="3">
        <v>45575</v>
      </c>
      <c r="B844" s="13">
        <v>36061.599999999999</v>
      </c>
      <c r="D844" s="23">
        <f t="shared" si="13"/>
        <v>347.5</v>
      </c>
      <c r="E844" s="3"/>
    </row>
    <row r="845" spans="1:5" x14ac:dyDescent="0.2">
      <c r="A845" s="3">
        <v>45576</v>
      </c>
      <c r="B845" s="13">
        <v>36136.9</v>
      </c>
      <c r="D845" s="23">
        <f t="shared" si="13"/>
        <v>75.30000000000291</v>
      </c>
      <c r="E845" s="3"/>
    </row>
    <row r="846" spans="1:5" x14ac:dyDescent="0.2">
      <c r="A846" s="3">
        <v>45579</v>
      </c>
      <c r="B846" s="13">
        <v>36120.1</v>
      </c>
      <c r="D846" s="23">
        <f t="shared" si="13"/>
        <v>-16.80000000000291</v>
      </c>
      <c r="E846" s="3"/>
    </row>
    <row r="847" spans="1:5" x14ac:dyDescent="0.2">
      <c r="A847" s="3">
        <v>45580</v>
      </c>
      <c r="B847" s="13">
        <v>36290.199999999997</v>
      </c>
      <c r="D847" s="23">
        <f t="shared" si="13"/>
        <v>170.09999999999854</v>
      </c>
      <c r="E847" s="3"/>
    </row>
    <row r="848" spans="1:5" x14ac:dyDescent="0.2">
      <c r="A848" s="3">
        <v>45581</v>
      </c>
      <c r="B848" s="13">
        <v>36465.800000000003</v>
      </c>
      <c r="D848" s="23">
        <f t="shared" si="13"/>
        <v>175.60000000000582</v>
      </c>
      <c r="E848" s="3"/>
    </row>
    <row r="849" spans="1:5" x14ac:dyDescent="0.2">
      <c r="A849" s="3">
        <v>45582</v>
      </c>
      <c r="B849" s="13">
        <v>36768.800000000003</v>
      </c>
      <c r="D849" s="23">
        <f t="shared" si="13"/>
        <v>303</v>
      </c>
      <c r="E849" s="3"/>
    </row>
    <row r="850" spans="1:5" x14ac:dyDescent="0.2">
      <c r="A850" s="3">
        <v>45583</v>
      </c>
      <c r="B850" s="13">
        <v>36918.300000000003</v>
      </c>
      <c r="D850" s="23">
        <f t="shared" si="13"/>
        <v>149.5</v>
      </c>
      <c r="E850" s="3"/>
    </row>
    <row r="851" spans="1:5" x14ac:dyDescent="0.2">
      <c r="A851" s="3">
        <v>45586</v>
      </c>
      <c r="B851" s="13">
        <v>37055.300000000003</v>
      </c>
      <c r="D851" s="23">
        <f t="shared" si="13"/>
        <v>137</v>
      </c>
      <c r="E851" s="3"/>
    </row>
    <row r="852" spans="1:5" x14ac:dyDescent="0.2">
      <c r="A852" s="3">
        <v>45587</v>
      </c>
      <c r="B852" s="13">
        <v>37431.800000000003</v>
      </c>
      <c r="D852" s="23">
        <f t="shared" si="13"/>
        <v>376.5</v>
      </c>
      <c r="E852" s="3"/>
    </row>
    <row r="853" spans="1:5" x14ac:dyDescent="0.2">
      <c r="A853" s="3">
        <v>45588</v>
      </c>
      <c r="B853" s="13">
        <v>37377.300000000003</v>
      </c>
      <c r="D853" s="23">
        <f t="shared" si="13"/>
        <v>-54.5</v>
      </c>
      <c r="E853" s="3"/>
    </row>
    <row r="854" spans="1:5" x14ac:dyDescent="0.2">
      <c r="A854" s="3">
        <v>45589</v>
      </c>
      <c r="B854" s="13">
        <v>36884.9</v>
      </c>
      <c r="D854" s="23">
        <f t="shared" si="13"/>
        <v>-492.40000000000146</v>
      </c>
      <c r="E854" s="3"/>
    </row>
    <row r="855" spans="1:5" x14ac:dyDescent="0.2">
      <c r="A855" s="3">
        <v>45590</v>
      </c>
      <c r="B855" s="13">
        <v>36334.400000000001</v>
      </c>
      <c r="D855" s="23">
        <f t="shared" si="13"/>
        <v>-550.5</v>
      </c>
      <c r="E855" s="3"/>
    </row>
    <row r="856" spans="1:5" x14ac:dyDescent="0.2">
      <c r="A856" s="3">
        <v>45593</v>
      </c>
      <c r="B856" s="13">
        <v>36999.9</v>
      </c>
      <c r="D856" s="23">
        <f t="shared" si="13"/>
        <v>665.5</v>
      </c>
      <c r="E856" s="3"/>
    </row>
    <row r="857" spans="1:5" x14ac:dyDescent="0.2">
      <c r="A857" s="3">
        <v>45594</v>
      </c>
      <c r="B857" s="13">
        <v>37378.5</v>
      </c>
      <c r="D857" s="23">
        <f t="shared" si="13"/>
        <v>378.59999999999854</v>
      </c>
      <c r="E857" s="3"/>
    </row>
    <row r="858" spans="1:5" x14ac:dyDescent="0.2">
      <c r="A858" s="3">
        <v>45595</v>
      </c>
      <c r="B858" s="13">
        <v>37661.599999999999</v>
      </c>
      <c r="D858" s="23">
        <f t="shared" si="13"/>
        <v>283.09999999999854</v>
      </c>
      <c r="E858" s="3"/>
    </row>
    <row r="859" spans="1:5" x14ac:dyDescent="0.2">
      <c r="A859" s="3">
        <v>45596</v>
      </c>
      <c r="B859" s="13">
        <v>38148.300000000003</v>
      </c>
      <c r="D859" s="23">
        <f t="shared" si="13"/>
        <v>486.70000000000437</v>
      </c>
      <c r="E859" s="3"/>
    </row>
    <row r="860" spans="1:5" x14ac:dyDescent="0.2">
      <c r="A860" s="3">
        <v>45597</v>
      </c>
      <c r="B860" s="13">
        <v>38241</v>
      </c>
      <c r="D860" s="23">
        <f t="shared" si="13"/>
        <v>92.69999999999709</v>
      </c>
      <c r="E860" s="3"/>
    </row>
    <row r="861" spans="1:5" x14ac:dyDescent="0.2">
      <c r="A861" s="3">
        <v>45600</v>
      </c>
      <c r="B861" s="13">
        <v>38498.9</v>
      </c>
      <c r="D861" s="23">
        <f t="shared" si="13"/>
        <v>257.90000000000146</v>
      </c>
      <c r="E861" s="3"/>
    </row>
    <row r="862" spans="1:5" x14ac:dyDescent="0.2">
      <c r="A862" s="3">
        <v>45601</v>
      </c>
      <c r="B862" s="13">
        <v>38656.199999999997</v>
      </c>
      <c r="D862" s="23">
        <f t="shared" si="13"/>
        <v>157.29999999999563</v>
      </c>
      <c r="E862" s="3"/>
    </row>
    <row r="863" spans="1:5" x14ac:dyDescent="0.2">
      <c r="A863" s="3">
        <v>45602</v>
      </c>
      <c r="B863" s="13">
        <v>38485.199999999997</v>
      </c>
      <c r="D863" s="23">
        <f t="shared" si="13"/>
        <v>-171</v>
      </c>
      <c r="E863" s="3"/>
    </row>
    <row r="864" spans="1:5" x14ac:dyDescent="0.2">
      <c r="A864" s="3">
        <v>45603</v>
      </c>
      <c r="B864" s="13">
        <v>38542.1</v>
      </c>
      <c r="D864" s="23">
        <f t="shared" si="13"/>
        <v>56.900000000001455</v>
      </c>
      <c r="E864" s="3"/>
    </row>
    <row r="865" spans="1:5" x14ac:dyDescent="0.2">
      <c r="A865" s="3">
        <v>45604</v>
      </c>
      <c r="B865" s="13">
        <v>39163.9</v>
      </c>
      <c r="D865" s="23">
        <f t="shared" si="13"/>
        <v>621.80000000000291</v>
      </c>
      <c r="E865" s="3"/>
    </row>
    <row r="866" spans="1:5" x14ac:dyDescent="0.2">
      <c r="A866" s="3">
        <v>45607</v>
      </c>
      <c r="B866" s="13">
        <v>39226.699999999997</v>
      </c>
      <c r="D866" s="23">
        <f t="shared" si="13"/>
        <v>62.799999999995634</v>
      </c>
      <c r="E866" s="3"/>
    </row>
    <row r="867" spans="1:5" x14ac:dyDescent="0.2">
      <c r="A867" s="3">
        <v>45608</v>
      </c>
      <c r="B867" s="13">
        <v>39525</v>
      </c>
      <c r="D867" s="23">
        <f t="shared" si="13"/>
        <v>298.30000000000291</v>
      </c>
      <c r="E867" s="3"/>
    </row>
    <row r="868" spans="1:5" x14ac:dyDescent="0.2">
      <c r="A868" s="3">
        <v>45609</v>
      </c>
      <c r="B868" s="13">
        <v>39494.6</v>
      </c>
      <c r="D868" s="23">
        <f t="shared" si="13"/>
        <v>-30.400000000001455</v>
      </c>
      <c r="E868" s="3"/>
    </row>
    <row r="869" spans="1:5" x14ac:dyDescent="0.2">
      <c r="A869" s="3">
        <v>45610</v>
      </c>
      <c r="B869" s="13">
        <v>39821.1</v>
      </c>
      <c r="D869" s="23">
        <f t="shared" si="13"/>
        <v>326.5</v>
      </c>
      <c r="E869" s="3"/>
    </row>
    <row r="870" spans="1:5" x14ac:dyDescent="0.2">
      <c r="A870" s="3">
        <v>45611</v>
      </c>
      <c r="B870" s="13">
        <v>40027.699999999997</v>
      </c>
      <c r="D870" s="23">
        <f t="shared" si="13"/>
        <v>206.59999999999854</v>
      </c>
      <c r="E870" s="3"/>
    </row>
    <row r="871" spans="1:5" x14ac:dyDescent="0.2">
      <c r="A871" s="3">
        <v>45614</v>
      </c>
      <c r="B871" s="13">
        <v>40435</v>
      </c>
      <c r="D871" s="23">
        <f t="shared" si="13"/>
        <v>407.30000000000291</v>
      </c>
      <c r="E871" s="3"/>
    </row>
    <row r="872" spans="1:5" x14ac:dyDescent="0.2">
      <c r="A872" s="3">
        <v>45615</v>
      </c>
      <c r="B872" s="13">
        <v>40531.4</v>
      </c>
      <c r="D872" s="23">
        <f t="shared" si="13"/>
        <v>96.400000000001455</v>
      </c>
      <c r="E872" s="3"/>
    </row>
    <row r="873" spans="1:5" x14ac:dyDescent="0.2">
      <c r="A873" s="3">
        <v>45616</v>
      </c>
      <c r="B873" s="13">
        <v>40746.699999999997</v>
      </c>
      <c r="D873" s="23">
        <f t="shared" si="13"/>
        <v>215.29999999999563</v>
      </c>
      <c r="E873" s="3"/>
    </row>
    <row r="874" spans="1:5" x14ac:dyDescent="0.2">
      <c r="A874" s="3">
        <v>45617</v>
      </c>
      <c r="B874" s="13">
        <v>40796.400000000001</v>
      </c>
      <c r="D874" s="23">
        <f t="shared" si="13"/>
        <v>49.700000000004366</v>
      </c>
      <c r="E874" s="3"/>
    </row>
    <row r="875" spans="1:5" x14ac:dyDescent="0.2">
      <c r="A875" s="3">
        <v>45618</v>
      </c>
      <c r="B875" s="13">
        <v>40289.199999999997</v>
      </c>
      <c r="D875" s="23">
        <f t="shared" si="13"/>
        <v>-507.20000000000437</v>
      </c>
      <c r="E875" s="3"/>
    </row>
    <row r="876" spans="1:5" x14ac:dyDescent="0.2">
      <c r="A876" s="3">
        <f>+[1]Performance!A3</f>
        <v>45621</v>
      </c>
      <c r="B876" s="13">
        <v>40006.080000000002</v>
      </c>
      <c r="D876" s="23">
        <f t="shared" si="13"/>
        <v>-283.11999999999534</v>
      </c>
      <c r="E876" s="3"/>
    </row>
    <row r="877" spans="1:5" x14ac:dyDescent="0.2">
      <c r="A877" s="3">
        <f>+[1]Performance!A4</f>
        <v>45622</v>
      </c>
      <c r="B877" s="13">
        <v>39796.92</v>
      </c>
      <c r="D877" s="23">
        <f t="shared" si="13"/>
        <v>-209.16000000000349</v>
      </c>
      <c r="E877" s="3"/>
    </row>
    <row r="878" spans="1:5" x14ac:dyDescent="0.2">
      <c r="A878" s="3">
        <f>+[1]Performance!A5</f>
        <v>45623</v>
      </c>
      <c r="B878" s="13">
        <v>39809.21</v>
      </c>
      <c r="D878" s="23">
        <f t="shared" si="13"/>
        <v>12.290000000000873</v>
      </c>
      <c r="E878" s="3"/>
    </row>
    <row r="879" spans="1:5" x14ac:dyDescent="0.2">
      <c r="A879" s="3">
        <f>+[1]Performance!A6</f>
        <v>45624</v>
      </c>
      <c r="B879" s="13">
        <v>39787.86</v>
      </c>
      <c r="D879" s="23">
        <f t="shared" si="13"/>
        <v>-21.349999999998545</v>
      </c>
      <c r="E879" s="3"/>
    </row>
    <row r="880" spans="1:5" x14ac:dyDescent="0.2">
      <c r="A880" s="3">
        <f>+[1]Performance!A7</f>
        <v>45625</v>
      </c>
      <c r="B880" s="13">
        <v>39798.33</v>
      </c>
      <c r="D880" s="23">
        <f t="shared" si="13"/>
        <v>10.470000000001164</v>
      </c>
      <c r="E880" s="3"/>
    </row>
    <row r="881" spans="1:5" x14ac:dyDescent="0.2">
      <c r="A881" s="3">
        <f>+[1]Performance!A8</f>
        <v>45628</v>
      </c>
      <c r="B881" s="13">
        <v>39623.58</v>
      </c>
      <c r="D881" s="23">
        <f t="shared" si="13"/>
        <v>-174.75</v>
      </c>
      <c r="E881" s="3"/>
    </row>
    <row r="882" spans="1:5" x14ac:dyDescent="0.2">
      <c r="A882" s="3">
        <f>+[1]Performance!A9</f>
        <v>45629</v>
      </c>
      <c r="B882" s="13">
        <v>39711.910000000003</v>
      </c>
      <c r="D882" s="23">
        <f t="shared" si="13"/>
        <v>88.330000000001746</v>
      </c>
      <c r="E882" s="3"/>
    </row>
    <row r="883" spans="1:5" x14ac:dyDescent="0.2">
      <c r="A883" s="3">
        <f>+[1]Performance!A10</f>
        <v>45630</v>
      </c>
      <c r="B883" s="13">
        <v>39400.730000000003</v>
      </c>
      <c r="D883" s="23">
        <f t="shared" si="13"/>
        <v>-311.18000000000029</v>
      </c>
      <c r="E883" s="3"/>
    </row>
    <row r="884" spans="1:5" x14ac:dyDescent="0.2">
      <c r="A884" s="3">
        <f>+[1]Performance!A11</f>
        <v>45631</v>
      </c>
      <c r="B884" s="13">
        <v>40067.300000000003</v>
      </c>
      <c r="D884" s="23">
        <f t="shared" si="13"/>
        <v>666.56999999999971</v>
      </c>
      <c r="E884" s="3"/>
    </row>
    <row r="885" spans="1:5" x14ac:dyDescent="0.2">
      <c r="A885" s="3">
        <f>+[1]Performance!A12</f>
        <v>45632</v>
      </c>
      <c r="B885" s="13">
        <v>39690.720000000001</v>
      </c>
      <c r="D885" s="23">
        <f t="shared" si="13"/>
        <v>-376.58000000000175</v>
      </c>
      <c r="E885" s="3"/>
    </row>
    <row r="886" spans="1:5" x14ac:dyDescent="0.2">
      <c r="A886" s="3">
        <f>+[1]Performance!A13</f>
        <v>45635</v>
      </c>
      <c r="B886" s="13">
        <v>39970.15</v>
      </c>
      <c r="D886" s="23">
        <f t="shared" si="13"/>
        <v>279.43000000000029</v>
      </c>
      <c r="E886" s="3"/>
    </row>
    <row r="887" spans="1:5" x14ac:dyDescent="0.2">
      <c r="A887" s="3">
        <f>+[1]Performance!A14</f>
        <v>45636</v>
      </c>
      <c r="B887" s="13">
        <v>40246.120000000003</v>
      </c>
      <c r="D887" s="23">
        <f t="shared" si="13"/>
        <v>275.97000000000116</v>
      </c>
      <c r="E887" s="3"/>
    </row>
    <row r="888" spans="1:5" x14ac:dyDescent="0.2">
      <c r="A888" s="3">
        <f>+[1]Performance!A15</f>
        <v>45637</v>
      </c>
      <c r="B888" s="13">
        <v>39958.97</v>
      </c>
      <c r="D888" s="23">
        <f t="shared" si="13"/>
        <v>-287.15000000000146</v>
      </c>
      <c r="E888" s="3"/>
    </row>
    <row r="889" spans="1:5" x14ac:dyDescent="0.2">
      <c r="A889" s="3">
        <f>+[1]Performance!A16</f>
        <v>45638</v>
      </c>
      <c r="B889" s="13">
        <v>39996.29</v>
      </c>
      <c r="D889" s="23">
        <f t="shared" si="13"/>
        <v>37.319999999999709</v>
      </c>
      <c r="E889" s="3"/>
    </row>
    <row r="890" spans="1:5" x14ac:dyDescent="0.2">
      <c r="A890" s="3">
        <f>+[1]Performance!A17</f>
        <v>45639</v>
      </c>
      <c r="B890" s="13">
        <v>40142.400000000001</v>
      </c>
      <c r="D890" s="23">
        <f t="shared" si="13"/>
        <v>146.11000000000058</v>
      </c>
      <c r="E890" s="3"/>
    </row>
    <row r="891" spans="1:5" x14ac:dyDescent="0.2">
      <c r="A891" s="3">
        <f>+[1]Performance!A18</f>
        <v>45642</v>
      </c>
      <c r="B891" s="13">
        <v>39929.65</v>
      </c>
      <c r="D891" s="23">
        <f t="shared" si="13"/>
        <v>-212.75</v>
      </c>
      <c r="E891" s="3"/>
    </row>
    <row r="892" spans="1:5" x14ac:dyDescent="0.2">
      <c r="A892" s="3">
        <f>+[1]Performance!A19</f>
        <v>45643</v>
      </c>
      <c r="B892" s="13">
        <v>39860.49</v>
      </c>
      <c r="D892" s="23">
        <f t="shared" si="13"/>
        <v>-69.160000000003492</v>
      </c>
      <c r="E892" s="3"/>
    </row>
    <row r="893" spans="1:5" x14ac:dyDescent="0.2">
      <c r="A893" s="3">
        <f>+[1]Performance!A20</f>
        <v>45644</v>
      </c>
      <c r="B893" s="13">
        <v>40199.410000000003</v>
      </c>
      <c r="D893" s="23">
        <f t="shared" si="13"/>
        <v>338.92000000000553</v>
      </c>
      <c r="E893" s="3"/>
    </row>
    <row r="894" spans="1:5" x14ac:dyDescent="0.2">
      <c r="A894" s="3">
        <f>+[1]Performance!A21</f>
        <v>45645</v>
      </c>
      <c r="B894" s="13">
        <v>40511.24</v>
      </c>
      <c r="D894" s="23">
        <f t="shared" si="13"/>
        <v>311.82999999999447</v>
      </c>
      <c r="E894" s="3"/>
    </row>
    <row r="895" spans="1:5" x14ac:dyDescent="0.2">
      <c r="A895" s="3">
        <f>+[1]Performance!A22</f>
        <v>45646</v>
      </c>
      <c r="B895" s="13">
        <v>40446.26</v>
      </c>
      <c r="D895" s="23">
        <f t="shared" si="13"/>
        <v>-64.979999999995925</v>
      </c>
      <c r="E895" s="3"/>
    </row>
    <row r="896" spans="1:5" x14ac:dyDescent="0.2">
      <c r="A896" s="3">
        <f>+[1]Performance!A23</f>
        <v>45649</v>
      </c>
      <c r="B896" s="13">
        <v>40738.36</v>
      </c>
      <c r="D896" s="23">
        <f t="shared" si="13"/>
        <v>292.09999999999854</v>
      </c>
      <c r="E896" s="3"/>
    </row>
    <row r="897" spans="1:5" x14ac:dyDescent="0.2">
      <c r="A897" s="3">
        <f>+[1]Performance!A24</f>
        <v>45650</v>
      </c>
      <c r="B897" s="13">
        <v>40759.15</v>
      </c>
      <c r="D897" s="23">
        <f t="shared" si="13"/>
        <v>20.790000000000873</v>
      </c>
      <c r="E897" s="3"/>
    </row>
    <row r="898" spans="1:5" x14ac:dyDescent="0.2">
      <c r="A898" s="3">
        <f>+[1]Performance!A25</f>
        <v>45652</v>
      </c>
      <c r="B898" s="13">
        <v>40397.03</v>
      </c>
      <c r="D898" s="23">
        <f t="shared" si="13"/>
        <v>-362.12000000000262</v>
      </c>
      <c r="E898" s="3"/>
    </row>
    <row r="899" spans="1:5" x14ac:dyDescent="0.2">
      <c r="A899" s="3">
        <f>+[1]Performance!A26</f>
        <v>45653</v>
      </c>
      <c r="B899" s="13">
        <v>40755.360000000001</v>
      </c>
      <c r="D899" s="23">
        <f t="shared" si="13"/>
        <v>358.33000000000175</v>
      </c>
      <c r="E899" s="3"/>
    </row>
    <row r="900" spans="1:5" x14ac:dyDescent="0.2">
      <c r="A900" s="3">
        <f>+[1]Performance!A27</f>
        <v>45656</v>
      </c>
      <c r="B900" s="13">
        <v>40845.360000000001</v>
      </c>
      <c r="D900" s="23">
        <f t="shared" si="13"/>
        <v>90</v>
      </c>
      <c r="E900" s="3"/>
    </row>
    <row r="901" spans="1:5" x14ac:dyDescent="0.2">
      <c r="A901" s="3">
        <f>+[1]Performance!A28</f>
        <v>45657</v>
      </c>
      <c r="B901" s="13">
        <v>41152.83</v>
      </c>
      <c r="D901" s="23">
        <f t="shared" ref="D901:D964" si="14">B901-B900</f>
        <v>307.47000000000116</v>
      </c>
      <c r="E901" s="3"/>
    </row>
    <row r="902" spans="1:5" x14ac:dyDescent="0.2">
      <c r="A902" s="3">
        <f>+[1]Performance!A29</f>
        <v>45659</v>
      </c>
      <c r="B902" s="13">
        <v>41007.769999999997</v>
      </c>
      <c r="D902" s="23">
        <f t="shared" si="14"/>
        <v>-145.06000000000495</v>
      </c>
      <c r="E902" s="3"/>
    </row>
    <row r="903" spans="1:5" x14ac:dyDescent="0.2">
      <c r="A903" s="3">
        <f>+[1]Performance!A30</f>
        <v>45660</v>
      </c>
      <c r="B903" s="13">
        <v>40850.269999999997</v>
      </c>
      <c r="D903" s="23">
        <f t="shared" si="14"/>
        <v>-157.5</v>
      </c>
      <c r="E903" s="3"/>
    </row>
    <row r="904" spans="1:5" x14ac:dyDescent="0.2">
      <c r="A904" s="3">
        <f>+[1]Performance!A31</f>
        <v>45663</v>
      </c>
      <c r="B904" s="13">
        <v>40801.94</v>
      </c>
      <c r="D904" s="23">
        <f t="shared" si="14"/>
        <v>-48.32999999999447</v>
      </c>
      <c r="E904" s="3"/>
    </row>
    <row r="905" spans="1:5" x14ac:dyDescent="0.2">
      <c r="A905" s="3">
        <f>+[1]Performance!A32</f>
        <v>45664</v>
      </c>
      <c r="B905" s="13">
        <v>40882.26</v>
      </c>
      <c r="D905" s="23">
        <f t="shared" si="14"/>
        <v>80.319999999999709</v>
      </c>
      <c r="E905" s="3"/>
    </row>
    <row r="906" spans="1:5" x14ac:dyDescent="0.2">
      <c r="A906" s="3">
        <f>+[1]Performance!A33</f>
        <v>45665</v>
      </c>
      <c r="B906" s="13">
        <v>41025.19</v>
      </c>
      <c r="D906" s="23">
        <f t="shared" si="14"/>
        <v>142.93000000000029</v>
      </c>
      <c r="E906" s="3"/>
    </row>
    <row r="907" spans="1:5" x14ac:dyDescent="0.2">
      <c r="A907" s="3">
        <f>+[1]Performance!A34</f>
        <v>45666</v>
      </c>
      <c r="B907" s="13">
        <v>41091.919999999998</v>
      </c>
      <c r="D907" s="23">
        <f t="shared" si="14"/>
        <v>66.729999999995925</v>
      </c>
      <c r="E907" s="3"/>
    </row>
    <row r="908" spans="1:5" x14ac:dyDescent="0.2">
      <c r="A908" s="3">
        <f>+[1]Performance!A35</f>
        <v>45667</v>
      </c>
      <c r="B908" s="13">
        <v>42034.22</v>
      </c>
      <c r="D908" s="23">
        <f t="shared" si="14"/>
        <v>942.30000000000291</v>
      </c>
      <c r="E908" s="3"/>
    </row>
    <row r="909" spans="1:5" x14ac:dyDescent="0.2">
      <c r="A909" s="3">
        <f>+[1]Performance!A36</f>
        <v>45670</v>
      </c>
      <c r="B909" s="13">
        <v>42140.91</v>
      </c>
      <c r="D909" s="23">
        <f t="shared" si="14"/>
        <v>106.69000000000233</v>
      </c>
      <c r="E909" s="3"/>
    </row>
    <row r="910" spans="1:5" x14ac:dyDescent="0.2">
      <c r="A910" s="3">
        <f>+[1]Performance!A37</f>
        <v>45671</v>
      </c>
      <c r="B910" s="13">
        <v>42273.27</v>
      </c>
      <c r="D910" s="23">
        <f t="shared" si="14"/>
        <v>132.35999999999331</v>
      </c>
      <c r="E910" s="3"/>
    </row>
    <row r="911" spans="1:5" x14ac:dyDescent="0.2">
      <c r="A911" s="3">
        <f>+[1]Performance!A38</f>
        <v>45672</v>
      </c>
      <c r="B911" s="13">
        <v>41783.480000000003</v>
      </c>
      <c r="D911" s="23">
        <f t="shared" si="14"/>
        <v>-489.7899999999936</v>
      </c>
      <c r="E911" s="3"/>
    </row>
    <row r="912" spans="1:5" x14ac:dyDescent="0.2">
      <c r="A912" s="3">
        <f>+[1]Performance!A39</f>
        <v>45673</v>
      </c>
      <c r="B912" s="13">
        <v>41582.449999999997</v>
      </c>
      <c r="D912" s="23">
        <f t="shared" si="14"/>
        <v>-201.03000000000611</v>
      </c>
      <c r="E912" s="3"/>
    </row>
    <row r="913" spans="1:5" x14ac:dyDescent="0.2">
      <c r="A913" s="3">
        <f>+[1]Performance!A40</f>
        <v>45674</v>
      </c>
      <c r="B913" s="13">
        <v>41122.53</v>
      </c>
      <c r="D913" s="23">
        <f t="shared" si="14"/>
        <v>-459.91999999999825</v>
      </c>
      <c r="E913" s="3"/>
    </row>
    <row r="914" spans="1:5" x14ac:dyDescent="0.2">
      <c r="A914" s="3">
        <f>+[1]Performance!A41</f>
        <v>45677</v>
      </c>
      <c r="B914" s="13">
        <v>40999.75</v>
      </c>
      <c r="D914" s="23">
        <f t="shared" si="14"/>
        <v>-122.77999999999884</v>
      </c>
      <c r="E914" s="3"/>
    </row>
    <row r="915" spans="1:5" x14ac:dyDescent="0.2">
      <c r="A915" s="3">
        <f>+[1]Performance!A42</f>
        <v>45678</v>
      </c>
      <c r="B915" s="13">
        <v>40907.78</v>
      </c>
      <c r="D915" s="23">
        <f t="shared" si="14"/>
        <v>-91.970000000001164</v>
      </c>
      <c r="E915" s="3"/>
    </row>
    <row r="916" spans="1:5" x14ac:dyDescent="0.2">
      <c r="A916" s="3">
        <f>+[1]Performance!A43</f>
        <v>45679</v>
      </c>
      <c r="B916" s="13">
        <v>40158.85</v>
      </c>
      <c r="D916" s="23">
        <f t="shared" si="14"/>
        <v>-748.93000000000029</v>
      </c>
      <c r="E916" s="3"/>
    </row>
    <row r="917" spans="1:5" x14ac:dyDescent="0.2">
      <c r="A917" s="3">
        <f>+[1]Performance!A44</f>
        <v>45680</v>
      </c>
      <c r="B917" s="13">
        <v>39900.559999999998</v>
      </c>
      <c r="D917" s="23">
        <f t="shared" si="14"/>
        <v>-258.29000000000087</v>
      </c>
      <c r="E917" s="3"/>
    </row>
    <row r="918" spans="1:5" x14ac:dyDescent="0.2">
      <c r="A918" s="3">
        <f>+[1]Performance!A45</f>
        <v>45681</v>
      </c>
      <c r="B918" s="13">
        <v>39950.26</v>
      </c>
      <c r="D918" s="23">
        <f t="shared" si="14"/>
        <v>49.700000000004366</v>
      </c>
      <c r="E918" s="3"/>
    </row>
    <row r="919" spans="1:5" x14ac:dyDescent="0.2">
      <c r="A919" s="3">
        <f>+[1]Performance!A46</f>
        <v>45684</v>
      </c>
      <c r="B919" s="13">
        <v>40434.07</v>
      </c>
      <c r="D919" s="23">
        <f t="shared" si="14"/>
        <v>483.80999999999767</v>
      </c>
      <c r="E919" s="3"/>
    </row>
    <row r="920" spans="1:5" x14ac:dyDescent="0.2">
      <c r="A920" s="3">
        <f>+[1]Performance!A47</f>
        <v>45685</v>
      </c>
      <c r="B920" s="13">
        <v>40062.46</v>
      </c>
      <c r="D920" s="23">
        <f t="shared" si="14"/>
        <v>-371.61000000000058</v>
      </c>
      <c r="E920" s="3"/>
    </row>
    <row r="921" spans="1:5" x14ac:dyDescent="0.2">
      <c r="A921" s="3">
        <f>+[1]Performance!A48</f>
        <v>45686</v>
      </c>
      <c r="B921" s="13">
        <v>40581.699999999997</v>
      </c>
      <c r="D921" s="23">
        <f t="shared" si="14"/>
        <v>519.23999999999796</v>
      </c>
      <c r="E921" s="3"/>
    </row>
    <row r="922" spans="1:5" x14ac:dyDescent="0.2">
      <c r="A922" s="3">
        <f>+[1]Performance!A49</f>
        <v>45687</v>
      </c>
      <c r="B922" s="13">
        <v>40160.54</v>
      </c>
      <c r="D922" s="23">
        <f t="shared" si="14"/>
        <v>-421.15999999999622</v>
      </c>
      <c r="E922" s="3"/>
    </row>
    <row r="923" spans="1:5" x14ac:dyDescent="0.2">
      <c r="A923" s="3">
        <f>+[1]Performance!A50</f>
        <v>45688</v>
      </c>
      <c r="B923" s="13">
        <v>40043.480000000003</v>
      </c>
      <c r="D923" s="23">
        <f t="shared" si="14"/>
        <v>-117.05999999999767</v>
      </c>
      <c r="E923" s="3"/>
    </row>
    <row r="924" spans="1:5" x14ac:dyDescent="0.2">
      <c r="A924" s="3">
        <f>+[1]Performance!A51</f>
        <v>45691</v>
      </c>
      <c r="B924" s="13">
        <v>40074.99</v>
      </c>
      <c r="D924" s="23">
        <f t="shared" si="14"/>
        <v>31.509999999994761</v>
      </c>
      <c r="E924" s="3"/>
    </row>
    <row r="925" spans="1:5" x14ac:dyDescent="0.2">
      <c r="A925" s="3">
        <f>+[1]Performance!A52</f>
        <v>45692</v>
      </c>
      <c r="B925" s="13">
        <v>40304.720000000001</v>
      </c>
      <c r="D925" s="23">
        <f t="shared" si="14"/>
        <v>229.7300000000032</v>
      </c>
      <c r="E925" s="3"/>
    </row>
    <row r="926" spans="1:5" x14ac:dyDescent="0.2">
      <c r="A926" s="3">
        <f>+[1]Performance!A53</f>
        <v>45693</v>
      </c>
      <c r="B926" s="13">
        <v>40148.81</v>
      </c>
      <c r="D926" s="23">
        <f t="shared" si="14"/>
        <v>-155.91000000000349</v>
      </c>
      <c r="E926" s="3"/>
    </row>
    <row r="927" spans="1:5" x14ac:dyDescent="0.2">
      <c r="A927" s="3">
        <f>+[1]Performance!A54</f>
        <v>45694</v>
      </c>
      <c r="B927" s="13">
        <v>39487.86</v>
      </c>
      <c r="D927" s="23">
        <f t="shared" si="14"/>
        <v>-660.94999999999709</v>
      </c>
      <c r="E927" s="3"/>
    </row>
    <row r="928" spans="1:5" x14ac:dyDescent="0.2">
      <c r="A928" s="3">
        <f>+[1]Performance!A55</f>
        <v>45695</v>
      </c>
      <c r="B928" s="13">
        <v>39553.54</v>
      </c>
      <c r="D928" s="23">
        <f t="shared" si="14"/>
        <v>65.680000000000291</v>
      </c>
      <c r="E928" s="3"/>
    </row>
    <row r="929" spans="1:5" x14ac:dyDescent="0.2">
      <c r="A929" s="3">
        <f>+[1]Performance!A56</f>
        <v>45698</v>
      </c>
      <c r="B929" s="13">
        <v>38837.480000000003</v>
      </c>
      <c r="D929" s="23">
        <f t="shared" si="14"/>
        <v>-716.05999999999767</v>
      </c>
      <c r="E929" s="3"/>
    </row>
    <row r="930" spans="1:5" x14ac:dyDescent="0.2">
      <c r="A930" s="3">
        <f>+[1]Performance!A57</f>
        <v>45699</v>
      </c>
      <c r="B930" s="13">
        <v>38614.449999999997</v>
      </c>
      <c r="D930" s="23">
        <f t="shared" si="14"/>
        <v>-223.03000000000611</v>
      </c>
      <c r="E930" s="3"/>
    </row>
    <row r="931" spans="1:5" x14ac:dyDescent="0.2">
      <c r="A931" s="3">
        <f>+[1]Performance!A58</f>
        <v>45700</v>
      </c>
      <c r="B931" s="13">
        <v>38875.730000000003</v>
      </c>
      <c r="D931" s="23">
        <f t="shared" si="14"/>
        <v>261.28000000000611</v>
      </c>
      <c r="E931" s="3"/>
    </row>
    <row r="932" spans="1:5" x14ac:dyDescent="0.2">
      <c r="A932" s="3">
        <f>+[1]Performance!A59</f>
        <v>45701</v>
      </c>
      <c r="B932" s="13">
        <v>38132.870000000003</v>
      </c>
      <c r="D932" s="23">
        <f t="shared" si="14"/>
        <v>-742.86000000000058</v>
      </c>
      <c r="E932" s="3"/>
    </row>
    <row r="933" spans="1:5" x14ac:dyDescent="0.2">
      <c r="A933" s="3">
        <f>+[1]Performance!A60</f>
        <v>45702</v>
      </c>
      <c r="B933" s="13">
        <v>38433.69</v>
      </c>
      <c r="D933" s="23">
        <f t="shared" si="14"/>
        <v>300.81999999999971</v>
      </c>
      <c r="E933" s="3"/>
    </row>
    <row r="934" spans="1:5" x14ac:dyDescent="0.2">
      <c r="A934" s="3">
        <f>+[1]Performance!A61</f>
        <v>45705</v>
      </c>
      <c r="B934" s="13">
        <v>39707.050000000003</v>
      </c>
      <c r="D934" s="23">
        <f t="shared" si="14"/>
        <v>1273.3600000000006</v>
      </c>
      <c r="E934" s="3"/>
    </row>
    <row r="935" spans="1:5" x14ac:dyDescent="0.2">
      <c r="A935" s="3">
        <f>+[1]Performance!A62</f>
        <v>45706</v>
      </c>
      <c r="B935" s="13">
        <v>39030.410000000003</v>
      </c>
      <c r="D935" s="23">
        <f t="shared" si="14"/>
        <v>-676.63999999999942</v>
      </c>
      <c r="E935" s="3"/>
    </row>
    <row r="936" spans="1:5" x14ac:dyDescent="0.2">
      <c r="A936" s="3">
        <f>+[1]Performance!A63</f>
        <v>45707</v>
      </c>
      <c r="B936" s="13">
        <v>39703.64</v>
      </c>
      <c r="D936" s="23">
        <f t="shared" si="14"/>
        <v>673.22999999999593</v>
      </c>
      <c r="E936" s="3"/>
    </row>
    <row r="937" spans="1:5" x14ac:dyDescent="0.2">
      <c r="A937" s="3">
        <f>+[1]Performance!A64</f>
        <v>45708</v>
      </c>
      <c r="B937" s="13">
        <v>39238.870000000003</v>
      </c>
      <c r="D937" s="23">
        <f t="shared" si="14"/>
        <v>-464.7699999999968</v>
      </c>
      <c r="E937" s="3"/>
    </row>
    <row r="938" spans="1:5" x14ac:dyDescent="0.2">
      <c r="A938" s="3">
        <f>+[1]Performance!A65</f>
        <v>45709</v>
      </c>
      <c r="B938" s="13">
        <v>39107.230000000003</v>
      </c>
      <c r="D938" s="23">
        <f t="shared" si="14"/>
        <v>-131.63999999999942</v>
      </c>
      <c r="E938" s="3"/>
    </row>
    <row r="939" spans="1:5" x14ac:dyDescent="0.2">
      <c r="A939" s="3">
        <f>+[1]Performance!A66</f>
        <v>45712</v>
      </c>
      <c r="B939" s="13">
        <v>39610.92</v>
      </c>
      <c r="D939" s="23">
        <f t="shared" si="14"/>
        <v>503.68999999999505</v>
      </c>
      <c r="E939" s="3"/>
    </row>
    <row r="940" spans="1:5" x14ac:dyDescent="0.2">
      <c r="A940" s="3">
        <f>+[1]Performance!A67</f>
        <v>45713</v>
      </c>
      <c r="B940" s="13">
        <v>39857.39</v>
      </c>
      <c r="D940" s="23">
        <f t="shared" si="14"/>
        <v>246.47000000000116</v>
      </c>
      <c r="E940" s="3"/>
    </row>
    <row r="941" spans="1:5" x14ac:dyDescent="0.2">
      <c r="A941" s="3">
        <f>+[1]Performance!A68</f>
        <v>45714</v>
      </c>
      <c r="B941" s="13">
        <v>40060.78</v>
      </c>
      <c r="D941" s="23">
        <f t="shared" si="14"/>
        <v>203.38999999999942</v>
      </c>
      <c r="E941" s="3"/>
    </row>
    <row r="942" spans="1:5" x14ac:dyDescent="0.2">
      <c r="A942" s="3">
        <f>+[1]Performance!A69</f>
        <v>45715</v>
      </c>
      <c r="B942" s="13">
        <v>40082.949999999997</v>
      </c>
      <c r="D942" s="23">
        <f t="shared" si="14"/>
        <v>22.169999999998254</v>
      </c>
      <c r="E942" s="3"/>
    </row>
    <row r="943" spans="1:5" x14ac:dyDescent="0.2">
      <c r="A943" s="3">
        <f>+[1]Performance!A70</f>
        <v>45716</v>
      </c>
      <c r="B943" s="13">
        <v>40293.1</v>
      </c>
      <c r="D943" s="23">
        <f t="shared" si="14"/>
        <v>210.15000000000146</v>
      </c>
      <c r="E943" s="3"/>
    </row>
    <row r="944" spans="1:5" x14ac:dyDescent="0.2">
      <c r="A944" s="3">
        <f>+[1]Performance!A71</f>
        <v>45719</v>
      </c>
      <c r="B944" s="13">
        <v>40910.28</v>
      </c>
      <c r="D944" s="23">
        <f t="shared" si="14"/>
        <v>617.18000000000029</v>
      </c>
      <c r="E944" s="3"/>
    </row>
    <row r="945" spans="1:5" x14ac:dyDescent="0.2">
      <c r="A945" s="3">
        <f>+[1]Performance!A72</f>
        <v>45720</v>
      </c>
      <c r="B945" s="13">
        <v>40738.5</v>
      </c>
      <c r="D945" s="23">
        <f t="shared" si="14"/>
        <v>-171.77999999999884</v>
      </c>
      <c r="E945" s="3"/>
    </row>
    <row r="946" spans="1:5" x14ac:dyDescent="0.2">
      <c r="A946" s="3">
        <f>+[1]Performance!A73</f>
        <v>45721</v>
      </c>
      <c r="B946" s="13">
        <v>40903.21</v>
      </c>
      <c r="D946" s="23">
        <f t="shared" si="14"/>
        <v>164.70999999999913</v>
      </c>
      <c r="E946" s="3"/>
    </row>
    <row r="947" spans="1:5" x14ac:dyDescent="0.2">
      <c r="A947" s="3">
        <f>+[1]Performance!A74</f>
        <v>45722</v>
      </c>
      <c r="B947" s="13">
        <v>41165.089999999997</v>
      </c>
      <c r="D947" s="23">
        <f t="shared" si="14"/>
        <v>261.87999999999738</v>
      </c>
      <c r="E947" s="3"/>
    </row>
    <row r="948" spans="1:5" x14ac:dyDescent="0.2">
      <c r="A948" s="3">
        <f>+[1]Performance!A75</f>
        <v>45723</v>
      </c>
      <c r="B948" s="13">
        <v>40843.910000000003</v>
      </c>
      <c r="D948" s="23">
        <f t="shared" si="14"/>
        <v>-321.17999999999302</v>
      </c>
      <c r="E948" s="3"/>
    </row>
    <row r="949" spans="1:5" x14ac:dyDescent="0.2">
      <c r="A949" s="3">
        <f>+[1]Performance!A76</f>
        <v>45726</v>
      </c>
      <c r="B949" s="13">
        <v>40570.559999999998</v>
      </c>
      <c r="D949" s="23">
        <f t="shared" si="14"/>
        <v>-273.35000000000582</v>
      </c>
      <c r="E949" s="3"/>
    </row>
    <row r="950" spans="1:5" x14ac:dyDescent="0.2">
      <c r="A950" s="3">
        <f>+[1]Performance!A77</f>
        <v>45727</v>
      </c>
      <c r="B950" s="13">
        <v>40603.89</v>
      </c>
      <c r="D950" s="23">
        <f t="shared" si="14"/>
        <v>33.330000000001746</v>
      </c>
      <c r="E950" s="3"/>
    </row>
    <row r="951" spans="1:5" x14ac:dyDescent="0.2">
      <c r="A951" s="3">
        <f>+[1]Performance!A78</f>
        <v>45728</v>
      </c>
      <c r="B951" s="13">
        <v>40366.75</v>
      </c>
      <c r="D951" s="23">
        <f t="shared" si="14"/>
        <v>-237.13999999999942</v>
      </c>
      <c r="E951" s="3"/>
    </row>
    <row r="952" spans="1:5" x14ac:dyDescent="0.2">
      <c r="A952" s="3">
        <f>+[1]Performance!A79</f>
        <v>45729</v>
      </c>
      <c r="B952" s="13">
        <v>40615.81</v>
      </c>
      <c r="D952" s="23">
        <f t="shared" si="14"/>
        <v>249.05999999999767</v>
      </c>
      <c r="E952" s="3"/>
    </row>
    <row r="953" spans="1:5" x14ac:dyDescent="0.2">
      <c r="A953" s="3">
        <f>+[1]Performance!A80</f>
        <v>45730</v>
      </c>
      <c r="B953" s="13">
        <v>40577.96</v>
      </c>
      <c r="D953" s="23">
        <f t="shared" si="14"/>
        <v>-37.849999999998545</v>
      </c>
      <c r="E953" s="3"/>
    </row>
    <row r="954" spans="1:5" x14ac:dyDescent="0.2">
      <c r="A954" s="3">
        <f>+[1]Performance!A81</f>
        <v>45733</v>
      </c>
      <c r="B954" s="13">
        <v>40874.410000000003</v>
      </c>
      <c r="D954" s="23">
        <f t="shared" si="14"/>
        <v>296.45000000000437</v>
      </c>
      <c r="E954" s="3"/>
    </row>
    <row r="955" spans="1:5" x14ac:dyDescent="0.2">
      <c r="A955" s="3">
        <f>+[1]Performance!A82</f>
        <v>45734</v>
      </c>
      <c r="B955" s="13">
        <v>41376.949999999997</v>
      </c>
      <c r="D955" s="23">
        <f t="shared" si="14"/>
        <v>502.5399999999936</v>
      </c>
      <c r="E955" s="3"/>
    </row>
    <row r="956" spans="1:5" x14ac:dyDescent="0.2">
      <c r="A956" s="3">
        <f>+[1]Performance!A83</f>
        <v>45735</v>
      </c>
      <c r="B956" s="13">
        <v>41295.32</v>
      </c>
      <c r="D956" s="23">
        <f t="shared" si="14"/>
        <v>-81.629999999997381</v>
      </c>
      <c r="E956" s="3"/>
    </row>
    <row r="957" spans="1:5" x14ac:dyDescent="0.2">
      <c r="A957" s="3">
        <f>+[1]Performance!A84</f>
        <v>45736</v>
      </c>
      <c r="B957" s="13">
        <v>40993.03</v>
      </c>
      <c r="D957" s="23">
        <f t="shared" si="14"/>
        <v>-302.29000000000087</v>
      </c>
      <c r="E957" s="3"/>
    </row>
    <row r="958" spans="1:5" x14ac:dyDescent="0.2">
      <c r="A958" s="3">
        <f>+[1]Performance!A85</f>
        <v>45737</v>
      </c>
      <c r="B958" s="13">
        <v>40949.43</v>
      </c>
      <c r="D958" s="23">
        <f t="shared" si="14"/>
        <v>-43.599999999998545</v>
      </c>
      <c r="E958" s="3"/>
    </row>
    <row r="959" spans="1:5" x14ac:dyDescent="0.2">
      <c r="A959" s="3">
        <f>+[1]Performance!A86</f>
        <v>45740</v>
      </c>
      <c r="B959" s="13">
        <v>41003.64</v>
      </c>
      <c r="D959" s="23">
        <f t="shared" si="14"/>
        <v>54.209999999999127</v>
      </c>
      <c r="E959" s="3"/>
    </row>
    <row r="960" spans="1:5" x14ac:dyDescent="0.2">
      <c r="A960" s="3">
        <f>+[1]Performance!A87</f>
        <v>45741</v>
      </c>
      <c r="B960" s="13">
        <v>40990.31</v>
      </c>
      <c r="D960" s="23">
        <f t="shared" si="14"/>
        <v>-13.330000000001746</v>
      </c>
      <c r="E960" s="3"/>
    </row>
    <row r="961" spans="1:5" x14ac:dyDescent="0.2">
      <c r="A961" s="3">
        <f>+[1]Performance!A88</f>
        <v>45742</v>
      </c>
      <c r="B961" s="13">
        <v>41135.64</v>
      </c>
      <c r="D961" s="23">
        <f t="shared" si="14"/>
        <v>145.33000000000175</v>
      </c>
      <c r="E961" s="3"/>
    </row>
    <row r="962" spans="1:5" x14ac:dyDescent="0.2">
      <c r="A962" s="3">
        <f>+[1]Performance!A89</f>
        <v>45743</v>
      </c>
      <c r="B962" s="13">
        <v>41207.54</v>
      </c>
      <c r="D962" s="23">
        <f t="shared" si="14"/>
        <v>71.900000000001455</v>
      </c>
      <c r="E962" s="3"/>
    </row>
    <row r="963" spans="1:5" x14ac:dyDescent="0.2">
      <c r="A963" s="3">
        <f>+[1]Performance!A90</f>
        <v>45744</v>
      </c>
      <c r="B963" s="13">
        <v>41169.32</v>
      </c>
      <c r="D963" s="23">
        <f t="shared" si="14"/>
        <v>-38.220000000001164</v>
      </c>
      <c r="E963" s="3"/>
    </row>
    <row r="964" spans="1:5" x14ac:dyDescent="0.2">
      <c r="A964" s="3">
        <f>+[1]Performance!A91</f>
        <v>45747</v>
      </c>
      <c r="B964" s="13">
        <v>41309.49</v>
      </c>
      <c r="D964" s="23">
        <f t="shared" si="14"/>
        <v>140.16999999999825</v>
      </c>
      <c r="E964" s="3"/>
    </row>
    <row r="965" spans="1:5" x14ac:dyDescent="0.2">
      <c r="A965" s="3">
        <f>+[1]Performance!A92</f>
        <v>45748</v>
      </c>
      <c r="B965" s="13">
        <v>41277.839999999997</v>
      </c>
      <c r="D965" s="23">
        <f t="shared" ref="D965:D1028" si="15">B965-B964</f>
        <v>-31.650000000001455</v>
      </c>
      <c r="E965" s="3"/>
    </row>
    <row r="966" spans="1:5" x14ac:dyDescent="0.2">
      <c r="A966" s="3">
        <f>+[1]Performance!A93</f>
        <v>45749</v>
      </c>
      <c r="B966" s="13">
        <v>41144.36</v>
      </c>
      <c r="D966" s="23">
        <f t="shared" si="15"/>
        <v>-133.47999999999593</v>
      </c>
      <c r="E966" s="3"/>
    </row>
    <row r="967" spans="1:5" x14ac:dyDescent="0.2">
      <c r="A967" s="3">
        <f>+[1]Performance!A94</f>
        <v>45750</v>
      </c>
      <c r="B967" s="13">
        <v>41343.54</v>
      </c>
      <c r="D967" s="23">
        <f t="shared" si="15"/>
        <v>199.18000000000029</v>
      </c>
      <c r="E967" s="3"/>
    </row>
    <row r="968" spans="1:5" x14ac:dyDescent="0.2">
      <c r="A968" s="3">
        <f>+[1]Performance!A95</f>
        <v>45751</v>
      </c>
      <c r="B968" s="13">
        <v>40375.379999999997</v>
      </c>
      <c r="D968" s="23">
        <f t="shared" si="15"/>
        <v>-968.16000000000349</v>
      </c>
      <c r="E968" s="3"/>
    </row>
    <row r="969" spans="1:5" x14ac:dyDescent="0.2">
      <c r="A969" s="3">
        <f>+[1]Performance!A96</f>
        <v>45754</v>
      </c>
      <c r="B969" s="13">
        <v>40809.519999999997</v>
      </c>
      <c r="D969" s="23">
        <f t="shared" si="15"/>
        <v>434.13999999999942</v>
      </c>
      <c r="E969" s="3"/>
    </row>
    <row r="970" spans="1:5" x14ac:dyDescent="0.2">
      <c r="A970" s="3">
        <f>+[1]Performance!A97</f>
        <v>45755</v>
      </c>
      <c r="B970" s="13">
        <v>40384.639999999999</v>
      </c>
      <c r="D970" s="23">
        <f t="shared" si="15"/>
        <v>-424.87999999999738</v>
      </c>
      <c r="E970" s="3"/>
    </row>
    <row r="971" spans="1:5" x14ac:dyDescent="0.2">
      <c r="A971" s="3">
        <f>+[1]Performance!A98</f>
        <v>45756</v>
      </c>
      <c r="B971" s="13">
        <v>40412.050000000003</v>
      </c>
      <c r="D971" s="23">
        <f t="shared" si="15"/>
        <v>27.410000000003492</v>
      </c>
      <c r="E971" s="3"/>
    </row>
    <row r="972" spans="1:5" x14ac:dyDescent="0.2">
      <c r="A972" s="3">
        <f>+[1]Performance!A99</f>
        <v>45757</v>
      </c>
      <c r="B972" s="13">
        <v>40197.11</v>
      </c>
      <c r="D972" s="23">
        <f t="shared" si="15"/>
        <v>-214.94000000000233</v>
      </c>
      <c r="E972" s="3"/>
    </row>
    <row r="973" spans="1:5" x14ac:dyDescent="0.2">
      <c r="A973" s="3">
        <f>+[1]Performance!A100</f>
        <v>45758</v>
      </c>
      <c r="B973" s="13">
        <v>40465.379999999997</v>
      </c>
      <c r="D973" s="23">
        <f t="shared" si="15"/>
        <v>268.2699999999968</v>
      </c>
      <c r="E973" s="3"/>
    </row>
    <row r="974" spans="1:5" x14ac:dyDescent="0.2">
      <c r="A974" s="3">
        <f>+[1]Performance!A101</f>
        <v>45761</v>
      </c>
      <c r="B974" s="13">
        <v>40447.56</v>
      </c>
      <c r="D974" s="23">
        <f t="shared" si="15"/>
        <v>-17.819999999999709</v>
      </c>
      <c r="E974" s="3"/>
    </row>
    <row r="975" spans="1:5" x14ac:dyDescent="0.2">
      <c r="A975" s="3">
        <f>+[1]Performance!A102</f>
        <v>45762</v>
      </c>
      <c r="B975" s="13">
        <v>40405.35</v>
      </c>
      <c r="D975" s="23">
        <f t="shared" si="15"/>
        <v>-42.209999999999127</v>
      </c>
      <c r="E975" s="3"/>
    </row>
    <row r="976" spans="1:5" x14ac:dyDescent="0.2">
      <c r="A976" s="3">
        <f>+[1]Performance!A103</f>
        <v>45763</v>
      </c>
      <c r="B976" s="13">
        <v>40563.269999999997</v>
      </c>
      <c r="D976" s="23">
        <f t="shared" si="15"/>
        <v>157.91999999999825</v>
      </c>
      <c r="E976" s="3"/>
    </row>
    <row r="977" spans="1:5" x14ac:dyDescent="0.2">
      <c r="A977" s="3">
        <f>+[1]Performance!A104</f>
        <v>45764</v>
      </c>
      <c r="B977" s="13">
        <v>40573.71</v>
      </c>
      <c r="D977" s="23">
        <f t="shared" si="15"/>
        <v>10.440000000002328</v>
      </c>
      <c r="E977" s="3"/>
    </row>
    <row r="978" spans="1:5" x14ac:dyDescent="0.2">
      <c r="A978" s="3">
        <f>+[1]Performance!A105</f>
        <v>45768</v>
      </c>
      <c r="B978" s="13">
        <v>40901.800000000003</v>
      </c>
      <c r="D978" s="23">
        <f t="shared" si="15"/>
        <v>328.09000000000378</v>
      </c>
      <c r="E978" s="3"/>
    </row>
    <row r="979" spans="1:5" x14ac:dyDescent="0.2">
      <c r="A979" s="3">
        <f>+[1]Performance!A106</f>
        <v>45769</v>
      </c>
      <c r="B979" s="13">
        <v>40627.35</v>
      </c>
      <c r="D979" s="23">
        <f t="shared" si="15"/>
        <v>-274.45000000000437</v>
      </c>
      <c r="E979" s="3"/>
    </row>
    <row r="980" spans="1:5" x14ac:dyDescent="0.2">
      <c r="A980" s="3">
        <f>+[1]Performance!A107</f>
        <v>45770</v>
      </c>
      <c r="B980" s="13">
        <v>40592.18</v>
      </c>
      <c r="D980" s="23">
        <f t="shared" si="15"/>
        <v>-35.169999999998254</v>
      </c>
      <c r="E980" s="3"/>
    </row>
    <row r="981" spans="1:5" x14ac:dyDescent="0.2">
      <c r="A981" s="3">
        <f>+[1]Performance!A108</f>
        <v>45771</v>
      </c>
      <c r="B981" s="13">
        <v>40403.699999999997</v>
      </c>
      <c r="D981" s="23">
        <f t="shared" si="15"/>
        <v>-188.4800000000032</v>
      </c>
      <c r="E981" s="3"/>
    </row>
    <row r="982" spans="1:5" x14ac:dyDescent="0.2">
      <c r="A982" s="3">
        <f>+[1]Performance!A109</f>
        <v>45772</v>
      </c>
      <c r="B982" s="13">
        <v>40438.519999999997</v>
      </c>
      <c r="D982" s="23">
        <f t="shared" si="15"/>
        <v>34.819999999999709</v>
      </c>
      <c r="E982" s="3"/>
    </row>
    <row r="983" spans="1:5" x14ac:dyDescent="0.2">
      <c r="A983" s="3">
        <v>45775</v>
      </c>
      <c r="B983" s="14">
        <v>40438.519999999997</v>
      </c>
      <c r="D983" s="23">
        <f t="shared" si="15"/>
        <v>0</v>
      </c>
      <c r="E983" s="3"/>
    </row>
    <row r="984" spans="1:5" x14ac:dyDescent="0.2">
      <c r="A984" s="3">
        <v>45776</v>
      </c>
      <c r="B984" s="14">
        <v>40352.946671553509</v>
      </c>
      <c r="D984" s="23">
        <f t="shared" si="15"/>
        <v>-85.573328446487722</v>
      </c>
      <c r="E984" s="3"/>
    </row>
    <row r="985" spans="1:5" x14ac:dyDescent="0.2">
      <c r="A985" s="3">
        <v>45777</v>
      </c>
      <c r="B985" s="14">
        <v>39737.494175810731</v>
      </c>
      <c r="D985" s="23">
        <f t="shared" si="15"/>
        <v>-615.45249574277841</v>
      </c>
      <c r="E985" s="3"/>
    </row>
    <row r="986" spans="1:5" x14ac:dyDescent="0.2">
      <c r="A986" s="3">
        <v>45778</v>
      </c>
      <c r="B986" s="14">
        <v>39677.749648598605</v>
      </c>
      <c r="D986" s="23">
        <f t="shared" si="15"/>
        <v>-59.744527212125831</v>
      </c>
      <c r="E986" s="3"/>
    </row>
    <row r="987" spans="1:5" x14ac:dyDescent="0.2">
      <c r="A987" s="3">
        <v>45779</v>
      </c>
      <c r="B987" s="14">
        <v>40110.112993399074</v>
      </c>
      <c r="D987" s="23">
        <f t="shared" si="15"/>
        <v>432.36334480046935</v>
      </c>
      <c r="E987" s="3"/>
    </row>
    <row r="988" spans="1:5" x14ac:dyDescent="0.2">
      <c r="A988" s="3">
        <v>45782</v>
      </c>
      <c r="B988" s="14">
        <v>40279.996643507126</v>
      </c>
      <c r="D988" s="23">
        <f t="shared" si="15"/>
        <v>169.88365010805137</v>
      </c>
      <c r="E988" s="3"/>
    </row>
    <row r="989" spans="1:5" x14ac:dyDescent="0.2">
      <c r="A989" s="3">
        <v>45783</v>
      </c>
      <c r="B989" s="14">
        <v>40189.056031283137</v>
      </c>
      <c r="D989" s="23">
        <f t="shared" si="15"/>
        <v>-90.940612223988865</v>
      </c>
      <c r="E989" s="3"/>
    </row>
    <row r="990" spans="1:5" x14ac:dyDescent="0.2">
      <c r="A990" s="3">
        <v>45784</v>
      </c>
      <c r="B990" s="14">
        <v>40043.112880468543</v>
      </c>
      <c r="D990" s="23">
        <f t="shared" si="15"/>
        <v>-145.94315081459354</v>
      </c>
      <c r="E990" s="3"/>
    </row>
    <row r="991" spans="1:5" x14ac:dyDescent="0.2">
      <c r="A991" s="3">
        <v>45785</v>
      </c>
      <c r="B991" s="14">
        <v>40148.763987512022</v>
      </c>
      <c r="D991" s="23">
        <f t="shared" si="15"/>
        <v>105.65110704347899</v>
      </c>
      <c r="E991" s="3"/>
    </row>
    <row r="992" spans="1:5" x14ac:dyDescent="0.2">
      <c r="A992" s="3">
        <v>45786</v>
      </c>
      <c r="B992" s="14">
        <v>40610.957278204194</v>
      </c>
      <c r="D992" s="23">
        <f t="shared" si="15"/>
        <v>462.19329069217201</v>
      </c>
      <c r="E992" s="3"/>
    </row>
    <row r="993" spans="1:5" x14ac:dyDescent="0.2">
      <c r="A993" s="3">
        <v>45789</v>
      </c>
      <c r="B993" s="14">
        <v>40334.366152764262</v>
      </c>
      <c r="D993" s="23">
        <f t="shared" si="15"/>
        <v>-276.59112543993251</v>
      </c>
      <c r="E993" s="3"/>
    </row>
    <row r="994" spans="1:5" x14ac:dyDescent="0.2">
      <c r="A994" s="3">
        <v>45790</v>
      </c>
      <c r="B994" s="14">
        <v>40614.219819285005</v>
      </c>
      <c r="D994" s="23">
        <f t="shared" si="15"/>
        <v>279.85366652074299</v>
      </c>
      <c r="E994" s="3"/>
    </row>
    <row r="995" spans="1:5" x14ac:dyDescent="0.2">
      <c r="A995" s="3">
        <v>45791</v>
      </c>
      <c r="B995" s="14">
        <v>40869.754610655698</v>
      </c>
      <c r="D995" s="23">
        <f t="shared" si="15"/>
        <v>255.53479137069371</v>
      </c>
      <c r="E995" s="3"/>
    </row>
    <row r="996" spans="1:5" x14ac:dyDescent="0.2">
      <c r="A996" s="3">
        <v>45792</v>
      </c>
      <c r="B996" s="14">
        <v>40805.450042140277</v>
      </c>
      <c r="D996" s="23">
        <f t="shared" si="15"/>
        <v>-64.304568515421124</v>
      </c>
      <c r="E996" s="3"/>
    </row>
    <row r="997" spans="1:5" x14ac:dyDescent="0.2">
      <c r="A997" s="3">
        <v>45793</v>
      </c>
      <c r="B997" s="14">
        <v>40845.117577501602</v>
      </c>
      <c r="D997" s="23">
        <f t="shared" si="15"/>
        <v>39.667535361324553</v>
      </c>
      <c r="E997" s="3"/>
    </row>
    <row r="998" spans="1:5" x14ac:dyDescent="0.2">
      <c r="A998" s="3">
        <v>45796</v>
      </c>
      <c r="B998" s="14">
        <v>41126.088443487068</v>
      </c>
      <c r="D998" s="23">
        <f t="shared" si="15"/>
        <v>280.97086598546593</v>
      </c>
      <c r="E998" s="3"/>
    </row>
    <row r="999" spans="1:5" x14ac:dyDescent="0.2">
      <c r="A999" s="3">
        <v>45797</v>
      </c>
      <c r="B999" s="14">
        <v>40818.293380068564</v>
      </c>
      <c r="D999" s="23">
        <f t="shared" si="15"/>
        <v>-307.79506341850356</v>
      </c>
      <c r="E999" s="3"/>
    </row>
    <row r="1000" spans="1:5" x14ac:dyDescent="0.2">
      <c r="A1000" s="3">
        <v>45798</v>
      </c>
      <c r="B1000" s="14">
        <v>40900.926221202419</v>
      </c>
      <c r="D1000" s="23">
        <f t="shared" si="15"/>
        <v>82.632841133854527</v>
      </c>
      <c r="E1000" s="3"/>
    </row>
    <row r="1001" spans="1:5" x14ac:dyDescent="0.2">
      <c r="A1001" s="3">
        <v>45799</v>
      </c>
      <c r="B1001" s="14">
        <v>41239.162689114193</v>
      </c>
      <c r="D1001" s="23">
        <f t="shared" si="15"/>
        <v>338.23646791177453</v>
      </c>
      <c r="E1001" s="3"/>
    </row>
    <row r="1002" spans="1:5" x14ac:dyDescent="0.2">
      <c r="A1002" s="3">
        <v>45800</v>
      </c>
      <c r="B1002" s="14">
        <v>41320.414538083613</v>
      </c>
      <c r="D1002" s="23">
        <f t="shared" si="15"/>
        <v>81.25184896941937</v>
      </c>
      <c r="E1002" s="3"/>
    </row>
    <row r="1003" spans="1:5" x14ac:dyDescent="0.2">
      <c r="A1003" s="3">
        <v>45804</v>
      </c>
      <c r="B1003" s="14">
        <v>41796.535349697369</v>
      </c>
      <c r="D1003" s="23">
        <f t="shared" si="15"/>
        <v>476.12081161375681</v>
      </c>
      <c r="E1003" s="3"/>
    </row>
    <row r="1004" spans="1:5" x14ac:dyDescent="0.2">
      <c r="A1004" s="3">
        <v>45805</v>
      </c>
      <c r="B1004" s="14">
        <v>41990.652258208516</v>
      </c>
      <c r="D1004" s="23">
        <f t="shared" si="15"/>
        <v>194.1169085111469</v>
      </c>
      <c r="E1004" s="3"/>
    </row>
    <row r="1005" spans="1:5" x14ac:dyDescent="0.2">
      <c r="A1005" s="3">
        <v>45806</v>
      </c>
      <c r="B1005" s="14">
        <v>41786.071674667633</v>
      </c>
      <c r="D1005" s="23">
        <f t="shared" si="15"/>
        <v>-204.5805835408828</v>
      </c>
      <c r="E1005" s="3"/>
    </row>
    <row r="1006" spans="1:5" x14ac:dyDescent="0.2">
      <c r="A1006" s="3">
        <v>45807</v>
      </c>
      <c r="B1006" s="14">
        <v>41795.765514123457</v>
      </c>
      <c r="D1006" s="23">
        <f t="shared" si="15"/>
        <v>9.6938394558237633</v>
      </c>
      <c r="E1006" s="3"/>
    </row>
    <row r="1007" spans="1:5" x14ac:dyDescent="0.2">
      <c r="A1007" s="3">
        <v>45810</v>
      </c>
      <c r="B1007" s="14">
        <v>42293.720279703222</v>
      </c>
      <c r="D1007" s="23">
        <f t="shared" si="15"/>
        <v>497.95476557976508</v>
      </c>
      <c r="E1007" s="3"/>
    </row>
    <row r="1008" spans="1:5" x14ac:dyDescent="0.2">
      <c r="A1008" s="3">
        <v>45811</v>
      </c>
      <c r="B1008" s="14">
        <v>42368.710326414657</v>
      </c>
      <c r="D1008" s="23">
        <f t="shared" si="15"/>
        <v>74.990046711434843</v>
      </c>
      <c r="E1008" s="3"/>
    </row>
    <row r="1009" spans="1:5" x14ac:dyDescent="0.2">
      <c r="A1009" s="3">
        <v>45812</v>
      </c>
      <c r="B1009" s="14">
        <v>41971.865405752542</v>
      </c>
      <c r="D1009" s="23">
        <f t="shared" si="15"/>
        <v>-396.84492066211533</v>
      </c>
      <c r="E1009" s="3"/>
    </row>
    <row r="1010" spans="1:5" x14ac:dyDescent="0.2">
      <c r="A1010" s="3">
        <v>45813</v>
      </c>
      <c r="B1010" s="14">
        <v>42446.131449626526</v>
      </c>
      <c r="D1010" s="23">
        <f t="shared" si="15"/>
        <v>474.26604387398402</v>
      </c>
      <c r="E1010" s="3"/>
    </row>
    <row r="1011" spans="1:5" x14ac:dyDescent="0.2">
      <c r="A1011" s="3">
        <v>45814</v>
      </c>
      <c r="B1011" s="14">
        <v>42580.668212908509</v>
      </c>
      <c r="D1011" s="23">
        <f t="shared" si="15"/>
        <v>134.53676328198344</v>
      </c>
      <c r="E1011" s="3"/>
    </row>
    <row r="1012" spans="1:5" x14ac:dyDescent="0.2">
      <c r="A1012" s="3">
        <v>45817</v>
      </c>
      <c r="B1012" s="14">
        <v>42418.13845428174</v>
      </c>
      <c r="D1012" s="23">
        <f t="shared" si="15"/>
        <v>-162.52975862676976</v>
      </c>
      <c r="E1012" s="3"/>
    </row>
    <row r="1013" spans="1:5" x14ac:dyDescent="0.2">
      <c r="A1013" s="3">
        <v>45818</v>
      </c>
      <c r="B1013" s="14">
        <v>41642.744757117638</v>
      </c>
      <c r="D1013" s="23">
        <f t="shared" si="15"/>
        <v>-775.39369716410147</v>
      </c>
      <c r="E1013" s="3"/>
    </row>
    <row r="1014" spans="1:5" x14ac:dyDescent="0.2">
      <c r="A1014" s="3">
        <v>45819</v>
      </c>
      <c r="B1014" s="14">
        <v>41828.927350142621</v>
      </c>
      <c r="D1014" s="23">
        <f t="shared" si="15"/>
        <v>186.18259302498336</v>
      </c>
      <c r="E1014" s="3"/>
    </row>
    <row r="1015" spans="1:5" x14ac:dyDescent="0.2">
      <c r="A1015" s="3">
        <v>45820</v>
      </c>
      <c r="B1015" s="14">
        <v>41938.667168657281</v>
      </c>
      <c r="D1015" s="23">
        <f t="shared" si="15"/>
        <v>109.73981851465942</v>
      </c>
      <c r="E1015" s="3"/>
    </row>
    <row r="1016" spans="1:5" x14ac:dyDescent="0.2">
      <c r="A1016" s="3">
        <v>45821</v>
      </c>
      <c r="B1016" s="14">
        <v>41996.561085137961</v>
      </c>
      <c r="D1016" s="23">
        <f t="shared" si="15"/>
        <v>57.893916480679763</v>
      </c>
      <c r="E1016" s="3"/>
    </row>
    <row r="1017" spans="1:5" x14ac:dyDescent="0.2">
      <c r="A1017" s="3">
        <v>45824</v>
      </c>
      <c r="B1017" s="14">
        <v>42438.760751064183</v>
      </c>
      <c r="D1017" s="23">
        <f t="shared" si="15"/>
        <v>442.19966592622222</v>
      </c>
      <c r="E1017" s="3"/>
    </row>
    <row r="1018" spans="1:5" x14ac:dyDescent="0.2">
      <c r="A1018" s="3">
        <v>45825</v>
      </c>
      <c r="B1018" s="14">
        <v>42236.263256696693</v>
      </c>
      <c r="D1018" s="23">
        <f t="shared" si="15"/>
        <v>-202.49749436748971</v>
      </c>
      <c r="E1018" s="3"/>
    </row>
    <row r="1019" spans="1:5" x14ac:dyDescent="0.2">
      <c r="A1019" s="3">
        <v>45826</v>
      </c>
      <c r="B1019" s="14">
        <v>42512.936441248647</v>
      </c>
      <c r="D1019" s="23">
        <f t="shared" si="15"/>
        <v>276.67318455195345</v>
      </c>
      <c r="E1019" s="3"/>
    </row>
    <row r="1020" spans="1:5" x14ac:dyDescent="0.2">
      <c r="A1020" s="3">
        <v>45827</v>
      </c>
      <c r="B1020" s="14">
        <v>42302.098057882424</v>
      </c>
      <c r="D1020" s="23">
        <f t="shared" si="15"/>
        <v>-210.83838336622284</v>
      </c>
      <c r="E1020" s="3"/>
    </row>
    <row r="1021" spans="1:5" x14ac:dyDescent="0.2">
      <c r="A1021" s="3">
        <v>45828</v>
      </c>
      <c r="B1021" s="14">
        <v>42596.265483342868</v>
      </c>
      <c r="D1021" s="23">
        <f t="shared" si="15"/>
        <v>294.16742546044406</v>
      </c>
      <c r="E1021" s="3"/>
    </row>
    <row r="1022" spans="1:5" x14ac:dyDescent="0.2">
      <c r="A1022" s="3">
        <v>45831</v>
      </c>
      <c r="B1022" s="14">
        <v>42149.762447494402</v>
      </c>
      <c r="D1022" s="23">
        <f t="shared" si="15"/>
        <v>-446.50303584846552</v>
      </c>
      <c r="E1022" s="3"/>
    </row>
    <row r="1023" spans="1:5" x14ac:dyDescent="0.2">
      <c r="A1023" s="3">
        <v>45832</v>
      </c>
      <c r="B1023" s="14">
        <v>42645.529018390662</v>
      </c>
      <c r="D1023" s="23">
        <f t="shared" si="15"/>
        <v>495.76657089625951</v>
      </c>
      <c r="E1023" s="3"/>
    </row>
    <row r="1024" spans="1:5" x14ac:dyDescent="0.2">
      <c r="A1024" s="3">
        <v>45833</v>
      </c>
      <c r="B1024" s="14">
        <v>43043.342943176038</v>
      </c>
      <c r="D1024" s="23">
        <f t="shared" si="15"/>
        <v>397.813924785376</v>
      </c>
      <c r="E1024" s="3"/>
    </row>
    <row r="1025" spans="1:5" x14ac:dyDescent="0.2">
      <c r="A1025" s="3">
        <v>45834</v>
      </c>
      <c r="B1025" s="14">
        <v>43599.906794541384</v>
      </c>
      <c r="D1025" s="23">
        <f t="shared" si="15"/>
        <v>556.56385136534664</v>
      </c>
      <c r="E1025" s="3"/>
    </row>
    <row r="1026" spans="1:5" x14ac:dyDescent="0.2">
      <c r="A1026" s="3">
        <v>45835</v>
      </c>
      <c r="B1026" s="14">
        <v>43674.684937519982</v>
      </c>
      <c r="D1026" s="23">
        <f t="shared" si="15"/>
        <v>74.778142978597316</v>
      </c>
      <c r="E1026" s="3"/>
    </row>
    <row r="1027" spans="1:5" x14ac:dyDescent="0.2">
      <c r="A1027" s="3">
        <v>45838</v>
      </c>
      <c r="B1027" s="14">
        <v>44263.356564254129</v>
      </c>
      <c r="D1027" s="23">
        <f t="shared" si="15"/>
        <v>588.67162673414714</v>
      </c>
      <c r="E1027" s="3"/>
    </row>
    <row r="1028" spans="1:5" x14ac:dyDescent="0.2">
      <c r="A1028" s="3">
        <v>45839</v>
      </c>
      <c r="B1028" s="14">
        <v>43101.405734783788</v>
      </c>
      <c r="D1028" s="23">
        <f t="shared" si="15"/>
        <v>-1161.950829470341</v>
      </c>
      <c r="E1028" s="3"/>
    </row>
    <row r="1029" spans="1:5" x14ac:dyDescent="0.2">
      <c r="A1029" s="3">
        <v>45840</v>
      </c>
      <c r="B1029" s="14">
        <v>43374.939629606357</v>
      </c>
      <c r="D1029" s="23">
        <f t="shared" ref="D1029:D1092" si="16">B1029-B1028</f>
        <v>273.53389482256898</v>
      </c>
      <c r="E1029" s="3"/>
    </row>
    <row r="1030" spans="1:5" x14ac:dyDescent="0.2">
      <c r="A1030" s="3">
        <v>45841</v>
      </c>
      <c r="B1030" s="14">
        <v>43677.89027987804</v>
      </c>
      <c r="D1030" s="23">
        <f t="shared" si="16"/>
        <v>302.95065027168312</v>
      </c>
      <c r="E1030" s="3"/>
    </row>
    <row r="1031" spans="1:5" x14ac:dyDescent="0.2">
      <c r="A1031" s="3">
        <v>45842</v>
      </c>
      <c r="B1031" s="14">
        <v>43653.857495888762</v>
      </c>
      <c r="D1031" s="23">
        <f t="shared" si="16"/>
        <v>-24.032783989277959</v>
      </c>
      <c r="E1031" s="3"/>
    </row>
    <row r="1032" spans="1:5" x14ac:dyDescent="0.2">
      <c r="A1032" s="3">
        <v>45845</v>
      </c>
      <c r="B1032" s="14">
        <v>44127.771077635225</v>
      </c>
      <c r="D1032" s="23">
        <f t="shared" si="16"/>
        <v>473.91358174646302</v>
      </c>
      <c r="E1032" s="3"/>
    </row>
    <row r="1033" spans="1:5" x14ac:dyDescent="0.2">
      <c r="A1033" s="3">
        <v>45846</v>
      </c>
      <c r="B1033" s="14">
        <v>44009.68256212597</v>
      </c>
      <c r="D1033" s="23">
        <f t="shared" si="16"/>
        <v>-118.08851550925465</v>
      </c>
      <c r="E1033" s="3"/>
    </row>
    <row r="1034" spans="1:5" x14ac:dyDescent="0.2">
      <c r="A1034" s="3">
        <v>45847</v>
      </c>
      <c r="B1034" s="14">
        <v>44180.691832120079</v>
      </c>
      <c r="D1034" s="23">
        <f t="shared" si="16"/>
        <v>171.00926999410876</v>
      </c>
      <c r="E1034" s="3"/>
    </row>
    <row r="1035" spans="1:5" x14ac:dyDescent="0.2">
      <c r="A1035" s="3">
        <v>45848</v>
      </c>
      <c r="B1035" s="14">
        <v>43929.998089052911</v>
      </c>
      <c r="D1035" s="23">
        <f t="shared" si="16"/>
        <v>-250.69374306716782</v>
      </c>
      <c r="E1035" s="3"/>
    </row>
    <row r="1036" spans="1:5" x14ac:dyDescent="0.2">
      <c r="A1036" s="3">
        <v>45849</v>
      </c>
      <c r="B1036" s="14">
        <v>44026.541783832632</v>
      </c>
      <c r="D1036" s="23">
        <f t="shared" si="16"/>
        <v>96.543694779720681</v>
      </c>
      <c r="E1036" s="3"/>
    </row>
    <row r="1037" spans="1:5" x14ac:dyDescent="0.2">
      <c r="A1037" s="3">
        <v>45852</v>
      </c>
      <c r="B1037" s="14">
        <v>44611.363650963191</v>
      </c>
      <c r="D1037" s="23">
        <f t="shared" si="16"/>
        <v>584.82186713055853</v>
      </c>
      <c r="E1037" s="3"/>
    </row>
    <row r="1038" spans="1:5" x14ac:dyDescent="0.2">
      <c r="A1038" s="3">
        <v>45853</v>
      </c>
      <c r="B1038" s="14">
        <v>44649.924055474519</v>
      </c>
      <c r="D1038" s="23">
        <f t="shared" si="16"/>
        <v>38.56040451132867</v>
      </c>
      <c r="E1038" s="3"/>
    </row>
    <row r="1039" spans="1:5" x14ac:dyDescent="0.2">
      <c r="A1039" s="3">
        <v>45854</v>
      </c>
      <c r="B1039" s="14">
        <v>44628.107709823249</v>
      </c>
      <c r="D1039" s="23">
        <f t="shared" si="16"/>
        <v>-21.81634565127024</v>
      </c>
      <c r="E1039" s="3"/>
    </row>
    <row r="1040" spans="1:5" x14ac:dyDescent="0.2">
      <c r="A1040" s="3">
        <v>45855</v>
      </c>
      <c r="B1040" s="14">
        <v>45071.039962257266</v>
      </c>
      <c r="D1040" s="23">
        <f t="shared" si="16"/>
        <v>442.93225243401685</v>
      </c>
      <c r="E1040" s="3"/>
    </row>
    <row r="1041" spans="1:5" x14ac:dyDescent="0.2">
      <c r="A1041" s="3">
        <v>45856</v>
      </c>
      <c r="B1041" s="14">
        <v>45204.202089034443</v>
      </c>
      <c r="D1041" s="23">
        <f t="shared" si="16"/>
        <v>133.16212677717704</v>
      </c>
      <c r="E1041" s="3"/>
    </row>
    <row r="1042" spans="1:5" x14ac:dyDescent="0.2">
      <c r="A1042" s="3">
        <v>45859</v>
      </c>
      <c r="B1042" s="14">
        <v>45023.025150819674</v>
      </c>
      <c r="D1042" s="23">
        <f t="shared" si="16"/>
        <v>-181.1769382147686</v>
      </c>
      <c r="E1042" s="3"/>
    </row>
    <row r="1043" spans="1:5" x14ac:dyDescent="0.2">
      <c r="A1043" s="3">
        <v>45860</v>
      </c>
      <c r="B1043" s="14">
        <v>44841.930661155311</v>
      </c>
      <c r="D1043" s="23">
        <f t="shared" si="16"/>
        <v>-181.09448966436321</v>
      </c>
      <c r="E1043" s="3"/>
    </row>
    <row r="1044" spans="1:5" x14ac:dyDescent="0.2">
      <c r="A1044" s="3">
        <v>45861</v>
      </c>
      <c r="B1044" s="14">
        <v>45150.118589668644</v>
      </c>
      <c r="D1044" s="23">
        <f t="shared" si="16"/>
        <v>308.18792851333274</v>
      </c>
      <c r="E1044" s="3"/>
    </row>
    <row r="1045" spans="1:5" x14ac:dyDescent="0.2">
      <c r="A1045" s="3">
        <v>45862</v>
      </c>
      <c r="B1045" s="14">
        <v>45514.941679417025</v>
      </c>
      <c r="D1045" s="23">
        <f t="shared" si="16"/>
        <v>364.82308974838088</v>
      </c>
      <c r="E1045" s="3"/>
    </row>
    <row r="1046" spans="1:5" x14ac:dyDescent="0.2">
      <c r="A1046" s="3">
        <v>45863</v>
      </c>
      <c r="B1046" s="14">
        <v>45684.350252852666</v>
      </c>
      <c r="D1046" s="23">
        <f t="shared" si="16"/>
        <v>169.4085734356413</v>
      </c>
      <c r="E1046" s="3"/>
    </row>
    <row r="1047" spans="1:5" x14ac:dyDescent="0.2">
      <c r="A1047" s="3">
        <v>45866</v>
      </c>
      <c r="B1047" s="14">
        <v>45838.794309709498</v>
      </c>
      <c r="D1047" s="23">
        <f t="shared" si="16"/>
        <v>154.44405685683159</v>
      </c>
      <c r="E1047" s="3"/>
    </row>
    <row r="1048" spans="1:5" x14ac:dyDescent="0.2">
      <c r="A1048" s="3">
        <v>45867</v>
      </c>
      <c r="B1048" s="14">
        <v>46294.773584530536</v>
      </c>
      <c r="D1048" s="23">
        <f t="shared" si="16"/>
        <v>455.97927482103842</v>
      </c>
      <c r="E1048" s="3"/>
    </row>
    <row r="1049" spans="1:5" x14ac:dyDescent="0.2">
      <c r="A1049" s="3">
        <v>45868</v>
      </c>
      <c r="B1049" s="14">
        <v>46736.034685197199</v>
      </c>
      <c r="D1049" s="23">
        <f t="shared" si="16"/>
        <v>441.26110066666297</v>
      </c>
      <c r="E1049" s="3"/>
    </row>
    <row r="1050" spans="1:5" x14ac:dyDescent="0.2">
      <c r="A1050" s="3">
        <v>45869</v>
      </c>
      <c r="B1050" s="14">
        <v>46586.428393185757</v>
      </c>
      <c r="D1050" s="23">
        <f t="shared" si="16"/>
        <v>-149.60629201144184</v>
      </c>
      <c r="E1050" s="3"/>
    </row>
    <row r="1051" spans="1:5" x14ac:dyDescent="0.2">
      <c r="A1051" s="3">
        <v>45870</v>
      </c>
      <c r="B1051" s="14">
        <v>46463.528641832017</v>
      </c>
      <c r="D1051" s="23">
        <f t="shared" si="16"/>
        <v>-122.8997513537397</v>
      </c>
      <c r="E1051" s="3"/>
    </row>
    <row r="1052" spans="1:5" x14ac:dyDescent="0.2">
      <c r="A1052" s="3">
        <v>45873</v>
      </c>
      <c r="B1052" s="14">
        <v>46229.531505750478</v>
      </c>
      <c r="D1052" s="23">
        <f t="shared" si="16"/>
        <v>-233.99713608153979</v>
      </c>
      <c r="E1052" s="3"/>
    </row>
    <row r="1053" spans="1:5" x14ac:dyDescent="0.2">
      <c r="A1053" s="3">
        <v>45874</v>
      </c>
      <c r="B1053" s="14">
        <v>45984.53910648459</v>
      </c>
      <c r="D1053" s="23">
        <f t="shared" si="16"/>
        <v>-244.9923992658878</v>
      </c>
      <c r="E1053" s="3"/>
    </row>
    <row r="1054" spans="1:5" x14ac:dyDescent="0.2">
      <c r="A1054" s="3">
        <v>45875</v>
      </c>
      <c r="B1054" s="14">
        <v>46280.794683864966</v>
      </c>
      <c r="D1054" s="23">
        <f t="shared" si="16"/>
        <v>296.25557738037605</v>
      </c>
      <c r="E1054" s="3"/>
    </row>
    <row r="1055" spans="1:5" x14ac:dyDescent="0.2">
      <c r="A1055" s="3">
        <v>45876</v>
      </c>
      <c r="B1055" s="14">
        <v>46331.992974081266</v>
      </c>
      <c r="D1055" s="23">
        <f t="shared" si="16"/>
        <v>51.198290216299938</v>
      </c>
      <c r="E1055" s="3"/>
    </row>
    <row r="1056" spans="1:5" x14ac:dyDescent="0.2">
      <c r="A1056" s="3">
        <v>45877</v>
      </c>
      <c r="B1056" s="14">
        <v>46198.480513998933</v>
      </c>
      <c r="D1056" s="23">
        <f t="shared" si="16"/>
        <v>-133.51246008233284</v>
      </c>
      <c r="E1056" s="3"/>
    </row>
    <row r="1057" spans="1:5" x14ac:dyDescent="0.2">
      <c r="A1057" s="3">
        <v>45880</v>
      </c>
      <c r="B1057" s="14">
        <v>47034.900507090657</v>
      </c>
      <c r="D1057" s="23">
        <f t="shared" si="16"/>
        <v>836.41999309172388</v>
      </c>
      <c r="E1057" s="3"/>
    </row>
    <row r="1058" spans="1:5" x14ac:dyDescent="0.2">
      <c r="A1058" s="3">
        <v>45881</v>
      </c>
      <c r="B1058" s="14">
        <v>47453.950967606659</v>
      </c>
      <c r="D1058" s="23">
        <f t="shared" si="16"/>
        <v>419.0504605160022</v>
      </c>
      <c r="E1058" s="3"/>
    </row>
    <row r="1059" spans="1:5" x14ac:dyDescent="0.2">
      <c r="A1059" s="3">
        <v>45882</v>
      </c>
      <c r="B1059" s="14">
        <v>47000.930053995304</v>
      </c>
      <c r="D1059" s="23">
        <f t="shared" si="16"/>
        <v>-453.02091361135535</v>
      </c>
      <c r="E1059" s="3"/>
    </row>
    <row r="1060" spans="1:5" x14ac:dyDescent="0.2">
      <c r="A1060" s="3">
        <v>45883</v>
      </c>
      <c r="B1060" s="14">
        <v>47345.006904979513</v>
      </c>
      <c r="D1060" s="23">
        <f t="shared" si="16"/>
        <v>344.07685098420916</v>
      </c>
      <c r="E1060" s="3"/>
    </row>
    <row r="1061" spans="1:5" x14ac:dyDescent="0.2">
      <c r="A1061" s="3">
        <v>45884</v>
      </c>
      <c r="B1061" s="14">
        <v>47249.219423912204</v>
      </c>
      <c r="D1061" s="23">
        <f t="shared" si="16"/>
        <v>-95.787481067309272</v>
      </c>
      <c r="E1061" s="3"/>
    </row>
    <row r="1062" spans="1:5" x14ac:dyDescent="0.2">
      <c r="A1062" s="3">
        <v>45887</v>
      </c>
      <c r="B1062" s="14">
        <v>47604.128740586879</v>
      </c>
      <c r="D1062" s="23">
        <f t="shared" si="16"/>
        <v>354.90931667467521</v>
      </c>
      <c r="E1062" s="3"/>
    </row>
    <row r="1063" spans="1:5" x14ac:dyDescent="0.2">
      <c r="A1063" s="3">
        <v>45888</v>
      </c>
      <c r="B1063" s="14">
        <v>47072.985472633067</v>
      </c>
      <c r="D1063" s="23">
        <f t="shared" si="16"/>
        <v>-531.14326795381203</v>
      </c>
      <c r="E1063" s="3"/>
    </row>
    <row r="1064" spans="1:5" x14ac:dyDescent="0.2">
      <c r="A1064" s="3">
        <v>45889</v>
      </c>
      <c r="B1064" s="14">
        <v>46718.288841163812</v>
      </c>
      <c r="D1064" s="23">
        <f t="shared" si="16"/>
        <v>-354.6966314692545</v>
      </c>
      <c r="E1064" s="3"/>
    </row>
    <row r="1065" spans="1:5" x14ac:dyDescent="0.2">
      <c r="A1065" s="3">
        <v>45890</v>
      </c>
      <c r="B1065" s="14">
        <v>47016.758016553591</v>
      </c>
      <c r="D1065" s="23">
        <f t="shared" si="16"/>
        <v>298.46917538977868</v>
      </c>
      <c r="E1065" s="3"/>
    </row>
    <row r="1066" spans="1:5" x14ac:dyDescent="0.2">
      <c r="A1066" s="3">
        <v>45891</v>
      </c>
      <c r="B1066" s="14">
        <v>46770.24041878037</v>
      </c>
      <c r="D1066" s="23">
        <f t="shared" si="16"/>
        <v>-246.5175977732215</v>
      </c>
      <c r="E1066" s="3"/>
    </row>
    <row r="1067" spans="1:5" x14ac:dyDescent="0.2">
      <c r="A1067" s="3">
        <v>45894</v>
      </c>
      <c r="B1067" s="14">
        <v>46912.909533710932</v>
      </c>
      <c r="D1067" s="23">
        <f t="shared" si="16"/>
        <v>142.6691149305625</v>
      </c>
      <c r="E1067" s="3"/>
    </row>
    <row r="1068" spans="1:5" x14ac:dyDescent="0.2">
      <c r="A1068" s="3">
        <v>45895</v>
      </c>
      <c r="B1068" s="14">
        <v>47423.788167207051</v>
      </c>
      <c r="D1068" s="23">
        <f t="shared" si="16"/>
        <v>510.87863349611871</v>
      </c>
      <c r="E1068" s="3"/>
    </row>
    <row r="1069" spans="1:5" x14ac:dyDescent="0.2">
      <c r="A1069" s="3">
        <v>45896</v>
      </c>
      <c r="B1069" s="14">
        <v>46974.224806633196</v>
      </c>
      <c r="D1069" s="23">
        <f t="shared" si="16"/>
        <v>-449.56336057385488</v>
      </c>
      <c r="E1069" s="3"/>
    </row>
    <row r="1070" spans="1:5" x14ac:dyDescent="0.2">
      <c r="A1070" s="3">
        <v>45897</v>
      </c>
      <c r="B1070" s="14">
        <v>47094.841930417853</v>
      </c>
      <c r="D1070" s="23">
        <f t="shared" si="16"/>
        <v>120.61712378465745</v>
      </c>
      <c r="E1070" s="3"/>
    </row>
    <row r="1071" spans="1:5" x14ac:dyDescent="0.2">
      <c r="A1071" s="3">
        <v>45898</v>
      </c>
      <c r="B1071" s="14">
        <v>47142.19148993132</v>
      </c>
      <c r="D1071" s="23">
        <f t="shared" si="16"/>
        <v>47.349559513466374</v>
      </c>
      <c r="E1071" s="3"/>
    </row>
    <row r="1072" spans="1:5" x14ac:dyDescent="0.2">
      <c r="A1072" s="3">
        <v>45901</v>
      </c>
      <c r="B1072" s="14">
        <v>47381.870347742122</v>
      </c>
      <c r="D1072" s="23">
        <f t="shared" si="16"/>
        <v>239.67885781080258</v>
      </c>
      <c r="E1072" s="3"/>
    </row>
    <row r="1073" spans="1:5" x14ac:dyDescent="0.2">
      <c r="A1073" s="3">
        <v>45902</v>
      </c>
      <c r="B1073" s="14">
        <v>47236.895424564849</v>
      </c>
      <c r="D1073" s="23">
        <f t="shared" si="16"/>
        <v>-144.97492317727301</v>
      </c>
      <c r="E1073" s="3"/>
    </row>
    <row r="1074" spans="1:5" x14ac:dyDescent="0.2">
      <c r="A1074" s="3">
        <v>45903</v>
      </c>
      <c r="B1074" s="14">
        <v>47286.031363287868</v>
      </c>
      <c r="D1074" s="23">
        <f t="shared" si="16"/>
        <v>49.135938723018626</v>
      </c>
      <c r="E1074" s="3"/>
    </row>
    <row r="1075" spans="1:5" x14ac:dyDescent="0.2">
      <c r="A1075" s="3">
        <v>45904</v>
      </c>
      <c r="B1075" s="14">
        <v>47318.946693035803</v>
      </c>
      <c r="D1075" s="23">
        <f t="shared" si="16"/>
        <v>32.915329747935175</v>
      </c>
      <c r="E1075" s="3"/>
    </row>
    <row r="1076" spans="1:5" x14ac:dyDescent="0.2">
      <c r="A1076" s="3">
        <v>45905</v>
      </c>
      <c r="B1076" s="14">
        <v>46908.220734016606</v>
      </c>
      <c r="D1076" s="23">
        <f t="shared" si="16"/>
        <v>-410.72595901919703</v>
      </c>
      <c r="E1076" s="3"/>
    </row>
    <row r="1077" spans="1:5" x14ac:dyDescent="0.2">
      <c r="A1077" s="3">
        <v>45908</v>
      </c>
      <c r="B1077" s="14">
        <v>47056.409750300969</v>
      </c>
      <c r="D1077" s="23">
        <f t="shared" si="16"/>
        <v>148.18901628436288</v>
      </c>
      <c r="E1077" s="3"/>
    </row>
    <row r="1078" spans="1:5" x14ac:dyDescent="0.2">
      <c r="A1078" s="3">
        <v>45909</v>
      </c>
      <c r="B1078" s="14">
        <v>47346.537776243014</v>
      </c>
      <c r="D1078" s="23">
        <f t="shared" si="16"/>
        <v>290.1280259420455</v>
      </c>
      <c r="E1078" s="3"/>
    </row>
    <row r="1079" spans="1:5" x14ac:dyDescent="0.2">
      <c r="A1079" s="3">
        <v>45910</v>
      </c>
      <c r="B1079" s="14">
        <v>48572.178094033981</v>
      </c>
      <c r="D1079" s="23">
        <f t="shared" si="16"/>
        <v>1225.6403177909669</v>
      </c>
      <c r="E1079" s="3"/>
    </row>
    <row r="1080" spans="1:5" x14ac:dyDescent="0.2">
      <c r="A1080" s="3">
        <v>45911</v>
      </c>
      <c r="B1080" s="14">
        <v>48654.670170258731</v>
      </c>
      <c r="D1080" s="23">
        <f t="shared" si="16"/>
        <v>82.492076224749326</v>
      </c>
      <c r="E1080" s="3"/>
    </row>
    <row r="1081" spans="1:5" x14ac:dyDescent="0.2">
      <c r="A1081" s="3">
        <v>45912</v>
      </c>
      <c r="B1081" s="14">
        <v>48912.724992770032</v>
      </c>
      <c r="D1081" s="23">
        <f t="shared" si="16"/>
        <v>258.05482251130161</v>
      </c>
      <c r="E1081" s="3"/>
    </row>
    <row r="1082" spans="1:5" x14ac:dyDescent="0.2">
      <c r="A1082" s="3">
        <v>45915</v>
      </c>
      <c r="B1082" s="14">
        <v>49134.942715648896</v>
      </c>
      <c r="D1082" s="23">
        <f t="shared" si="16"/>
        <v>222.21772287886415</v>
      </c>
      <c r="E1082" s="3"/>
    </row>
    <row r="1083" spans="1:5" x14ac:dyDescent="0.2">
      <c r="A1083" s="3">
        <v>45916</v>
      </c>
      <c r="B1083" s="14">
        <v>48593.179167464987</v>
      </c>
      <c r="D1083" s="23">
        <f t="shared" si="16"/>
        <v>-541.76354818390973</v>
      </c>
      <c r="E1083" s="3"/>
    </row>
    <row r="1084" spans="1:5" x14ac:dyDescent="0.2">
      <c r="A1084" s="3">
        <v>45917</v>
      </c>
      <c r="B1084" s="14">
        <v>48122.813429229485</v>
      </c>
      <c r="D1084" s="23">
        <f t="shared" si="16"/>
        <v>-470.36573823550134</v>
      </c>
      <c r="E1084" s="3"/>
    </row>
    <row r="1085" spans="1:5" x14ac:dyDescent="0.2">
      <c r="A1085" s="3">
        <v>45918</v>
      </c>
      <c r="B1085" s="14">
        <v>48087.639360324683</v>
      </c>
      <c r="D1085" s="23">
        <f t="shared" si="16"/>
        <v>-35.17406890480197</v>
      </c>
      <c r="E1085" s="3"/>
    </row>
    <row r="1086" spans="1:5" x14ac:dyDescent="0.2">
      <c r="A1086" s="3">
        <v>45919</v>
      </c>
      <c r="B1086" s="14">
        <v>48407.637540282878</v>
      </c>
      <c r="D1086" s="23">
        <f t="shared" si="16"/>
        <v>319.99817995819467</v>
      </c>
      <c r="E1086" s="3"/>
    </row>
    <row r="1087" spans="1:5" x14ac:dyDescent="0.2">
      <c r="A1087" s="3">
        <v>45922</v>
      </c>
      <c r="B1087" s="14">
        <v>48431.47965223722</v>
      </c>
      <c r="D1087" s="23">
        <f t="shared" si="16"/>
        <v>23.842111954341817</v>
      </c>
      <c r="E1087" s="3"/>
    </row>
    <row r="1088" spans="1:5" x14ac:dyDescent="0.2">
      <c r="A1088" s="3">
        <v>45923</v>
      </c>
      <c r="B1088" s="14">
        <v>48472.384371728011</v>
      </c>
      <c r="D1088" s="23">
        <f t="shared" si="16"/>
        <v>40.90471949079074</v>
      </c>
      <c r="E1088" s="3"/>
    </row>
    <row r="1089" spans="1:5" x14ac:dyDescent="0.2">
      <c r="A1089" s="3">
        <v>45924</v>
      </c>
      <c r="B1089" s="14">
        <v>48899.949467155297</v>
      </c>
      <c r="D1089" s="23">
        <f t="shared" si="16"/>
        <v>427.565095427286</v>
      </c>
      <c r="E1089" s="3"/>
    </row>
    <row r="1090" spans="1:5" x14ac:dyDescent="0.2">
      <c r="A1090" s="3">
        <v>45925</v>
      </c>
      <c r="B1090" s="14">
        <v>48772.674591421412</v>
      </c>
      <c r="D1090" s="23">
        <f t="shared" si="16"/>
        <v>-127.27487573388498</v>
      </c>
      <c r="E1090" s="3"/>
    </row>
    <row r="1091" spans="1:5" x14ac:dyDescent="0.2">
      <c r="A1091" s="3">
        <v>45926</v>
      </c>
      <c r="B1091" s="14">
        <v>49142.143034558219</v>
      </c>
      <c r="D1091" s="23">
        <f t="shared" si="16"/>
        <v>369.46844313680776</v>
      </c>
      <c r="E1091" s="3"/>
    </row>
    <row r="1092" spans="1:5" x14ac:dyDescent="0.2">
      <c r="A1092" s="3">
        <v>45929</v>
      </c>
      <c r="B1092" s="14">
        <v>48767.628535246346</v>
      </c>
      <c r="D1092" s="23">
        <f t="shared" si="16"/>
        <v>-374.51449931187381</v>
      </c>
      <c r="E1092" s="3"/>
    </row>
    <row r="1093" spans="1:5" x14ac:dyDescent="0.2">
      <c r="A1093" s="3">
        <v>45930</v>
      </c>
      <c r="B1093" s="14">
        <v>48863.615634327303</v>
      </c>
      <c r="D1093" s="23">
        <f t="shared" ref="D1093:D1131" si="17">B1093-B1092</f>
        <v>95.987099080957705</v>
      </c>
      <c r="E1093" s="3"/>
    </row>
    <row r="1094" spans="1:5" x14ac:dyDescent="0.2">
      <c r="A1094" s="3">
        <v>45931</v>
      </c>
      <c r="B1094" s="14">
        <v>49106.644387124485</v>
      </c>
      <c r="D1094" s="23">
        <f t="shared" si="17"/>
        <v>243.02875279718137</v>
      </c>
      <c r="E1094" s="3"/>
    </row>
    <row r="1095" spans="1:5" x14ac:dyDescent="0.2">
      <c r="A1095" s="3">
        <v>45932</v>
      </c>
      <c r="B1095" s="14">
        <v>49212.353793740156</v>
      </c>
      <c r="D1095" s="23">
        <f t="shared" si="17"/>
        <v>105.70940661567147</v>
      </c>
      <c r="E1095" s="3"/>
    </row>
    <row r="1096" spans="1:5" x14ac:dyDescent="0.2">
      <c r="A1096" s="3">
        <v>45933</v>
      </c>
      <c r="B1096" s="14">
        <v>49048.784930256013</v>
      </c>
      <c r="D1096" s="23">
        <f t="shared" si="17"/>
        <v>-163.56886348414264</v>
      </c>
      <c r="E1096" s="3"/>
    </row>
    <row r="1097" spans="1:5" x14ac:dyDescent="0.2">
      <c r="A1097" s="3">
        <v>45936</v>
      </c>
      <c r="B1097" s="14">
        <v>49262.224574832057</v>
      </c>
      <c r="D1097" s="23">
        <f t="shared" si="17"/>
        <v>213.43964457604307</v>
      </c>
      <c r="E1097" s="3"/>
    </row>
    <row r="1098" spans="1:5" x14ac:dyDescent="0.2">
      <c r="A1098" s="3">
        <v>45937</v>
      </c>
      <c r="B1098" s="14">
        <v>49012.862105713895</v>
      </c>
      <c r="D1098" s="23">
        <f t="shared" si="17"/>
        <v>-249.36246911816124</v>
      </c>
      <c r="E1098" s="3"/>
    </row>
    <row r="1099" spans="1:5" x14ac:dyDescent="0.2">
      <c r="A1099" s="3">
        <v>45938</v>
      </c>
      <c r="B1099" s="14">
        <v>49292.016464111017</v>
      </c>
      <c r="D1099" s="23">
        <f t="shared" si="17"/>
        <v>279.15435839712154</v>
      </c>
      <c r="E1099" s="3"/>
    </row>
    <row r="1100" spans="1:5" x14ac:dyDescent="0.2">
      <c r="A1100" s="3">
        <v>45939</v>
      </c>
      <c r="B1100" s="14">
        <v>49437.374426647162</v>
      </c>
      <c r="D1100" s="23">
        <f t="shared" si="17"/>
        <v>145.35796253614535</v>
      </c>
      <c r="E1100" s="3"/>
    </row>
    <row r="1101" spans="1:5" x14ac:dyDescent="0.2">
      <c r="A1101" s="3">
        <v>45940</v>
      </c>
      <c r="B1101" s="14">
        <v>49108.129595779683</v>
      </c>
      <c r="D1101" s="23">
        <f t="shared" si="17"/>
        <v>-329.24483086747932</v>
      </c>
      <c r="E1101" s="3"/>
    </row>
    <row r="1102" spans="1:5" x14ac:dyDescent="0.2">
      <c r="A1102" s="3">
        <v>45943</v>
      </c>
      <c r="B1102" s="14">
        <v>49137.798431597104</v>
      </c>
      <c r="D1102" s="23">
        <f t="shared" si="17"/>
        <v>29.668835817421495</v>
      </c>
      <c r="E1102" s="3"/>
    </row>
    <row r="1103" spans="1:5" x14ac:dyDescent="0.2">
      <c r="A1103" s="3">
        <v>45944</v>
      </c>
      <c r="B1103" s="14">
        <v>49246.240294461633</v>
      </c>
      <c r="D1103" s="23">
        <f t="shared" si="17"/>
        <v>108.44186286452896</v>
      </c>
      <c r="E1103" s="3"/>
    </row>
    <row r="1104" spans="1:5" x14ac:dyDescent="0.2">
      <c r="A1104" s="3">
        <v>45945</v>
      </c>
      <c r="B1104" s="14">
        <v>48905.006455463896</v>
      </c>
      <c r="D1104" s="23">
        <f t="shared" si="17"/>
        <v>-341.23383899773762</v>
      </c>
      <c r="E1104" s="3"/>
    </row>
    <row r="1105" spans="1:5" x14ac:dyDescent="0.2">
      <c r="A1105" s="3">
        <v>45946</v>
      </c>
      <c r="B1105" s="14">
        <v>48479.819694840349</v>
      </c>
      <c r="D1105" s="23">
        <f t="shared" si="17"/>
        <v>-425.18676062354643</v>
      </c>
      <c r="E1105" s="3"/>
    </row>
    <row r="1106" spans="1:5" x14ac:dyDescent="0.2">
      <c r="A1106" s="3">
        <v>45947</v>
      </c>
      <c r="B1106" s="14">
        <v>47620.813629010561</v>
      </c>
      <c r="D1106" s="23">
        <f t="shared" si="17"/>
        <v>-859.00606582978799</v>
      </c>
      <c r="E1106" s="3"/>
    </row>
    <row r="1107" spans="1:5" x14ac:dyDescent="0.2">
      <c r="A1107" s="3">
        <v>45950</v>
      </c>
      <c r="B1107" s="14">
        <v>48386.956286024229</v>
      </c>
      <c r="D1107" s="23">
        <f t="shared" si="17"/>
        <v>766.14265701366821</v>
      </c>
      <c r="E1107" s="3"/>
    </row>
    <row r="1108" spans="1:5" x14ac:dyDescent="0.2">
      <c r="A1108" s="3">
        <v>45951</v>
      </c>
      <c r="B1108" s="14">
        <v>48089.69805406758</v>
      </c>
      <c r="D1108" s="23">
        <f t="shared" si="17"/>
        <v>-297.25823195664998</v>
      </c>
      <c r="E1108" s="3"/>
    </row>
    <row r="1109" spans="1:5" x14ac:dyDescent="0.2">
      <c r="A1109" s="3">
        <v>45952</v>
      </c>
      <c r="B1109" s="14">
        <v>47564.724580643167</v>
      </c>
      <c r="D1109" s="23">
        <f t="shared" si="17"/>
        <v>-524.97347342441208</v>
      </c>
      <c r="E1109" s="3"/>
    </row>
    <row r="1110" spans="1:5" x14ac:dyDescent="0.2">
      <c r="A1110" s="3">
        <v>45953</v>
      </c>
      <c r="B1110" s="14">
        <v>47263.138505728064</v>
      </c>
      <c r="D1110" s="23">
        <f t="shared" si="17"/>
        <v>-301.58607491510338</v>
      </c>
      <c r="E1110" s="3"/>
    </row>
    <row r="1111" spans="1:5" x14ac:dyDescent="0.2">
      <c r="A1111" s="3">
        <v>45954</v>
      </c>
      <c r="B1111" s="14">
        <v>47415.908938309396</v>
      </c>
      <c r="D1111" s="23">
        <f t="shared" si="17"/>
        <v>152.77043258133199</v>
      </c>
      <c r="E1111" s="3"/>
    </row>
    <row r="1112" spans="1:5" x14ac:dyDescent="0.2">
      <c r="A1112" s="3">
        <v>45957</v>
      </c>
      <c r="B1112" s="14">
        <v>47800.522928752631</v>
      </c>
      <c r="D1112" s="23">
        <f t="shared" si="17"/>
        <v>384.6139904432348</v>
      </c>
      <c r="E1112" s="3"/>
    </row>
    <row r="1113" spans="1:5" x14ac:dyDescent="0.2">
      <c r="A1113" s="3">
        <v>45958</v>
      </c>
      <c r="B1113" s="14">
        <v>47667.55677073347</v>
      </c>
      <c r="D1113" s="23">
        <f t="shared" si="17"/>
        <v>-132.9661580191605</v>
      </c>
      <c r="E1113" s="3"/>
    </row>
    <row r="1114" spans="1:5" x14ac:dyDescent="0.2">
      <c r="A1114" s="3">
        <v>45959</v>
      </c>
      <c r="B1114" s="14">
        <v>48289.783267598861</v>
      </c>
      <c r="D1114" s="23">
        <f t="shared" si="17"/>
        <v>622.2264968653908</v>
      </c>
      <c r="E1114" s="3"/>
    </row>
    <row r="1115" spans="1:5" x14ac:dyDescent="0.2">
      <c r="A1115" s="3">
        <v>45960</v>
      </c>
      <c r="B1115" s="14">
        <v>48637.269032884142</v>
      </c>
      <c r="D1115" s="23">
        <f t="shared" si="17"/>
        <v>347.48576528528065</v>
      </c>
      <c r="E1115" s="3"/>
    </row>
    <row r="1116" spans="1:5" x14ac:dyDescent="0.2">
      <c r="A1116" s="3">
        <v>45961</v>
      </c>
      <c r="B1116" s="14">
        <v>49221.269420561774</v>
      </c>
      <c r="D1116" s="23">
        <f t="shared" si="17"/>
        <v>584.00038767763181</v>
      </c>
      <c r="E1116" s="3"/>
    </row>
    <row r="1117" spans="1:5" x14ac:dyDescent="0.2">
      <c r="A1117" s="3">
        <v>45964</v>
      </c>
      <c r="B1117" s="14">
        <v>49749.156430734482</v>
      </c>
      <c r="D1117" s="23">
        <f t="shared" si="17"/>
        <v>527.88701017270796</v>
      </c>
      <c r="E1117" s="3"/>
    </row>
    <row r="1118" spans="1:5" x14ac:dyDescent="0.2">
      <c r="A1118" s="3">
        <v>45965</v>
      </c>
      <c r="B1118" s="14">
        <v>48897.829810954558</v>
      </c>
      <c r="D1118" s="23">
        <f t="shared" si="17"/>
        <v>-851.32661977992393</v>
      </c>
      <c r="E1118" s="3"/>
    </row>
    <row r="1119" spans="1:5" x14ac:dyDescent="0.2">
      <c r="A1119" s="3">
        <v>45966</v>
      </c>
      <c r="B1119" s="14">
        <v>48588.552366154938</v>
      </c>
      <c r="D1119" s="23">
        <f t="shared" si="17"/>
        <v>-309.27744479961984</v>
      </c>
      <c r="E1119" s="3"/>
    </row>
    <row r="1120" spans="1:5" x14ac:dyDescent="0.2">
      <c r="A1120" s="3">
        <v>45967</v>
      </c>
      <c r="B1120" s="17">
        <v>48889.258934237216</v>
      </c>
      <c r="D1120" s="23">
        <f t="shared" si="17"/>
        <v>300.70656808227795</v>
      </c>
      <c r="E1120" s="3"/>
    </row>
    <row r="1121" spans="1:5" x14ac:dyDescent="0.2">
      <c r="A1121" s="3">
        <v>45968</v>
      </c>
      <c r="B1121" s="17">
        <v>48986.698944782911</v>
      </c>
      <c r="D1121" s="23">
        <f t="shared" si="17"/>
        <v>97.440010545695259</v>
      </c>
      <c r="E1121" s="3"/>
    </row>
    <row r="1122" spans="1:5" x14ac:dyDescent="0.2">
      <c r="A1122" s="3">
        <v>45971</v>
      </c>
      <c r="B1122" s="17">
        <v>49578.068350094632</v>
      </c>
      <c r="D1122" s="23">
        <f t="shared" si="17"/>
        <v>591.36940531172149</v>
      </c>
      <c r="E1122" s="3"/>
    </row>
    <row r="1123" spans="1:5" x14ac:dyDescent="0.2">
      <c r="A1123" s="3">
        <v>45972</v>
      </c>
      <c r="B1123" s="17">
        <v>49517.238859600649</v>
      </c>
      <c r="D1123" s="23">
        <f t="shared" si="17"/>
        <v>-60.82949049398303</v>
      </c>
      <c r="E1123" s="3"/>
    </row>
    <row r="1124" spans="1:5" x14ac:dyDescent="0.2">
      <c r="A1124" s="3">
        <v>45973</v>
      </c>
      <c r="B1124" s="17">
        <v>49562.931490880394</v>
      </c>
      <c r="D1124" s="23">
        <f t="shared" si="17"/>
        <v>45.692631279744091</v>
      </c>
      <c r="E1124" s="3"/>
    </row>
    <row r="1125" spans="1:5" x14ac:dyDescent="0.2">
      <c r="A1125" s="3">
        <v>45974</v>
      </c>
      <c r="B1125" s="17">
        <v>48892.991234411093</v>
      </c>
      <c r="D1125" s="23">
        <f t="shared" si="17"/>
        <v>-669.94025646930095</v>
      </c>
      <c r="E1125" s="3"/>
    </row>
    <row r="1126" spans="1:5" x14ac:dyDescent="0.2">
      <c r="A1126" s="3">
        <v>45975</v>
      </c>
      <c r="B1126" s="17">
        <v>49338.254208965249</v>
      </c>
      <c r="D1126" s="23">
        <f t="shared" si="17"/>
        <v>445.26297455415624</v>
      </c>
      <c r="E1126" s="3"/>
    </row>
    <row r="1127" spans="1:5" x14ac:dyDescent="0.2">
      <c r="A1127" s="3">
        <v>45978</v>
      </c>
      <c r="B1127" s="17">
        <v>49378.78916084949</v>
      </c>
      <c r="D1127" s="23">
        <f t="shared" si="17"/>
        <v>40.534951884241309</v>
      </c>
      <c r="E1127" s="3"/>
    </row>
    <row r="1128" spans="1:5" x14ac:dyDescent="0.2">
      <c r="A1128" s="3">
        <v>45979</v>
      </c>
      <c r="B1128" s="17">
        <v>49221.26634044321</v>
      </c>
      <c r="D1128" s="23">
        <f t="shared" si="17"/>
        <v>-157.52282040628052</v>
      </c>
      <c r="E1128" s="3"/>
    </row>
    <row r="1129" spans="1:5" x14ac:dyDescent="0.2">
      <c r="A1129" s="3">
        <v>45980</v>
      </c>
      <c r="B1129" s="17">
        <v>49648.348722868934</v>
      </c>
      <c r="D1129" s="23">
        <f t="shared" si="17"/>
        <v>427.08238242572406</v>
      </c>
      <c r="E1129" s="3"/>
    </row>
    <row r="1130" spans="1:5" x14ac:dyDescent="0.2">
      <c r="A1130" s="3">
        <v>45981</v>
      </c>
      <c r="B1130" s="17">
        <v>49166.872690109347</v>
      </c>
      <c r="D1130" s="23">
        <f t="shared" si="17"/>
        <v>-481.47603275958681</v>
      </c>
      <c r="E1130" s="3"/>
    </row>
    <row r="1131" spans="1:5" x14ac:dyDescent="0.2">
      <c r="A1131" s="3">
        <v>45982</v>
      </c>
      <c r="B1131" s="17">
        <v>48294.619673134075</v>
      </c>
      <c r="D1131" s="23">
        <f t="shared" si="17"/>
        <v>-872.25301697527175</v>
      </c>
      <c r="E1131" s="3"/>
    </row>
  </sheetData>
  <phoneticPr fontId="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6EDDD-CF4F-442D-9C2B-469807603DC7}">
  <dimension ref="A1"/>
  <sheetViews>
    <sheetView topLeftCell="A6" zoomScale="70" zoomScaleNormal="70" workbookViewId="0">
      <selection activeCell="W82" sqref="W82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2703-843E-4456-B4C1-82A44C4F7971}">
  <dimension ref="A1"/>
  <sheetViews>
    <sheetView zoomScale="70" zoomScaleNormal="70" workbookViewId="0">
      <selection activeCell="E59" sqref="E59"/>
    </sheetView>
  </sheetViews>
  <sheetFormatPr baseColWidth="10" defaultColWidth="8.83203125" defaultRowHeight="15" x14ac:dyDescent="0.2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E6A8699B0FA442A95FEC5EE8E966BB" ma:contentTypeVersion="7" ma:contentTypeDescription="Creare un nuovo documento." ma:contentTypeScope="" ma:versionID="8cddb34f3eaec171a815cdd2cfbe2532">
  <xsd:schema xmlns:xsd="http://www.w3.org/2001/XMLSchema" xmlns:xs="http://www.w3.org/2001/XMLSchema" xmlns:p="http://schemas.microsoft.com/office/2006/metadata/properties" xmlns:ns2="977d53aa-86be-4b05-b87e-727d92e8a73c" targetNamespace="http://schemas.microsoft.com/office/2006/metadata/properties" ma:root="true" ma:fieldsID="35ce71599de53f578e94b698a62cae7f" ns2:_="">
    <xsd:import namespace="977d53aa-86be-4b05-b87e-727d92e8a73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7d53aa-86be-4b05-b87e-727d92e8a7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C3E65-3319-4357-89AC-06D8640BFE5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AB5B6B0-9BC3-4D87-903C-964E2C1129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7d53aa-86be-4b05-b87e-727d92e8a7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EF6490-ADAA-416D-90E6-2AD1AEA5F9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 DATA</vt:lpstr>
      <vt:lpstr>EU DATA</vt:lpstr>
      <vt:lpstr>S&amp;P500 and STOXX Data</vt:lpstr>
      <vt:lpstr>S&amp;P500 and STOXX PERFOMRMANCE</vt:lpstr>
      <vt:lpstr>EU PORTFOLIO</vt:lpstr>
      <vt:lpstr>US PORTFOLIO</vt:lpstr>
      <vt:lpstr>EURUSD</vt:lpstr>
      <vt:lpstr>Worst Performer</vt:lpstr>
      <vt:lpstr>DATES CHECK</vt:lpstr>
      <vt:lpstr>PERFORMANCE UPDATE</vt:lpstr>
      <vt:lpstr>TOTAL DAILY</vt:lpstr>
      <vt:lpstr>HISTORICAL</vt:lpstr>
      <vt:lpstr>HISTORICAL CHART</vt:lpstr>
      <vt:lpstr>Semester Charter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Aleksandar Georgiev</dc:creator>
  <cp:keywords/>
  <dc:description/>
  <cp:lastModifiedBy>POLINA DROFA</cp:lastModifiedBy>
  <cp:revision/>
  <dcterms:created xsi:type="dcterms:W3CDTF">2015-06-05T18:19:34Z</dcterms:created>
  <dcterms:modified xsi:type="dcterms:W3CDTF">2026-02-23T13:37:16Z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0x0101007BE6A8699B0FA442A95FEC5EE8E966BB</vt:lpwstr>
  </property>
</Properties>
</file>