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polina/Downloads/Minerva Code/"/>
    </mc:Choice>
  </mc:AlternateContent>
  <xr:revisionPtr revIDLastSave="0" documentId="13_ncr:1_{5B692AD5-AF6A-F747-9E53-9CB8D8BEEDF9}" xr6:coauthVersionLast="47" xr6:coauthVersionMax="47" xr10:uidLastSave="{00000000-0000-0000-0000-000000000000}"/>
  <bookViews>
    <workbookView xWindow="0" yWindow="500" windowWidth="23260" windowHeight="12460" firstSheet="1" activeTab="5" xr2:uid="{00000000-000D-0000-FFFF-FFFF00000000}"/>
  </bookViews>
  <sheets>
    <sheet name="US DATA" sheetId="10" r:id="rId1"/>
    <sheet name="EU DATA" sheetId="4" r:id="rId2"/>
    <sheet name="S&amp;P500 and STOXX Data" sheetId="16" r:id="rId3"/>
    <sheet name="S&amp;P500 and STOXX PERFOMRMANCE" sheetId="17" r:id="rId4"/>
    <sheet name="EU PORTFOLIO" sheetId="9" r:id="rId5"/>
    <sheet name="US PORTFOLIO" sheetId="11" r:id="rId6"/>
    <sheet name="DATES CHECK" sheetId="13" r:id="rId7"/>
    <sheet name="TOTAL DAILY" sheetId="6" r:id="rId8"/>
    <sheet name="HISTORICAL" sheetId="5" r:id="rId9"/>
    <sheet name="HISTORICAL CHART" sheetId="8" r:id="rId10"/>
    <sheet name="Semester Charter" sheetId="1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6" l="1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3" i="6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3" i="17"/>
  <c r="J150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3" i="6"/>
  <c r="J152" i="13"/>
  <c r="AX159" i="11"/>
  <c r="I152" i="13"/>
  <c r="B153" i="6"/>
  <c r="AU12" i="9" a="1"/>
  <c r="AU12" i="9" s="1"/>
  <c r="AU13" i="9" a="1"/>
  <c r="AU13" i="9"/>
  <c r="AU14" i="9" a="1"/>
  <c r="AU14" i="9" s="1"/>
  <c r="AU15" i="9" a="1"/>
  <c r="AU15" i="9"/>
  <c r="AU16" i="9" a="1"/>
  <c r="AU16" i="9"/>
  <c r="AU17" i="9" a="1"/>
  <c r="AU17" i="9"/>
  <c r="AU18" i="9" a="1"/>
  <c r="AU18" i="9" s="1"/>
  <c r="AU19" i="9" a="1"/>
  <c r="AU19" i="9"/>
  <c r="AU20" i="9" a="1"/>
  <c r="AU20" i="9" s="1"/>
  <c r="AU21" i="9" a="1"/>
  <c r="AU21" i="9"/>
  <c r="AU22" i="9" a="1"/>
  <c r="AU22" i="9"/>
  <c r="AU23" i="9" a="1"/>
  <c r="AU23" i="9"/>
  <c r="AU24" i="9" a="1"/>
  <c r="AU24" i="9" s="1"/>
  <c r="AU25" i="9" a="1"/>
  <c r="AU25" i="9"/>
  <c r="AU26" i="9" a="1"/>
  <c r="AU26" i="9" s="1"/>
  <c r="AU27" i="9" a="1"/>
  <c r="AU27" i="9"/>
  <c r="AU28" i="9" a="1"/>
  <c r="AU28" i="9"/>
  <c r="AU29" i="9" a="1"/>
  <c r="AU29" i="9"/>
  <c r="AU30" i="9" a="1"/>
  <c r="AU30" i="9" s="1"/>
  <c r="AU31" i="9" a="1"/>
  <c r="AU31" i="9"/>
  <c r="AU32" i="9" a="1"/>
  <c r="AU32" i="9" s="1"/>
  <c r="AU33" i="9" a="1"/>
  <c r="AU33" i="9"/>
  <c r="AU34" i="9" a="1"/>
  <c r="AU34" i="9"/>
  <c r="AU35" i="9" a="1"/>
  <c r="AU35" i="9"/>
  <c r="AU36" i="9" a="1"/>
  <c r="AU36" i="9" s="1"/>
  <c r="AU37" i="9" a="1"/>
  <c r="AU37" i="9"/>
  <c r="AU38" i="9" a="1"/>
  <c r="AU38" i="9" s="1"/>
  <c r="AU39" i="9" a="1"/>
  <c r="AU39" i="9"/>
  <c r="AU40" i="9" a="1"/>
  <c r="AU40" i="9"/>
  <c r="AU41" i="9" a="1"/>
  <c r="AU41" i="9"/>
  <c r="AU42" i="9" a="1"/>
  <c r="AU42" i="9" s="1"/>
  <c r="AU43" i="9" a="1"/>
  <c r="AU43" i="9"/>
  <c r="AU44" i="9" a="1"/>
  <c r="AU44" i="9" s="1"/>
  <c r="AU45" i="9" a="1"/>
  <c r="AU45" i="9"/>
  <c r="AU46" i="9" a="1"/>
  <c r="AU46" i="9"/>
  <c r="AU47" i="9" a="1"/>
  <c r="AU47" i="9"/>
  <c r="AU48" i="9" a="1"/>
  <c r="AU48" i="9" s="1"/>
  <c r="AU49" i="9" a="1"/>
  <c r="AU49" i="9"/>
  <c r="AU50" i="9" a="1"/>
  <c r="AU50" i="9" s="1"/>
  <c r="AU51" i="9" a="1"/>
  <c r="AU51" i="9"/>
  <c r="AU52" i="9" a="1"/>
  <c r="AU52" i="9"/>
  <c r="AU53" i="9" a="1"/>
  <c r="AU53" i="9"/>
  <c r="AU54" i="9" a="1"/>
  <c r="AU54" i="9" s="1"/>
  <c r="AU55" i="9" a="1"/>
  <c r="AU55" i="9"/>
  <c r="AU56" i="9" a="1"/>
  <c r="AU56" i="9" s="1"/>
  <c r="AU57" i="9" a="1"/>
  <c r="AU57" i="9"/>
  <c r="AU58" i="9" a="1"/>
  <c r="AU58" i="9"/>
  <c r="AU59" i="9" a="1"/>
  <c r="AU59" i="9"/>
  <c r="AU60" i="9" a="1"/>
  <c r="AU60" i="9" s="1"/>
  <c r="AU61" i="9" a="1"/>
  <c r="AU61" i="9"/>
  <c r="AU62" i="9" a="1"/>
  <c r="AU62" i="9" s="1"/>
  <c r="AU63" i="9" a="1"/>
  <c r="AU63" i="9"/>
  <c r="AU64" i="9" a="1"/>
  <c r="AU64" i="9"/>
  <c r="AU65" i="9" a="1"/>
  <c r="AU65" i="9"/>
  <c r="AU66" i="9" a="1"/>
  <c r="AU66" i="9" s="1"/>
  <c r="AU67" i="9" a="1"/>
  <c r="AU67" i="9"/>
  <c r="AU68" i="9" a="1"/>
  <c r="AU68" i="9" s="1"/>
  <c r="AU69" i="9" a="1"/>
  <c r="AU69" i="9"/>
  <c r="AU70" i="9" a="1"/>
  <c r="AU70" i="9"/>
  <c r="AU71" i="9" a="1"/>
  <c r="AU71" i="9"/>
  <c r="AU72" i="9" a="1"/>
  <c r="AU72" i="9" s="1"/>
  <c r="AU73" i="9" a="1"/>
  <c r="AU73" i="9"/>
  <c r="AU74" i="9" a="1"/>
  <c r="AU74" i="9" s="1"/>
  <c r="AU75" i="9" a="1"/>
  <c r="AU75" i="9"/>
  <c r="AU76" i="9" a="1"/>
  <c r="AU76" i="9"/>
  <c r="AU77" i="9" a="1"/>
  <c r="AU77" i="9"/>
  <c r="AU78" i="9" a="1"/>
  <c r="AU78" i="9" s="1"/>
  <c r="AU79" i="9" a="1"/>
  <c r="AU79" i="9"/>
  <c r="AU80" i="9" a="1"/>
  <c r="AU80" i="9" s="1"/>
  <c r="AU81" i="9" a="1"/>
  <c r="AU81" i="9"/>
  <c r="AU82" i="9" a="1"/>
  <c r="AU82" i="9"/>
  <c r="AU83" i="9" a="1"/>
  <c r="AU83" i="9"/>
  <c r="AU84" i="9" a="1"/>
  <c r="AU84" i="9" s="1"/>
  <c r="AU85" i="9" a="1"/>
  <c r="AU85" i="9"/>
  <c r="AU86" i="9" a="1"/>
  <c r="AU86" i="9" s="1"/>
  <c r="AU87" i="9" a="1"/>
  <c r="AU87" i="9"/>
  <c r="AU88" i="9" a="1"/>
  <c r="AU88" i="9"/>
  <c r="AU89" i="9" a="1"/>
  <c r="AU89" i="9"/>
  <c r="AU90" i="9" a="1"/>
  <c r="AU90" i="9" s="1"/>
  <c r="AU91" i="9" a="1"/>
  <c r="AU91" i="9"/>
  <c r="AU92" i="9" a="1"/>
  <c r="AU92" i="9" s="1"/>
  <c r="AU93" i="9" a="1"/>
  <c r="AU93" i="9"/>
  <c r="AU94" i="9" a="1"/>
  <c r="AU94" i="9"/>
  <c r="AU95" i="9" a="1"/>
  <c r="AU95" i="9"/>
  <c r="AU96" i="9" a="1"/>
  <c r="AU96" i="9" s="1"/>
  <c r="AU97" i="9" a="1"/>
  <c r="AU97" i="9"/>
  <c r="AU98" i="9" a="1"/>
  <c r="AU98" i="9" s="1"/>
  <c r="AU99" i="9" a="1"/>
  <c r="AU99" i="9"/>
  <c r="AU100" i="9" a="1"/>
  <c r="AU100" i="9"/>
  <c r="AU101" i="9" a="1"/>
  <c r="AU101" i="9"/>
  <c r="AU102" i="9" a="1"/>
  <c r="AU102" i="9" s="1"/>
  <c r="AU103" i="9" a="1"/>
  <c r="AU103" i="9"/>
  <c r="AU104" i="9" a="1"/>
  <c r="AU104" i="9" s="1"/>
  <c r="AU105" i="9" a="1"/>
  <c r="AU105" i="9"/>
  <c r="AU106" i="9" a="1"/>
  <c r="AU106" i="9"/>
  <c r="AU107" i="9" a="1"/>
  <c r="AU107" i="9"/>
  <c r="AU108" i="9" a="1"/>
  <c r="AU108" i="9" s="1"/>
  <c r="AU109" i="9" a="1"/>
  <c r="AU109" i="9"/>
  <c r="AU110" i="9" a="1"/>
  <c r="AU110" i="9" s="1"/>
  <c r="AU111" i="9" a="1"/>
  <c r="AU111" i="9"/>
  <c r="AU112" i="9" a="1"/>
  <c r="AU112" i="9"/>
  <c r="AU113" i="9" a="1"/>
  <c r="AU113" i="9"/>
  <c r="AU114" i="9" a="1"/>
  <c r="AU114" i="9" s="1"/>
  <c r="AU115" i="9" a="1"/>
  <c r="AU115" i="9"/>
  <c r="AU116" i="9" a="1"/>
  <c r="AU116" i="9" s="1"/>
  <c r="AU117" i="9" a="1"/>
  <c r="AU117" i="9"/>
  <c r="AU118" i="9" a="1"/>
  <c r="AU118" i="9"/>
  <c r="AU119" i="9" a="1"/>
  <c r="AU119" i="9"/>
  <c r="AU120" i="9" a="1"/>
  <c r="AU120" i="9" s="1"/>
  <c r="AU121" i="9" a="1"/>
  <c r="AU121" i="9"/>
  <c r="AU122" i="9" a="1"/>
  <c r="AU122" i="9" s="1"/>
  <c r="AU123" i="9" a="1"/>
  <c r="AU123" i="9"/>
  <c r="AU124" i="9" a="1"/>
  <c r="AU124" i="9"/>
  <c r="AU125" i="9" a="1"/>
  <c r="AU125" i="9"/>
  <c r="AU126" i="9" a="1"/>
  <c r="AU126" i="9" s="1"/>
  <c r="AU127" i="9" a="1"/>
  <c r="AU127" i="9"/>
  <c r="AU128" i="9" a="1"/>
  <c r="AU128" i="9" s="1"/>
  <c r="AU129" i="9" a="1"/>
  <c r="AU129" i="9"/>
  <c r="AU130" i="9" a="1"/>
  <c r="AU130" i="9"/>
  <c r="AU131" i="9" a="1"/>
  <c r="AU131" i="9"/>
  <c r="AU132" i="9" a="1"/>
  <c r="AU132" i="9" s="1"/>
  <c r="AU133" i="9" a="1"/>
  <c r="AU133" i="9"/>
  <c r="AU134" i="9" a="1"/>
  <c r="AU134" i="9" s="1"/>
  <c r="AU135" i="9" a="1"/>
  <c r="AU135" i="9"/>
  <c r="AU136" i="9" a="1"/>
  <c r="AU136" i="9"/>
  <c r="AU137" i="9" a="1"/>
  <c r="AU137" i="9"/>
  <c r="AU138" i="9" a="1"/>
  <c r="AU138" i="9" s="1"/>
  <c r="AU139" i="9" a="1"/>
  <c r="AU139" i="9"/>
  <c r="AU140" i="9" a="1"/>
  <c r="AU140" i="9" s="1"/>
  <c r="AU141" i="9" a="1"/>
  <c r="AU141" i="9"/>
  <c r="AU142" i="9" a="1"/>
  <c r="AU142" i="9"/>
  <c r="AU143" i="9" a="1"/>
  <c r="AU143" i="9"/>
  <c r="AU144" i="9" a="1"/>
  <c r="AU144" i="9" s="1"/>
  <c r="AU145" i="9" a="1"/>
  <c r="AU145" i="9"/>
  <c r="AU146" i="9" a="1"/>
  <c r="AU146" i="9" s="1"/>
  <c r="AU147" i="9" a="1"/>
  <c r="AU147" i="9"/>
  <c r="AU148" i="9" a="1"/>
  <c r="AU148" i="9"/>
  <c r="AU149" i="9" a="1"/>
  <c r="AU149" i="9"/>
  <c r="AU150" i="9" a="1"/>
  <c r="AU150" i="9" s="1"/>
  <c r="AU151" i="9" a="1"/>
  <c r="AU151" i="9"/>
  <c r="AU152" i="9" a="1"/>
  <c r="AU152" i="9" s="1"/>
  <c r="AU153" i="9" a="1"/>
  <c r="AU153" i="9"/>
  <c r="AU154" i="9" a="1"/>
  <c r="AU154" i="9"/>
  <c r="AU155" i="9" a="1"/>
  <c r="AU155" i="9"/>
  <c r="AU156" i="9" a="1"/>
  <c r="AU156" i="9" s="1"/>
  <c r="AU11" i="9" a="1"/>
  <c r="AU11" i="9" s="1"/>
  <c r="AR12" i="9" a="1"/>
  <c r="AR12" i="9" s="1"/>
  <c r="AR13" i="9" a="1"/>
  <c r="AR13" i="9" s="1"/>
  <c r="AR14" i="9" a="1"/>
  <c r="AR14" i="9"/>
  <c r="AR15" i="9" a="1"/>
  <c r="AR15" i="9"/>
  <c r="AR16" i="9" a="1"/>
  <c r="AR16" i="9" s="1"/>
  <c r="AR17" i="9" a="1"/>
  <c r="AR17" i="9"/>
  <c r="AR18" i="9" a="1"/>
  <c r="AR18" i="9" s="1"/>
  <c r="AR19" i="9" a="1"/>
  <c r="AR19" i="9" s="1"/>
  <c r="AR20" i="9" a="1"/>
  <c r="AR20" i="9"/>
  <c r="AR21" i="9" a="1"/>
  <c r="AR21" i="9"/>
  <c r="AR22" i="9" a="1"/>
  <c r="AR22" i="9" s="1"/>
  <c r="AR23" i="9" a="1"/>
  <c r="AR23" i="9"/>
  <c r="AR24" i="9" a="1"/>
  <c r="AR24" i="9" s="1"/>
  <c r="AR25" i="9" a="1"/>
  <c r="AR25" i="9" s="1"/>
  <c r="AR26" i="9" a="1"/>
  <c r="AR26" i="9"/>
  <c r="AR27" i="9" a="1"/>
  <c r="AR27" i="9"/>
  <c r="AR28" i="9" a="1"/>
  <c r="AR28" i="9" s="1"/>
  <c r="AR29" i="9" a="1"/>
  <c r="AR29" i="9"/>
  <c r="AR30" i="9" a="1"/>
  <c r="AR30" i="9" s="1"/>
  <c r="AR31" i="9" a="1"/>
  <c r="AR31" i="9" s="1"/>
  <c r="AR32" i="9" a="1"/>
  <c r="AR32" i="9"/>
  <c r="AR33" i="9" a="1"/>
  <c r="AR33" i="9"/>
  <c r="AR34" i="9" a="1"/>
  <c r="AR34" i="9" s="1"/>
  <c r="AR35" i="9" a="1"/>
  <c r="AR35" i="9"/>
  <c r="AR36" i="9" a="1"/>
  <c r="AR36" i="9" s="1"/>
  <c r="AR37" i="9" a="1"/>
  <c r="AR37" i="9" s="1"/>
  <c r="AR38" i="9" a="1"/>
  <c r="AR38" i="9"/>
  <c r="AR39" i="9" a="1"/>
  <c r="AR39" i="9"/>
  <c r="AR40" i="9" a="1"/>
  <c r="AR40" i="9" s="1"/>
  <c r="AR41" i="9" a="1"/>
  <c r="AR41" i="9"/>
  <c r="AR42" i="9" a="1"/>
  <c r="AR42" i="9" s="1"/>
  <c r="AR43" i="9" a="1"/>
  <c r="AR43" i="9" s="1"/>
  <c r="AR44" i="9" a="1"/>
  <c r="AR44" i="9"/>
  <c r="AR45" i="9" a="1"/>
  <c r="AR45" i="9"/>
  <c r="AR46" i="9" a="1"/>
  <c r="AR46" i="9" s="1"/>
  <c r="AR47" i="9" a="1"/>
  <c r="AR47" i="9"/>
  <c r="AR48" i="9" a="1"/>
  <c r="AR48" i="9" s="1"/>
  <c r="AR49" i="9" a="1"/>
  <c r="AR49" i="9" s="1"/>
  <c r="AR50" i="9" a="1"/>
  <c r="AR50" i="9"/>
  <c r="AR51" i="9" a="1"/>
  <c r="AR51" i="9"/>
  <c r="AR52" i="9" a="1"/>
  <c r="AR52" i="9" s="1"/>
  <c r="AR53" i="9" a="1"/>
  <c r="AR53" i="9"/>
  <c r="AR54" i="9" a="1"/>
  <c r="AR54" i="9" s="1"/>
  <c r="AR55" i="9" a="1"/>
  <c r="AR55" i="9" s="1"/>
  <c r="AR56" i="9" a="1"/>
  <c r="AR56" i="9"/>
  <c r="AR57" i="9" a="1"/>
  <c r="AR57" i="9"/>
  <c r="AR58" i="9" a="1"/>
  <c r="AR58" i="9" s="1"/>
  <c r="AR59" i="9" a="1"/>
  <c r="AR59" i="9"/>
  <c r="AR60" i="9" a="1"/>
  <c r="AR60" i="9" s="1"/>
  <c r="AR61" i="9" a="1"/>
  <c r="AR61" i="9" s="1"/>
  <c r="AR62" i="9" a="1"/>
  <c r="AR62" i="9"/>
  <c r="AR63" i="9" a="1"/>
  <c r="AR63" i="9"/>
  <c r="AR64" i="9" a="1"/>
  <c r="AR64" i="9" s="1"/>
  <c r="AR65" i="9" a="1"/>
  <c r="AR65" i="9"/>
  <c r="AR66" i="9" a="1"/>
  <c r="AR66" i="9" s="1"/>
  <c r="AR67" i="9" a="1"/>
  <c r="AR67" i="9" s="1"/>
  <c r="AR68" i="9" a="1"/>
  <c r="AR68" i="9"/>
  <c r="AR69" i="9" a="1"/>
  <c r="AR69" i="9"/>
  <c r="AR70" i="9" a="1"/>
  <c r="AR70" i="9" s="1"/>
  <c r="AR71" i="9" a="1"/>
  <c r="AR71" i="9"/>
  <c r="AR72" i="9" a="1"/>
  <c r="AR72" i="9" s="1"/>
  <c r="AR73" i="9" a="1"/>
  <c r="AR73" i="9" s="1"/>
  <c r="AR74" i="9" a="1"/>
  <c r="AR74" i="9"/>
  <c r="AR75" i="9" a="1"/>
  <c r="AR75" i="9"/>
  <c r="AR76" i="9" a="1"/>
  <c r="AR76" i="9" s="1"/>
  <c r="AR77" i="9" a="1"/>
  <c r="AR77" i="9"/>
  <c r="AR78" i="9" a="1"/>
  <c r="AR78" i="9" s="1"/>
  <c r="AR79" i="9" a="1"/>
  <c r="AR79" i="9" s="1"/>
  <c r="AR80" i="9" a="1"/>
  <c r="AR80" i="9"/>
  <c r="AR81" i="9" a="1"/>
  <c r="AR81" i="9"/>
  <c r="AR82" i="9" a="1"/>
  <c r="AR82" i="9" s="1"/>
  <c r="AR83" i="9" a="1"/>
  <c r="AR83" i="9"/>
  <c r="AR84" i="9" a="1"/>
  <c r="AR84" i="9" s="1"/>
  <c r="AR85" i="9" a="1"/>
  <c r="AR85" i="9" s="1"/>
  <c r="AR86" i="9" a="1"/>
  <c r="AR86" i="9"/>
  <c r="AR87" i="9" a="1"/>
  <c r="AR87" i="9"/>
  <c r="AR88" i="9" a="1"/>
  <c r="AR88" i="9" s="1"/>
  <c r="AR89" i="9" a="1"/>
  <c r="AR89" i="9"/>
  <c r="AR90" i="9" a="1"/>
  <c r="AR90" i="9" s="1"/>
  <c r="AR91" i="9" a="1"/>
  <c r="AR91" i="9" s="1"/>
  <c r="AR92" i="9" a="1"/>
  <c r="AR92" i="9"/>
  <c r="AR93" i="9" a="1"/>
  <c r="AR93" i="9"/>
  <c r="AR94" i="9" a="1"/>
  <c r="AR94" i="9" s="1"/>
  <c r="AR95" i="9" a="1"/>
  <c r="AR95" i="9"/>
  <c r="AR96" i="9" a="1"/>
  <c r="AR96" i="9" s="1"/>
  <c r="AR97" i="9" a="1"/>
  <c r="AR97" i="9" s="1"/>
  <c r="AR98" i="9" a="1"/>
  <c r="AR98" i="9"/>
  <c r="AR99" i="9" a="1"/>
  <c r="AR99" i="9"/>
  <c r="AR100" i="9" a="1"/>
  <c r="AR100" i="9" s="1"/>
  <c r="AR101" i="9" a="1"/>
  <c r="AR101" i="9"/>
  <c r="AR102" i="9" a="1"/>
  <c r="AR102" i="9" s="1"/>
  <c r="AR103" i="9" a="1"/>
  <c r="AR103" i="9" s="1"/>
  <c r="AR104" i="9" a="1"/>
  <c r="AR104" i="9"/>
  <c r="AR105" i="9" a="1"/>
  <c r="AR105" i="9"/>
  <c r="AR106" i="9" a="1"/>
  <c r="AR106" i="9" s="1"/>
  <c r="AR107" i="9" a="1"/>
  <c r="AR107" i="9"/>
  <c r="AR108" i="9" a="1"/>
  <c r="AR108" i="9" s="1"/>
  <c r="AR109" i="9" a="1"/>
  <c r="AR109" i="9" s="1"/>
  <c r="AR110" i="9" a="1"/>
  <c r="AR110" i="9"/>
  <c r="AR111" i="9" a="1"/>
  <c r="AR111" i="9"/>
  <c r="AR112" i="9" a="1"/>
  <c r="AR112" i="9" s="1"/>
  <c r="AR113" i="9" a="1"/>
  <c r="AR113" i="9"/>
  <c r="AR114" i="9" a="1"/>
  <c r="AR114" i="9" s="1"/>
  <c r="AR115" i="9" a="1"/>
  <c r="AR115" i="9" s="1"/>
  <c r="AR116" i="9" a="1"/>
  <c r="AR116" i="9"/>
  <c r="AR117" i="9" a="1"/>
  <c r="AR117" i="9"/>
  <c r="AR118" i="9" a="1"/>
  <c r="AR118" i="9" s="1"/>
  <c r="AR119" i="9" a="1"/>
  <c r="AR119" i="9"/>
  <c r="AR120" i="9" a="1"/>
  <c r="AR120" i="9" s="1"/>
  <c r="AR121" i="9" a="1"/>
  <c r="AR121" i="9" s="1"/>
  <c r="AR122" i="9" a="1"/>
  <c r="AR122" i="9"/>
  <c r="AR123" i="9" a="1"/>
  <c r="AR123" i="9"/>
  <c r="AR124" i="9" a="1"/>
  <c r="AR124" i="9" s="1"/>
  <c r="AR125" i="9" a="1"/>
  <c r="AR125" i="9"/>
  <c r="AR126" i="9" a="1"/>
  <c r="AR126" i="9" s="1"/>
  <c r="AR127" i="9" a="1"/>
  <c r="AR127" i="9" s="1"/>
  <c r="AR128" i="9" a="1"/>
  <c r="AR128" i="9"/>
  <c r="AR129" i="9" a="1"/>
  <c r="AR129" i="9"/>
  <c r="AR130" i="9" a="1"/>
  <c r="AR130" i="9" s="1"/>
  <c r="AR131" i="9" a="1"/>
  <c r="AR131" i="9"/>
  <c r="AR132" i="9" a="1"/>
  <c r="AR132" i="9" s="1"/>
  <c r="AR133" i="9" a="1"/>
  <c r="AR133" i="9" s="1"/>
  <c r="AR134" i="9" a="1"/>
  <c r="AR134" i="9"/>
  <c r="AR135" i="9" a="1"/>
  <c r="AR135" i="9"/>
  <c r="AR136" i="9" a="1"/>
  <c r="AR136" i="9" s="1"/>
  <c r="AR137" i="9" a="1"/>
  <c r="AR137" i="9"/>
  <c r="AR138" i="9" a="1"/>
  <c r="AR138" i="9" s="1"/>
  <c r="AR139" i="9" a="1"/>
  <c r="AR139" i="9" s="1"/>
  <c r="AR140" i="9" a="1"/>
  <c r="AR140" i="9"/>
  <c r="AR141" i="9" a="1"/>
  <c r="AR141" i="9"/>
  <c r="AR142" i="9" a="1"/>
  <c r="AR142" i="9" s="1"/>
  <c r="AR143" i="9" a="1"/>
  <c r="AR143" i="9"/>
  <c r="AR144" i="9" a="1"/>
  <c r="AR144" i="9" s="1"/>
  <c r="AR145" i="9" a="1"/>
  <c r="AR145" i="9" s="1"/>
  <c r="AR146" i="9" a="1"/>
  <c r="AR146" i="9"/>
  <c r="AR147" i="9" a="1"/>
  <c r="AR147" i="9"/>
  <c r="AR148" i="9" a="1"/>
  <c r="AR148" i="9" s="1"/>
  <c r="AR149" i="9" a="1"/>
  <c r="AR149" i="9"/>
  <c r="AR150" i="9" a="1"/>
  <c r="AR150" i="9" s="1"/>
  <c r="AR151" i="9" a="1"/>
  <c r="AR151" i="9" s="1"/>
  <c r="AR152" i="9" a="1"/>
  <c r="AR152" i="9"/>
  <c r="AR153" i="9" a="1"/>
  <c r="AR153" i="9"/>
  <c r="AR154" i="9" a="1"/>
  <c r="AR154" i="9" s="1"/>
  <c r="AR155" i="9" a="1"/>
  <c r="AR155" i="9"/>
  <c r="AR156" i="9" a="1"/>
  <c r="AR156" i="9" s="1"/>
  <c r="AR11" i="9" a="1"/>
  <c r="AR11" i="9" s="1"/>
  <c r="Y162" i="9"/>
  <c r="Z162" i="9"/>
  <c r="AA162" i="9"/>
  <c r="AB162" i="9"/>
  <c r="AC162" i="9"/>
  <c r="AC163" i="9" s="1"/>
  <c r="AC164" i="9" s="1"/>
  <c r="AD162" i="9"/>
  <c r="AE162" i="9"/>
  <c r="AF162" i="9"/>
  <c r="AG162" i="9"/>
  <c r="AH162" i="9"/>
  <c r="AI162" i="9"/>
  <c r="AJ162" i="9"/>
  <c r="AK162" i="9"/>
  <c r="AL162" i="9"/>
  <c r="AM162" i="9"/>
  <c r="AN162" i="9"/>
  <c r="AO162" i="9"/>
  <c r="AP162" i="9"/>
  <c r="AQ162" i="9"/>
  <c r="X162" i="9"/>
  <c r="AQ160" i="9"/>
  <c r="Y160" i="9"/>
  <c r="Z160" i="9"/>
  <c r="AA160" i="9"/>
  <c r="AB160" i="9"/>
  <c r="AC160" i="9"/>
  <c r="AD160" i="9"/>
  <c r="AD163" i="9" s="1"/>
  <c r="AD164" i="9" s="1"/>
  <c r="AE160" i="9"/>
  <c r="AE163" i="9" s="1"/>
  <c r="AE164" i="9" s="1"/>
  <c r="AF160" i="9"/>
  <c r="AG160" i="9"/>
  <c r="AH160" i="9"/>
  <c r="AI160" i="9"/>
  <c r="AJ160" i="9"/>
  <c r="AK160" i="9"/>
  <c r="AL160" i="9"/>
  <c r="AM160" i="9"/>
  <c r="AN160" i="9"/>
  <c r="AO160" i="9"/>
  <c r="AO163" i="9" s="1"/>
  <c r="AO164" i="9" s="1"/>
  <c r="AP160" i="9"/>
  <c r="AP163" i="9" s="1"/>
  <c r="AP164" i="9" s="1"/>
  <c r="X160" i="9"/>
  <c r="Y159" i="9"/>
  <c r="Z159" i="9"/>
  <c r="AA159" i="9"/>
  <c r="AB159" i="9"/>
  <c r="AC159" i="9"/>
  <c r="AD159" i="9"/>
  <c r="AE159" i="9"/>
  <c r="AF159" i="9"/>
  <c r="AG159" i="9"/>
  <c r="AH159" i="9"/>
  <c r="AI159" i="9"/>
  <c r="AJ159" i="9"/>
  <c r="AK159" i="9"/>
  <c r="AL159" i="9"/>
  <c r="AM159" i="9"/>
  <c r="AN159" i="9"/>
  <c r="AO159" i="9"/>
  <c r="AP159" i="9"/>
  <c r="AQ159" i="9"/>
  <c r="X159" i="9"/>
  <c r="C162" i="9"/>
  <c r="D162" i="9"/>
  <c r="E162" i="9"/>
  <c r="F162" i="9"/>
  <c r="G162" i="9"/>
  <c r="H162" i="9"/>
  <c r="I162" i="9"/>
  <c r="J162" i="9"/>
  <c r="K162" i="9"/>
  <c r="L162" i="9"/>
  <c r="M162" i="9"/>
  <c r="N162" i="9"/>
  <c r="O162" i="9"/>
  <c r="P162" i="9"/>
  <c r="P163" i="9" s="1"/>
  <c r="P164" i="9" s="1"/>
  <c r="Q162" i="9"/>
  <c r="R162" i="9"/>
  <c r="S162" i="9"/>
  <c r="T162" i="9"/>
  <c r="T163" i="9" s="1"/>
  <c r="T164" i="9" s="1"/>
  <c r="U162" i="9"/>
  <c r="U163" i="9" s="1"/>
  <c r="U164" i="9" s="1"/>
  <c r="B162" i="9"/>
  <c r="C160" i="9"/>
  <c r="D160" i="9"/>
  <c r="E160" i="9"/>
  <c r="E163" i="9" s="1"/>
  <c r="E164" i="9" s="1"/>
  <c r="F160" i="9"/>
  <c r="F163" i="9" s="1"/>
  <c r="F164" i="9" s="1"/>
  <c r="G160" i="9"/>
  <c r="G163" i="9" s="1"/>
  <c r="G164" i="9" s="1"/>
  <c r="H160" i="9"/>
  <c r="I160" i="9"/>
  <c r="J160" i="9"/>
  <c r="K160" i="9"/>
  <c r="L160" i="9"/>
  <c r="M160" i="9"/>
  <c r="M163" i="9" s="1"/>
  <c r="M164" i="9" s="1"/>
  <c r="N160" i="9"/>
  <c r="N163" i="9" s="1"/>
  <c r="N164" i="9" s="1"/>
  <c r="O160" i="9"/>
  <c r="P160" i="9"/>
  <c r="Q160" i="9"/>
  <c r="Q163" i="9" s="1"/>
  <c r="Q164" i="9" s="1"/>
  <c r="R160" i="9"/>
  <c r="R163" i="9" s="1"/>
  <c r="R164" i="9" s="1"/>
  <c r="S160" i="9"/>
  <c r="T160" i="9"/>
  <c r="U160" i="9"/>
  <c r="B160" i="9"/>
  <c r="B163" i="9" s="1"/>
  <c r="C159" i="9"/>
  <c r="D159" i="9"/>
  <c r="E159" i="9"/>
  <c r="F159" i="9"/>
  <c r="G159" i="9"/>
  <c r="H159" i="9"/>
  <c r="I159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B159" i="9"/>
  <c r="S163" i="9"/>
  <c r="S164" i="9" s="1"/>
  <c r="I163" i="9"/>
  <c r="I164" i="9" s="1"/>
  <c r="AM163" i="9"/>
  <c r="AA163" i="9"/>
  <c r="Z163" i="9"/>
  <c r="H163" i="9"/>
  <c r="H164" i="9" s="1"/>
  <c r="AQ163" i="9"/>
  <c r="AQ164" i="9" s="1"/>
  <c r="O163" i="9"/>
  <c r="O164" i="9" s="1"/>
  <c r="D163" i="9"/>
  <c r="D164" i="9" s="1"/>
  <c r="C163" i="9"/>
  <c r="C164" i="9" s="1"/>
  <c r="AU12" i="11" a="1"/>
  <c r="AU12" i="11" s="1"/>
  <c r="AU13" i="11" a="1"/>
  <c r="AU13" i="11" s="1"/>
  <c r="AU14" i="11" a="1"/>
  <c r="AU14" i="11" s="1"/>
  <c r="AU15" i="11" a="1"/>
  <c r="AU15" i="11"/>
  <c r="AU16" i="11" a="1"/>
  <c r="AU16" i="11" s="1"/>
  <c r="AV16" i="11" s="1"/>
  <c r="AW16" i="11" s="1"/>
  <c r="AX16" i="11" s="1"/>
  <c r="AU17" i="11" a="1"/>
  <c r="AU17" i="11" s="1"/>
  <c r="AU18" i="11" a="1"/>
  <c r="AU18" i="11" s="1"/>
  <c r="AU19" i="11" a="1"/>
  <c r="AU19" i="11" s="1"/>
  <c r="AU20" i="11" a="1"/>
  <c r="AU20" i="11" s="1"/>
  <c r="AU21" i="11" a="1"/>
  <c r="AU21" i="11" s="1"/>
  <c r="AV21" i="11" s="1"/>
  <c r="AW21" i="11" s="1"/>
  <c r="AX21" i="11" s="1"/>
  <c r="AU22" i="11" a="1"/>
  <c r="AU22" i="11" s="1"/>
  <c r="AU23" i="11" a="1"/>
  <c r="AU23" i="11" s="1"/>
  <c r="AU24" i="11" a="1"/>
  <c r="AU24" i="11" s="1"/>
  <c r="AU25" i="11" a="1"/>
  <c r="AU25" i="11"/>
  <c r="AU26" i="11" a="1"/>
  <c r="AU26" i="11" s="1"/>
  <c r="AU27" i="11" a="1"/>
  <c r="AU27" i="11" s="1"/>
  <c r="AV27" i="11" s="1"/>
  <c r="AW27" i="11" s="1"/>
  <c r="AX27" i="11" s="1"/>
  <c r="AU28" i="11" a="1"/>
  <c r="AU28" i="11" s="1"/>
  <c r="AU29" i="11" a="1"/>
  <c r="AU29" i="11" s="1"/>
  <c r="AU30" i="11" a="1"/>
  <c r="AU30" i="11" s="1"/>
  <c r="AU31" i="11" a="1"/>
  <c r="AU31" i="11"/>
  <c r="AU32" i="11" a="1"/>
  <c r="AU32" i="11" s="1"/>
  <c r="AV32" i="11" s="1"/>
  <c r="AW32" i="11" s="1"/>
  <c r="AX32" i="11" s="1"/>
  <c r="AU33" i="11" a="1"/>
  <c r="AU33" i="11"/>
  <c r="AU34" i="11" a="1"/>
  <c r="AU34" i="11"/>
  <c r="AV34" i="11" s="1"/>
  <c r="AW34" i="11" s="1"/>
  <c r="AX34" i="11" s="1"/>
  <c r="AU35" i="11" a="1"/>
  <c r="AU35" i="11" s="1"/>
  <c r="AU36" i="11" a="1"/>
  <c r="AU36" i="11" s="1"/>
  <c r="AU37" i="11" a="1"/>
  <c r="AU37" i="11" s="1"/>
  <c r="AV38" i="11" s="1"/>
  <c r="AW38" i="11" s="1"/>
  <c r="AX38" i="11" s="1"/>
  <c r="AU38" i="11" a="1"/>
  <c r="AU38" i="11"/>
  <c r="AU39" i="11" a="1"/>
  <c r="AU39" i="11" s="1"/>
  <c r="AV39" i="11" s="1"/>
  <c r="AW39" i="11" s="1"/>
  <c r="AX39" i="11" s="1"/>
  <c r="AU40" i="11" a="1"/>
  <c r="AU40" i="11" s="1"/>
  <c r="AV40" i="11" s="1"/>
  <c r="AW40" i="11" s="1"/>
  <c r="AX40" i="11" s="1"/>
  <c r="AU41" i="11" a="1"/>
  <c r="AU41" i="11" s="1"/>
  <c r="AU42" i="11" a="1"/>
  <c r="AU42" i="11" s="1"/>
  <c r="AU43" i="11" a="1"/>
  <c r="AU43" i="11" s="1"/>
  <c r="AU44" i="11" a="1"/>
  <c r="AU44" i="11" s="1"/>
  <c r="AU45" i="11" a="1"/>
  <c r="AU45" i="11"/>
  <c r="AU46" i="11" a="1"/>
  <c r="AU46" i="11" s="1"/>
  <c r="AV46" i="11" s="1"/>
  <c r="AW46" i="11" s="1"/>
  <c r="AX46" i="11" s="1"/>
  <c r="AU47" i="11" a="1"/>
  <c r="AU47" i="11" s="1"/>
  <c r="AU48" i="11" a="1"/>
  <c r="AU48" i="11" s="1"/>
  <c r="AU49" i="11" a="1"/>
  <c r="AU49" i="11"/>
  <c r="AU50" i="11" a="1"/>
  <c r="AU50" i="11" s="1"/>
  <c r="AU51" i="11" a="1"/>
  <c r="AU51" i="11" s="1"/>
  <c r="AV51" i="11" s="1"/>
  <c r="AW51" i="11" s="1"/>
  <c r="AX51" i="11" s="1"/>
  <c r="AU52" i="11" a="1"/>
  <c r="AU52" i="11"/>
  <c r="AU53" i="11" a="1"/>
  <c r="AU53" i="11" s="1"/>
  <c r="AU54" i="11" a="1"/>
  <c r="AU54" i="11" s="1"/>
  <c r="AU55" i="11" a="1"/>
  <c r="AU55" i="11" s="1"/>
  <c r="AU56" i="11" a="1"/>
  <c r="AU56" i="11"/>
  <c r="AU57" i="11" a="1"/>
  <c r="AU57" i="11" s="1"/>
  <c r="AU58" i="11" a="1"/>
  <c r="AU58" i="11" s="1"/>
  <c r="AU59" i="11" a="1"/>
  <c r="AU59" i="11" s="1"/>
  <c r="AU60" i="11" a="1"/>
  <c r="AU60" i="11" s="1"/>
  <c r="AV60" i="11" s="1"/>
  <c r="AW60" i="11" s="1"/>
  <c r="AX60" i="11" s="1"/>
  <c r="AU61" i="11" a="1"/>
  <c r="AU61" i="11" s="1"/>
  <c r="AV62" i="11" s="1"/>
  <c r="AW62" i="11" s="1"/>
  <c r="AX62" i="11" s="1"/>
  <c r="AU62" i="11" a="1"/>
  <c r="AU62" i="11"/>
  <c r="AU63" i="11" a="1"/>
  <c r="AU63" i="11" s="1"/>
  <c r="AV63" i="11" s="1"/>
  <c r="AW63" i="11" s="1"/>
  <c r="AX63" i="11" s="1"/>
  <c r="AU64" i="11" a="1"/>
  <c r="AU64" i="11" s="1"/>
  <c r="AU65" i="11" a="1"/>
  <c r="AU65" i="11" s="1"/>
  <c r="AU66" i="11" a="1"/>
  <c r="AU66" i="11" s="1"/>
  <c r="AU67" i="11" a="1"/>
  <c r="AU67" i="11" s="1"/>
  <c r="AU68" i="11" a="1"/>
  <c r="AU68" i="11" s="1"/>
  <c r="AU69" i="11" a="1"/>
  <c r="AU69" i="11" s="1"/>
  <c r="AU70" i="11" a="1"/>
  <c r="AU70" i="11" s="1"/>
  <c r="AV70" i="11" s="1"/>
  <c r="AW70" i="11" s="1"/>
  <c r="AX70" i="11" s="1"/>
  <c r="AU71" i="11" a="1"/>
  <c r="AU71" i="11" s="1"/>
  <c r="AU72" i="11" a="1"/>
  <c r="AU72" i="11" s="1"/>
  <c r="AU73" i="11" a="1"/>
  <c r="AU73" i="11" s="1"/>
  <c r="AU74" i="11" a="1"/>
  <c r="AU74" i="11" s="1"/>
  <c r="AU75" i="11" a="1"/>
  <c r="AU75" i="11"/>
  <c r="AU76" i="11" a="1"/>
  <c r="AU76" i="11" s="1"/>
  <c r="AV76" i="11" s="1"/>
  <c r="AW76" i="11" s="1"/>
  <c r="AX76" i="11" s="1"/>
  <c r="AU77" i="11" a="1"/>
  <c r="AU77" i="11" s="1"/>
  <c r="AU78" i="11" a="1"/>
  <c r="AU78" i="11" s="1"/>
  <c r="AU79" i="11" a="1"/>
  <c r="AU79" i="11" s="1"/>
  <c r="AU80" i="11" a="1"/>
  <c r="AU80" i="11" s="1"/>
  <c r="AU81" i="11" a="1"/>
  <c r="AU81" i="11" s="1"/>
  <c r="AU82" i="11" a="1"/>
  <c r="AU82" i="11" s="1"/>
  <c r="AU83" i="11" a="1"/>
  <c r="AU83" i="11" s="1"/>
  <c r="AU84" i="11" a="1"/>
  <c r="AU84" i="11" s="1"/>
  <c r="AV84" i="11" s="1"/>
  <c r="AW84" i="11" s="1"/>
  <c r="AX84" i="11" s="1"/>
  <c r="AU85" i="11" a="1"/>
  <c r="AU85" i="11"/>
  <c r="AU86" i="11" a="1"/>
  <c r="AU86" i="11" s="1"/>
  <c r="AU87" i="11" a="1"/>
  <c r="AU87" i="11" s="1"/>
  <c r="AU88" i="11" a="1"/>
  <c r="AU88" i="11" s="1"/>
  <c r="AU89" i="11" a="1"/>
  <c r="AU89" i="11" s="1"/>
  <c r="AU90" i="11" a="1"/>
  <c r="AU90" i="11"/>
  <c r="AU91" i="11" a="1"/>
  <c r="AU91" i="11" s="1"/>
  <c r="AU92" i="11" a="1"/>
  <c r="AU92" i="11" s="1"/>
  <c r="AU93" i="11" a="1"/>
  <c r="AU93" i="11" s="1"/>
  <c r="AV93" i="11" s="1"/>
  <c r="AW93" i="11" s="1"/>
  <c r="AX93" i="11" s="1"/>
  <c r="AU94" i="11" a="1"/>
  <c r="AU94" i="11" s="1"/>
  <c r="AV94" i="11" s="1"/>
  <c r="AW94" i="11" s="1"/>
  <c r="AX94" i="11" s="1"/>
  <c r="AU95" i="11" a="1"/>
  <c r="AU95" i="11" s="1"/>
  <c r="AU96" i="11" a="1"/>
  <c r="AU96" i="11" s="1"/>
  <c r="AU97" i="11" a="1"/>
  <c r="AU97" i="11" s="1"/>
  <c r="AV97" i="11" s="1"/>
  <c r="AW97" i="11" s="1"/>
  <c r="AX97" i="11" s="1"/>
  <c r="AU98" i="11" a="1"/>
  <c r="AU98" i="11" s="1"/>
  <c r="AU99" i="11" a="1"/>
  <c r="AU99" i="11" s="1"/>
  <c r="AU100" i="11" a="1"/>
  <c r="AU100" i="11"/>
  <c r="AU101" i="11" a="1"/>
  <c r="AU101" i="11" s="1"/>
  <c r="AU102" i="11" a="1"/>
  <c r="AU102" i="11"/>
  <c r="AU103" i="11" a="1"/>
  <c r="AU103" i="11" s="1"/>
  <c r="AV103" i="11" s="1"/>
  <c r="AW103" i="11" s="1"/>
  <c r="AX103" i="11" s="1"/>
  <c r="AU104" i="11" a="1"/>
  <c r="AU104" i="11" s="1"/>
  <c r="AU105" i="11" a="1"/>
  <c r="AU105" i="11" s="1"/>
  <c r="AU106" i="11" a="1"/>
  <c r="AU106" i="11" s="1"/>
  <c r="AU107" i="11" a="1"/>
  <c r="AU107" i="11" s="1"/>
  <c r="AU108" i="11" a="1"/>
  <c r="AU108" i="11" s="1"/>
  <c r="AU109" i="11" a="1"/>
  <c r="AU109" i="11" s="1"/>
  <c r="AU110" i="11" a="1"/>
  <c r="AU110" i="11" s="1"/>
  <c r="AU111" i="11" a="1"/>
  <c r="AU111" i="11" s="1"/>
  <c r="AU112" i="11" a="1"/>
  <c r="AU112" i="11"/>
  <c r="AU113" i="11" a="1"/>
  <c r="AU113" i="11" s="1"/>
  <c r="AU114" i="11" a="1"/>
  <c r="AU114" i="11" s="1"/>
  <c r="AU115" i="11" a="1"/>
  <c r="AU115" i="11"/>
  <c r="AU116" i="11" a="1"/>
  <c r="AU116" i="11" s="1"/>
  <c r="AU117" i="11" a="1"/>
  <c r="AU117" i="11" s="1"/>
  <c r="AU118" i="11" a="1"/>
  <c r="AU118" i="11" s="1"/>
  <c r="AU119" i="11" a="1"/>
  <c r="AU119" i="11" s="1"/>
  <c r="AU120" i="11" a="1"/>
  <c r="AU120" i="11" s="1"/>
  <c r="AU121" i="11" a="1"/>
  <c r="AU121" i="11" s="1"/>
  <c r="AU122" i="11" a="1"/>
  <c r="AU122" i="11" s="1"/>
  <c r="AU123" i="11" a="1"/>
  <c r="AU123" i="11" s="1"/>
  <c r="AU124" i="11" a="1"/>
  <c r="AU124" i="11" s="1"/>
  <c r="AU125" i="11" a="1"/>
  <c r="AU125" i="11" s="1"/>
  <c r="AU126" i="11" a="1"/>
  <c r="AU126" i="11" s="1"/>
  <c r="AU127" i="11" a="1"/>
  <c r="AU127" i="11" s="1"/>
  <c r="AV127" i="11" s="1"/>
  <c r="AW127" i="11" s="1"/>
  <c r="AX127" i="11" s="1"/>
  <c r="AU128" i="11" a="1"/>
  <c r="AU128" i="11" s="1"/>
  <c r="AU129" i="11" a="1"/>
  <c r="AU129" i="11" s="1"/>
  <c r="AU130" i="11" a="1"/>
  <c r="AU130" i="11" s="1"/>
  <c r="AU131" i="11" a="1"/>
  <c r="AU131" i="11" s="1"/>
  <c r="AU132" i="11" a="1"/>
  <c r="AU132" i="11" s="1"/>
  <c r="AU133" i="11" a="1"/>
  <c r="AU133" i="11" s="1"/>
  <c r="AU134" i="11" a="1"/>
  <c r="AU134" i="11" s="1"/>
  <c r="AV134" i="11" s="1"/>
  <c r="AW134" i="11" s="1"/>
  <c r="AX134" i="11" s="1"/>
  <c r="AU135" i="11" a="1"/>
  <c r="AU135" i="11"/>
  <c r="AU136" i="11" a="1"/>
  <c r="AU136" i="11" s="1"/>
  <c r="AU137" i="11" a="1"/>
  <c r="AU137" i="11" s="1"/>
  <c r="AU138" i="11" a="1"/>
  <c r="AU138" i="11" s="1"/>
  <c r="AU139" i="11" a="1"/>
  <c r="AU139" i="11" s="1"/>
  <c r="AU140" i="11" a="1"/>
  <c r="AU140" i="11"/>
  <c r="AV140" i="11" s="1"/>
  <c r="AW140" i="11" s="1"/>
  <c r="AX140" i="11" s="1"/>
  <c r="AU141" i="11" a="1"/>
  <c r="AU141" i="11" s="1"/>
  <c r="AU142" i="11" a="1"/>
  <c r="AU142" i="11" s="1"/>
  <c r="AU143" i="11" a="1"/>
  <c r="AU143" i="11"/>
  <c r="AU144" i="11" a="1"/>
  <c r="AU144" i="11" s="1"/>
  <c r="AV144" i="11" s="1"/>
  <c r="AW144" i="11" s="1"/>
  <c r="AX144" i="11" s="1"/>
  <c r="AU145" i="11" a="1"/>
  <c r="AU145" i="11" s="1"/>
  <c r="AU146" i="11" a="1"/>
  <c r="AU146" i="11" s="1"/>
  <c r="AU147" i="11" a="1"/>
  <c r="AU147" i="11" s="1"/>
  <c r="AU148" i="11" a="1"/>
  <c r="AU148" i="11" s="1"/>
  <c r="AU149" i="11" a="1"/>
  <c r="AU149" i="11" s="1"/>
  <c r="AU150" i="11" a="1"/>
  <c r="AU150" i="11" s="1"/>
  <c r="AU151" i="11" a="1"/>
  <c r="AU151" i="11" s="1"/>
  <c r="AU152" i="11" a="1"/>
  <c r="AU152" i="11" s="1"/>
  <c r="AU153" i="11" a="1"/>
  <c r="AU153" i="11"/>
  <c r="AV153" i="11" s="1"/>
  <c r="AW153" i="11" s="1"/>
  <c r="AX153" i="11" s="1"/>
  <c r="AU154" i="11" a="1"/>
  <c r="AU154" i="11" s="1"/>
  <c r="AU155" i="11" a="1"/>
  <c r="AU155" i="11"/>
  <c r="AV155" i="11" s="1"/>
  <c r="AW155" i="11" s="1"/>
  <c r="AX155" i="11" s="1"/>
  <c r="AU156" i="11" a="1"/>
  <c r="AU156" i="11" s="1"/>
  <c r="AU11" i="11" a="1"/>
  <c r="AU11" i="11" s="1"/>
  <c r="AT147" i="11"/>
  <c r="AT148" i="11"/>
  <c r="AT149" i="11"/>
  <c r="AT150" i="11"/>
  <c r="AT151" i="11"/>
  <c r="AT152" i="11"/>
  <c r="AT153" i="11"/>
  <c r="AT154" i="11"/>
  <c r="AT155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30" i="11"/>
  <c r="AS31" i="11"/>
  <c r="AS32" i="11"/>
  <c r="AS33" i="11"/>
  <c r="AS34" i="11"/>
  <c r="AS35" i="11"/>
  <c r="AS36" i="11"/>
  <c r="AS37" i="11"/>
  <c r="AS38" i="11"/>
  <c r="AS39" i="11"/>
  <c r="AS40" i="11"/>
  <c r="AS41" i="11"/>
  <c r="AS42" i="11"/>
  <c r="AS43" i="11"/>
  <c r="AS44" i="11"/>
  <c r="AS45" i="11"/>
  <c r="AS46" i="11"/>
  <c r="AS47" i="11"/>
  <c r="AS48" i="11"/>
  <c r="AS49" i="11"/>
  <c r="AS50" i="11"/>
  <c r="AS51" i="11"/>
  <c r="AS52" i="11"/>
  <c r="AS53" i="11"/>
  <c r="AS54" i="11"/>
  <c r="AS55" i="11"/>
  <c r="AS56" i="11"/>
  <c r="AS57" i="11"/>
  <c r="AS58" i="11"/>
  <c r="AS59" i="11"/>
  <c r="AS60" i="11"/>
  <c r="AS61" i="11"/>
  <c r="AS62" i="11"/>
  <c r="AS63" i="11"/>
  <c r="AS64" i="11"/>
  <c r="AS65" i="11"/>
  <c r="AS66" i="11"/>
  <c r="AS67" i="11"/>
  <c r="AS68" i="11"/>
  <c r="AS69" i="11"/>
  <c r="AS70" i="11"/>
  <c r="AS71" i="11"/>
  <c r="AS72" i="11"/>
  <c r="AS73" i="11"/>
  <c r="AS74" i="11"/>
  <c r="AS75" i="11"/>
  <c r="AS76" i="11"/>
  <c r="AS77" i="11"/>
  <c r="AS78" i="11"/>
  <c r="AS79" i="11"/>
  <c r="AS80" i="11"/>
  <c r="AS81" i="11"/>
  <c r="AS82" i="11"/>
  <c r="AS83" i="11"/>
  <c r="AS84" i="11"/>
  <c r="AS85" i="11"/>
  <c r="AS86" i="11"/>
  <c r="AS87" i="11"/>
  <c r="AS88" i="11"/>
  <c r="AS89" i="11"/>
  <c r="AS90" i="11"/>
  <c r="AS91" i="11"/>
  <c r="AS92" i="11"/>
  <c r="AS93" i="11"/>
  <c r="AS94" i="11"/>
  <c r="AS95" i="11"/>
  <c r="AS96" i="11"/>
  <c r="AS97" i="11"/>
  <c r="AS98" i="11"/>
  <c r="AS99" i="11"/>
  <c r="AS100" i="11"/>
  <c r="AS101" i="11"/>
  <c r="AS102" i="11"/>
  <c r="AS103" i="11"/>
  <c r="AS104" i="11"/>
  <c r="AS105" i="11"/>
  <c r="AS106" i="11"/>
  <c r="AS107" i="11"/>
  <c r="AS108" i="11"/>
  <c r="AS109" i="11"/>
  <c r="AS110" i="11"/>
  <c r="AS111" i="11"/>
  <c r="AS112" i="11"/>
  <c r="AS113" i="11"/>
  <c r="AS114" i="11"/>
  <c r="AS115" i="11"/>
  <c r="AS116" i="11"/>
  <c r="AS117" i="11"/>
  <c r="AS118" i="11"/>
  <c r="AS119" i="11"/>
  <c r="AS120" i="11"/>
  <c r="AS121" i="11"/>
  <c r="AS122" i="11"/>
  <c r="AS123" i="11"/>
  <c r="AS124" i="11"/>
  <c r="AS125" i="11"/>
  <c r="AS126" i="11"/>
  <c r="AS127" i="11"/>
  <c r="AS128" i="11"/>
  <c r="AS129" i="11"/>
  <c r="AS130" i="11"/>
  <c r="AS131" i="11"/>
  <c r="AS132" i="11"/>
  <c r="AS133" i="11"/>
  <c r="AS134" i="11"/>
  <c r="AS135" i="11"/>
  <c r="AS136" i="11"/>
  <c r="AS137" i="11"/>
  <c r="AS138" i="11"/>
  <c r="AS139" i="11"/>
  <c r="AS140" i="11"/>
  <c r="AS141" i="11"/>
  <c r="AS142" i="11"/>
  <c r="AS143" i="11"/>
  <c r="AS144" i="11"/>
  <c r="AS145" i="11"/>
  <c r="AS146" i="11"/>
  <c r="AS147" i="11"/>
  <c r="AS148" i="11"/>
  <c r="AS149" i="11"/>
  <c r="AS150" i="11"/>
  <c r="AS151" i="11"/>
  <c r="AS152" i="11"/>
  <c r="AS153" i="11"/>
  <c r="AS154" i="11"/>
  <c r="AS155" i="11"/>
  <c r="AS12" i="11"/>
  <c r="AR156" i="11" a="1"/>
  <c r="AR156" i="11" s="1"/>
  <c r="AT156" i="11" s="1"/>
  <c r="AR12" i="11" a="1"/>
  <c r="AR12" i="11"/>
  <c r="AR13" i="11" a="1"/>
  <c r="AR13" i="11"/>
  <c r="AR14" i="11" a="1"/>
  <c r="AR14" i="11" s="1"/>
  <c r="AR15" i="11" a="1"/>
  <c r="AR15" i="11"/>
  <c r="AR16" i="11" a="1"/>
  <c r="AR16" i="11"/>
  <c r="AR17" i="11" a="1"/>
  <c r="AR17" i="11"/>
  <c r="AR18" i="11" a="1"/>
  <c r="AR18" i="11"/>
  <c r="AR19" i="11" a="1"/>
  <c r="AR19" i="11"/>
  <c r="AR20" i="11" a="1"/>
  <c r="AR20" i="11" s="1"/>
  <c r="AR21" i="11" a="1"/>
  <c r="AR21" i="11"/>
  <c r="AR22" i="11" a="1"/>
  <c r="AR22" i="11"/>
  <c r="AR23" i="11" a="1"/>
  <c r="AR23" i="11"/>
  <c r="AR24" i="11" a="1"/>
  <c r="AR24" i="11"/>
  <c r="AR25" i="11" a="1"/>
  <c r="AR25" i="11"/>
  <c r="AR26" i="11" a="1"/>
  <c r="AR26" i="11" s="1"/>
  <c r="AR27" i="11" a="1"/>
  <c r="AR27" i="11"/>
  <c r="AR28" i="11" a="1"/>
  <c r="AR28" i="11"/>
  <c r="AR29" i="11" a="1"/>
  <c r="AR29" i="11"/>
  <c r="AR30" i="11" a="1"/>
  <c r="AR30" i="11"/>
  <c r="AR31" i="11" a="1"/>
  <c r="AR31" i="11"/>
  <c r="AR32" i="11" a="1"/>
  <c r="AR32" i="11" s="1"/>
  <c r="AR33" i="11" a="1"/>
  <c r="AR33" i="11"/>
  <c r="AR34" i="11" a="1"/>
  <c r="AR34" i="11"/>
  <c r="AR35" i="11" a="1"/>
  <c r="AR35" i="11"/>
  <c r="AR36" i="11" a="1"/>
  <c r="AR36" i="11"/>
  <c r="AR37" i="11" a="1"/>
  <c r="AR37" i="11"/>
  <c r="AR38" i="11" a="1"/>
  <c r="AR38" i="11" s="1"/>
  <c r="AR39" i="11" a="1"/>
  <c r="AR39" i="11"/>
  <c r="AR40" i="11" a="1"/>
  <c r="AR40" i="11"/>
  <c r="AR41" i="11" a="1"/>
  <c r="AR41" i="11"/>
  <c r="AR42" i="11" a="1"/>
  <c r="AR42" i="11"/>
  <c r="AR43" i="11" a="1"/>
  <c r="AR43" i="11"/>
  <c r="AR44" i="11" a="1"/>
  <c r="AR44" i="11" s="1"/>
  <c r="AR45" i="11" a="1"/>
  <c r="AR45" i="11"/>
  <c r="AR46" i="11" a="1"/>
  <c r="AR46" i="11"/>
  <c r="AR47" i="11" a="1"/>
  <c r="AR47" i="11"/>
  <c r="AR48" i="11" a="1"/>
  <c r="AR48" i="11" s="1"/>
  <c r="AR49" i="11" a="1"/>
  <c r="AR49" i="11"/>
  <c r="AR50" i="11" a="1"/>
  <c r="AR50" i="11" s="1"/>
  <c r="AR51" i="11" a="1"/>
  <c r="AR51" i="11"/>
  <c r="AR52" i="11" a="1"/>
  <c r="AR52" i="11"/>
  <c r="AR53" i="11" a="1"/>
  <c r="AR53" i="11"/>
  <c r="AR54" i="11" a="1"/>
  <c r="AR54" i="11" s="1"/>
  <c r="AR55" i="11" a="1"/>
  <c r="AR55" i="11"/>
  <c r="AR56" i="11" a="1"/>
  <c r="AR56" i="11" s="1"/>
  <c r="AR57" i="11" a="1"/>
  <c r="AR57" i="11"/>
  <c r="AR58" i="11" a="1"/>
  <c r="AR58" i="11"/>
  <c r="AR59" i="11" a="1"/>
  <c r="AR59" i="11"/>
  <c r="AR60" i="11" a="1"/>
  <c r="AR60" i="11" s="1"/>
  <c r="AR61" i="11" a="1"/>
  <c r="AR61" i="11"/>
  <c r="AR62" i="11" a="1"/>
  <c r="AR62" i="11" s="1"/>
  <c r="AR63" i="11" a="1"/>
  <c r="AR63" i="11"/>
  <c r="AR64" i="11" a="1"/>
  <c r="AR64" i="11"/>
  <c r="AR65" i="11" a="1"/>
  <c r="AR65" i="11"/>
  <c r="AR66" i="11" a="1"/>
  <c r="AR66" i="11" s="1"/>
  <c r="AR67" i="11" a="1"/>
  <c r="AR67" i="11"/>
  <c r="AR68" i="11" a="1"/>
  <c r="AR68" i="11" s="1"/>
  <c r="AR69" i="11" a="1"/>
  <c r="AR69" i="11"/>
  <c r="AR70" i="11" a="1"/>
  <c r="AR70" i="11"/>
  <c r="AR71" i="11" a="1"/>
  <c r="AR71" i="11"/>
  <c r="AR72" i="11" a="1"/>
  <c r="AR72" i="11" s="1"/>
  <c r="AR73" i="11" a="1"/>
  <c r="AR73" i="11" s="1"/>
  <c r="AR74" i="11" a="1"/>
  <c r="AR74" i="11" s="1"/>
  <c r="AR75" i="11" a="1"/>
  <c r="AR75" i="11"/>
  <c r="AR76" i="11" a="1"/>
  <c r="AR76" i="11"/>
  <c r="AR77" i="11" a="1"/>
  <c r="AR77" i="11"/>
  <c r="AR78" i="11" a="1"/>
  <c r="AR78" i="11" s="1"/>
  <c r="AR79" i="11" a="1"/>
  <c r="AR79" i="11" s="1"/>
  <c r="AR80" i="11" a="1"/>
  <c r="AR80" i="11" s="1"/>
  <c r="AR81" i="11" a="1"/>
  <c r="AR81" i="11"/>
  <c r="AR82" i="11" a="1"/>
  <c r="AR82" i="11"/>
  <c r="AR83" i="11" a="1"/>
  <c r="AR83" i="11"/>
  <c r="AR84" i="11" a="1"/>
  <c r="AR84" i="11" s="1"/>
  <c r="AR85" i="11" a="1"/>
  <c r="AR85" i="11" s="1"/>
  <c r="AR86" i="11" a="1"/>
  <c r="AR86" i="11" s="1"/>
  <c r="AR87" i="11" a="1"/>
  <c r="AR87" i="11"/>
  <c r="AR88" i="11" a="1"/>
  <c r="AR88" i="11"/>
  <c r="AR89" i="11" a="1"/>
  <c r="AR89" i="11"/>
  <c r="AR90" i="11" a="1"/>
  <c r="AR90" i="11" s="1"/>
  <c r="AR91" i="11" a="1"/>
  <c r="AR91" i="11" s="1"/>
  <c r="AR92" i="11" a="1"/>
  <c r="AR92" i="11" s="1"/>
  <c r="AR93" i="11" a="1"/>
  <c r="AR93" i="11"/>
  <c r="AR94" i="11" a="1"/>
  <c r="AR94" i="11"/>
  <c r="AR95" i="11" a="1"/>
  <c r="AR95" i="11"/>
  <c r="AR96" i="11" a="1"/>
  <c r="AR96" i="11" s="1"/>
  <c r="AR97" i="11" a="1"/>
  <c r="AR97" i="11" s="1"/>
  <c r="AR98" i="11" a="1"/>
  <c r="AR98" i="11" s="1"/>
  <c r="AR99" i="11" a="1"/>
  <c r="AR99" i="11"/>
  <c r="AR100" i="11" a="1"/>
  <c r="AR100" i="11"/>
  <c r="AR101" i="11" a="1"/>
  <c r="AR101" i="11"/>
  <c r="AR102" i="11" a="1"/>
  <c r="AR102" i="11" s="1"/>
  <c r="AR103" i="11" a="1"/>
  <c r="AR103" i="11" s="1"/>
  <c r="AR104" i="11" a="1"/>
  <c r="AR104" i="11" s="1"/>
  <c r="AR105" i="11" a="1"/>
  <c r="AR105" i="11"/>
  <c r="AR106" i="11" a="1"/>
  <c r="AR106" i="11"/>
  <c r="AR107" i="11" a="1"/>
  <c r="AR107" i="11"/>
  <c r="AR108" i="11" a="1"/>
  <c r="AR108" i="11" s="1"/>
  <c r="AR109" i="11" a="1"/>
  <c r="AR109" i="11" s="1"/>
  <c r="AR110" i="11" a="1"/>
  <c r="AR110" i="11" s="1"/>
  <c r="AR111" i="11" a="1"/>
  <c r="AR111" i="11"/>
  <c r="AR112" i="11" a="1"/>
  <c r="AR112" i="11"/>
  <c r="AR113" i="11" a="1"/>
  <c r="AR113" i="11"/>
  <c r="AR114" i="11" a="1"/>
  <c r="AR114" i="11" s="1"/>
  <c r="AR115" i="11" a="1"/>
  <c r="AR115" i="11" s="1"/>
  <c r="AR116" i="11" a="1"/>
  <c r="AR116" i="11" s="1"/>
  <c r="AR117" i="11" a="1"/>
  <c r="AR117" i="11"/>
  <c r="AR118" i="11" a="1"/>
  <c r="AR118" i="11"/>
  <c r="AR119" i="11" a="1"/>
  <c r="AR119" i="11"/>
  <c r="AR120" i="11" a="1"/>
  <c r="AR120" i="11" s="1"/>
  <c r="AR121" i="11" a="1"/>
  <c r="AR121" i="11" s="1"/>
  <c r="AR122" i="11" a="1"/>
  <c r="AR122" i="11" s="1"/>
  <c r="AR123" i="11" a="1"/>
  <c r="AR123" i="11"/>
  <c r="AR124" i="11" a="1"/>
  <c r="AR124" i="11"/>
  <c r="AR125" i="11" a="1"/>
  <c r="AR125" i="11"/>
  <c r="AR126" i="11" a="1"/>
  <c r="AR126" i="11" s="1"/>
  <c r="AR127" i="11" a="1"/>
  <c r="AR127" i="11" s="1"/>
  <c r="AR128" i="11" a="1"/>
  <c r="AR128" i="11" s="1"/>
  <c r="AR129" i="11" a="1"/>
  <c r="AR129" i="11"/>
  <c r="AR130" i="11" a="1"/>
  <c r="AR130" i="11"/>
  <c r="AR131" i="11" a="1"/>
  <c r="AR131" i="11"/>
  <c r="AR132" i="11" a="1"/>
  <c r="AR132" i="11" s="1"/>
  <c r="AR133" i="11" a="1"/>
  <c r="AR133" i="11" s="1"/>
  <c r="AR134" i="11" a="1"/>
  <c r="AR134" i="11" s="1"/>
  <c r="AR135" i="11" a="1"/>
  <c r="AR135" i="11"/>
  <c r="AR136" i="11" a="1"/>
  <c r="AR136" i="11"/>
  <c r="AR137" i="11" a="1"/>
  <c r="AR137" i="11"/>
  <c r="AR138" i="11" a="1"/>
  <c r="AR138" i="11" s="1"/>
  <c r="AR139" i="11" a="1"/>
  <c r="AR139" i="11" s="1"/>
  <c r="AR140" i="11" a="1"/>
  <c r="AR140" i="11" s="1"/>
  <c r="AR141" i="11" a="1"/>
  <c r="AR141" i="11"/>
  <c r="AR142" i="11" a="1"/>
  <c r="AR142" i="11"/>
  <c r="AR143" i="11" a="1"/>
  <c r="AR143" i="11"/>
  <c r="AR144" i="11" a="1"/>
  <c r="AR144" i="11" s="1"/>
  <c r="AR145" i="11" a="1"/>
  <c r="AR145" i="11" s="1"/>
  <c r="AR146" i="11" a="1"/>
  <c r="AR146" i="11" s="1"/>
  <c r="AR147" i="11" a="1"/>
  <c r="AR147" i="11"/>
  <c r="AR148" i="11" a="1"/>
  <c r="AR148" i="11"/>
  <c r="AR149" i="11" a="1"/>
  <c r="AR149" i="11"/>
  <c r="AR150" i="11" a="1"/>
  <c r="AR150" i="11" s="1"/>
  <c r="AR151" i="11" a="1"/>
  <c r="AR151" i="11" s="1"/>
  <c r="AR152" i="11" a="1"/>
  <c r="AR152" i="11" s="1"/>
  <c r="AR153" i="11" a="1"/>
  <c r="AR153" i="11"/>
  <c r="AR154" i="11" a="1"/>
  <c r="AR154" i="11"/>
  <c r="AR155" i="11" a="1"/>
  <c r="AR155" i="11"/>
  <c r="AR11" i="11" a="1"/>
  <c r="AR11" i="11"/>
  <c r="Y162" i="11"/>
  <c r="Z162" i="11"/>
  <c r="AA162" i="11"/>
  <c r="AB162" i="11"/>
  <c r="AC162" i="11"/>
  <c r="AD162" i="11"/>
  <c r="AE162" i="11"/>
  <c r="AF162" i="11"/>
  <c r="AG162" i="11"/>
  <c r="AH162" i="11"/>
  <c r="AH163" i="11" s="1"/>
  <c r="AI162" i="11"/>
  <c r="AJ162" i="11"/>
  <c r="AK162" i="11"/>
  <c r="AL162" i="11"/>
  <c r="AM162" i="11"/>
  <c r="AN162" i="11"/>
  <c r="AO162" i="11"/>
  <c r="AP162" i="11"/>
  <c r="AQ162" i="11"/>
  <c r="X162" i="11"/>
  <c r="Y160" i="11"/>
  <c r="Y163" i="11" s="1"/>
  <c r="Y164" i="11" s="1"/>
  <c r="Z160" i="11"/>
  <c r="Z163" i="11" s="1"/>
  <c r="Z164" i="11" s="1"/>
  <c r="AA160" i="11"/>
  <c r="AA163" i="11" s="1"/>
  <c r="AA164" i="11" s="1"/>
  <c r="AB160" i="11"/>
  <c r="AC160" i="11"/>
  <c r="AD160" i="11"/>
  <c r="AE160" i="11"/>
  <c r="AF160" i="11"/>
  <c r="AG160" i="11"/>
  <c r="AH160" i="11"/>
  <c r="AI160" i="11"/>
  <c r="AJ160" i="11"/>
  <c r="AK160" i="11"/>
  <c r="AK163" i="11" s="1"/>
  <c r="AK164" i="11" s="1"/>
  <c r="AL160" i="11"/>
  <c r="AL163" i="11" s="1"/>
  <c r="AL164" i="11" s="1"/>
  <c r="AM160" i="11"/>
  <c r="AM163" i="11" s="1"/>
  <c r="AM164" i="11" s="1"/>
  <c r="AN160" i="11"/>
  <c r="AN163" i="11" s="1"/>
  <c r="AN164" i="11" s="1"/>
  <c r="AO160" i="11"/>
  <c r="AP160" i="11"/>
  <c r="AQ160" i="11"/>
  <c r="X160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J159" i="11"/>
  <c r="AK159" i="11"/>
  <c r="AL159" i="11"/>
  <c r="AM159" i="11"/>
  <c r="AN159" i="11"/>
  <c r="AO159" i="11"/>
  <c r="AP159" i="11"/>
  <c r="AQ159" i="11"/>
  <c r="X159" i="11"/>
  <c r="C162" i="11"/>
  <c r="D162" i="11"/>
  <c r="E162" i="11"/>
  <c r="B167" i="11" s="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B162" i="11"/>
  <c r="C160" i="11"/>
  <c r="D160" i="11"/>
  <c r="D163" i="11" s="1"/>
  <c r="D164" i="11" s="1"/>
  <c r="E160" i="11"/>
  <c r="E163" i="11" s="1"/>
  <c r="E164" i="11" s="1"/>
  <c r="F160" i="11"/>
  <c r="G160" i="11"/>
  <c r="H160" i="11"/>
  <c r="H163" i="11" s="1"/>
  <c r="H164" i="11" s="1"/>
  <c r="I160" i="11"/>
  <c r="J160" i="11"/>
  <c r="K160" i="11"/>
  <c r="L160" i="11"/>
  <c r="L163" i="11" s="1"/>
  <c r="L164" i="11" s="1"/>
  <c r="M160" i="11"/>
  <c r="N160" i="11"/>
  <c r="O160" i="11"/>
  <c r="O163" i="11" s="1"/>
  <c r="O164" i="11" s="1"/>
  <c r="P160" i="11"/>
  <c r="P163" i="11" s="1"/>
  <c r="P164" i="11" s="1"/>
  <c r="Q160" i="11"/>
  <c r="Q163" i="11" s="1"/>
  <c r="Q164" i="11" s="1"/>
  <c r="R160" i="11"/>
  <c r="S160" i="11"/>
  <c r="T160" i="11"/>
  <c r="T163" i="11" s="1"/>
  <c r="T164" i="11" s="1"/>
  <c r="U160" i="11"/>
  <c r="B160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B159" i="11"/>
  <c r="R163" i="11"/>
  <c r="R164" i="11" s="1"/>
  <c r="F163" i="11"/>
  <c r="F164" i="11" s="1"/>
  <c r="K163" i="11"/>
  <c r="K164" i="11" s="1"/>
  <c r="B163" i="11"/>
  <c r="B164" i="11" s="1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A1" i="16"/>
  <c r="V3" i="10"/>
  <c r="A3" i="10"/>
  <c r="V3" i="4"/>
  <c r="A3" i="4"/>
  <c r="A245" i="10"/>
  <c r="AV83" i="11" l="1"/>
  <c r="AW83" i="11" s="1"/>
  <c r="AX83" i="11" s="1"/>
  <c r="AV33" i="11"/>
  <c r="AW33" i="11" s="1"/>
  <c r="AX33" i="11" s="1"/>
  <c r="AV91" i="11"/>
  <c r="AW91" i="11" s="1"/>
  <c r="AX91" i="11" s="1"/>
  <c r="AV69" i="11"/>
  <c r="AW69" i="11" s="1"/>
  <c r="AX69" i="11" s="1"/>
  <c r="AV149" i="11"/>
  <c r="AW149" i="11" s="1"/>
  <c r="AX149" i="11" s="1"/>
  <c r="AV130" i="11"/>
  <c r="AW130" i="11" s="1"/>
  <c r="AX130" i="11" s="1"/>
  <c r="AV20" i="11"/>
  <c r="AW20" i="11" s="1"/>
  <c r="AX20" i="11" s="1"/>
  <c r="AV79" i="11"/>
  <c r="AW79" i="11" s="1"/>
  <c r="AX79" i="11" s="1"/>
  <c r="AV117" i="11"/>
  <c r="AW117" i="11" s="1"/>
  <c r="AX117" i="11" s="1"/>
  <c r="AV57" i="11"/>
  <c r="AW57" i="11" s="1"/>
  <c r="AX57" i="11" s="1"/>
  <c r="AV73" i="11"/>
  <c r="AW73" i="11" s="1"/>
  <c r="AX73" i="11" s="1"/>
  <c r="AV137" i="11"/>
  <c r="AW137" i="11" s="1"/>
  <c r="AX137" i="11" s="1"/>
  <c r="AV118" i="11"/>
  <c r="AW118" i="11" s="1"/>
  <c r="AX118" i="11" s="1"/>
  <c r="AV109" i="11"/>
  <c r="AW109" i="11" s="1"/>
  <c r="AX109" i="11" s="1"/>
  <c r="AV154" i="11"/>
  <c r="AW154" i="11" s="1"/>
  <c r="AX154" i="11" s="1"/>
  <c r="AV96" i="11"/>
  <c r="AW96" i="11" s="1"/>
  <c r="AX96" i="11" s="1"/>
  <c r="AV121" i="11"/>
  <c r="AW121" i="11" s="1"/>
  <c r="AX121" i="11" s="1"/>
  <c r="AV45" i="11"/>
  <c r="AW45" i="11" s="1"/>
  <c r="AX45" i="11" s="1"/>
  <c r="AV44" i="11"/>
  <c r="AW44" i="11" s="1"/>
  <c r="AX44" i="11" s="1"/>
  <c r="AV14" i="11"/>
  <c r="AW14" i="11" s="1"/>
  <c r="AX14" i="11" s="1"/>
  <c r="AV115" i="11"/>
  <c r="AW115" i="11" s="1"/>
  <c r="AX115" i="11" s="1"/>
  <c r="AV68" i="11"/>
  <c r="AW68" i="11" s="1"/>
  <c r="AX68" i="11" s="1"/>
  <c r="AV106" i="11"/>
  <c r="AW106" i="11" s="1"/>
  <c r="AX106" i="11" s="1"/>
  <c r="AV56" i="11"/>
  <c r="AW56" i="11" s="1"/>
  <c r="AX56" i="11" s="1"/>
  <c r="AV52" i="11"/>
  <c r="AW52" i="11" s="1"/>
  <c r="AX52" i="11" s="1"/>
  <c r="AV15" i="11"/>
  <c r="AW15" i="11" s="1"/>
  <c r="AX15" i="11" s="1"/>
  <c r="AV143" i="11"/>
  <c r="AW143" i="11" s="1"/>
  <c r="AX143" i="11" s="1"/>
  <c r="AV136" i="11"/>
  <c r="AW136" i="11" s="1"/>
  <c r="AX136" i="11" s="1"/>
  <c r="AV88" i="11"/>
  <c r="AW88" i="11" s="1"/>
  <c r="AX88" i="11" s="1"/>
  <c r="AV22" i="11"/>
  <c r="AW22" i="11" s="1"/>
  <c r="AX22" i="11" s="1"/>
  <c r="AV128" i="11"/>
  <c r="AW128" i="11" s="1"/>
  <c r="AX128" i="11" s="1"/>
  <c r="AV80" i="11"/>
  <c r="AW80" i="11" s="1"/>
  <c r="AX80" i="11" s="1"/>
  <c r="AV28" i="11"/>
  <c r="AW28" i="11" s="1"/>
  <c r="AX28" i="11" s="1"/>
  <c r="AV58" i="11"/>
  <c r="AW58" i="11" s="1"/>
  <c r="AX58" i="11" s="1"/>
  <c r="AV156" i="11"/>
  <c r="AW156" i="11" s="1"/>
  <c r="AV141" i="11"/>
  <c r="AW141" i="11" s="1"/>
  <c r="AX141" i="11" s="1"/>
  <c r="AV35" i="11"/>
  <c r="AW35" i="11" s="1"/>
  <c r="AX35" i="11" s="1"/>
  <c r="AV148" i="11"/>
  <c r="AW148" i="11" s="1"/>
  <c r="AX148" i="11" s="1"/>
  <c r="AV119" i="11"/>
  <c r="AW119" i="11" s="1"/>
  <c r="AX119" i="11" s="1"/>
  <c r="AV112" i="11"/>
  <c r="AW112" i="11" s="1"/>
  <c r="AX112" i="11" s="1"/>
  <c r="AV92" i="11"/>
  <c r="AW92" i="11" s="1"/>
  <c r="AX92" i="11" s="1"/>
  <c r="AV85" i="11"/>
  <c r="AW85" i="11" s="1"/>
  <c r="AX85" i="11" s="1"/>
  <c r="AV64" i="11"/>
  <c r="AW64" i="11" s="1"/>
  <c r="AX64" i="11" s="1"/>
  <c r="AV50" i="11"/>
  <c r="AW50" i="11" s="1"/>
  <c r="AX50" i="11" s="1"/>
  <c r="AV133" i="11"/>
  <c r="AW133" i="11" s="1"/>
  <c r="AX133" i="11" s="1"/>
  <c r="AV71" i="11"/>
  <c r="AW71" i="11" s="1"/>
  <c r="AX71" i="11" s="1"/>
  <c r="AV41" i="11"/>
  <c r="AW41" i="11" s="1"/>
  <c r="AX41" i="11" s="1"/>
  <c r="AV75" i="11"/>
  <c r="AW75" i="11" s="1"/>
  <c r="AX75" i="11" s="1"/>
  <c r="AV48" i="11"/>
  <c r="AW48" i="11" s="1"/>
  <c r="AX48" i="11" s="1"/>
  <c r="AV150" i="11"/>
  <c r="AW150" i="11" s="1"/>
  <c r="AX150" i="11" s="1"/>
  <c r="AV107" i="11"/>
  <c r="AW107" i="11" s="1"/>
  <c r="AX107" i="11" s="1"/>
  <c r="AV131" i="11"/>
  <c r="AW131" i="11" s="1"/>
  <c r="AX131" i="11" s="1"/>
  <c r="AV124" i="11"/>
  <c r="AW124" i="11" s="1"/>
  <c r="AX124" i="11" s="1"/>
  <c r="AV104" i="11"/>
  <c r="AW104" i="11" s="1"/>
  <c r="AX104" i="11" s="1"/>
  <c r="AV47" i="11"/>
  <c r="AW47" i="11" s="1"/>
  <c r="AX47" i="11" s="1"/>
  <c r="AV100" i="11"/>
  <c r="AW100" i="11" s="1"/>
  <c r="AX100" i="11" s="1"/>
  <c r="AV146" i="11"/>
  <c r="AW146" i="11" s="1"/>
  <c r="AX146" i="11" s="1"/>
  <c r="AV82" i="11"/>
  <c r="AW82" i="11" s="1"/>
  <c r="AX82" i="11" s="1"/>
  <c r="AV145" i="11"/>
  <c r="AW145" i="11" s="1"/>
  <c r="AX145" i="11" s="1"/>
  <c r="AV116" i="11"/>
  <c r="AW116" i="11" s="1"/>
  <c r="AX116" i="11" s="1"/>
  <c r="AV24" i="11"/>
  <c r="AW24" i="11" s="1"/>
  <c r="AX24" i="11" s="1"/>
  <c r="AV102" i="11"/>
  <c r="AW102" i="11" s="1"/>
  <c r="AX102" i="11" s="1"/>
  <c r="AV101" i="11"/>
  <c r="AW101" i="11" s="1"/>
  <c r="AX101" i="11" s="1"/>
  <c r="AV108" i="11"/>
  <c r="AW108" i="11" s="1"/>
  <c r="AX108" i="11" s="1"/>
  <c r="AV95" i="11"/>
  <c r="AW95" i="11" s="1"/>
  <c r="AX95" i="11" s="1"/>
  <c r="AV54" i="11"/>
  <c r="AW54" i="11" s="1"/>
  <c r="AX54" i="11" s="1"/>
  <c r="AV55" i="11"/>
  <c r="AW55" i="11" s="1"/>
  <c r="AX55" i="11" s="1"/>
  <c r="AV25" i="11"/>
  <c r="AW25" i="11" s="1"/>
  <c r="AX25" i="11" s="1"/>
  <c r="AV19" i="11"/>
  <c r="AW19" i="11" s="1"/>
  <c r="AX19" i="11" s="1"/>
  <c r="AV18" i="11"/>
  <c r="AW18" i="11" s="1"/>
  <c r="AX18" i="11" s="1"/>
  <c r="AV53" i="11"/>
  <c r="AW53" i="11" s="1"/>
  <c r="AX53" i="11" s="1"/>
  <c r="AV17" i="11"/>
  <c r="AW17" i="11" s="1"/>
  <c r="AX17" i="11" s="1"/>
  <c r="AV142" i="11"/>
  <c r="AW142" i="11" s="1"/>
  <c r="AX142" i="11" s="1"/>
  <c r="AV98" i="11"/>
  <c r="AW98" i="11" s="1"/>
  <c r="AX98" i="11" s="1"/>
  <c r="AV99" i="11"/>
  <c r="AW99" i="11" s="1"/>
  <c r="AX99" i="11" s="1"/>
  <c r="AV110" i="11"/>
  <c r="AW110" i="11" s="1"/>
  <c r="AX110" i="11" s="1"/>
  <c r="AV111" i="11"/>
  <c r="AW111" i="11" s="1"/>
  <c r="AX111" i="11" s="1"/>
  <c r="AV152" i="11"/>
  <c r="AW152" i="11" s="1"/>
  <c r="AX152" i="11" s="1"/>
  <c r="AV151" i="11"/>
  <c r="AW151" i="11" s="1"/>
  <c r="AX151" i="11" s="1"/>
  <c r="AV67" i="11"/>
  <c r="AW67" i="11" s="1"/>
  <c r="AX67" i="11" s="1"/>
  <c r="AV66" i="11"/>
  <c r="AW66" i="11" s="1"/>
  <c r="AX66" i="11" s="1"/>
  <c r="AV30" i="11"/>
  <c r="AW30" i="11" s="1"/>
  <c r="AX30" i="11" s="1"/>
  <c r="AV31" i="11"/>
  <c r="AW31" i="11" s="1"/>
  <c r="AX31" i="11" s="1"/>
  <c r="AV139" i="11"/>
  <c r="AW139" i="11" s="1"/>
  <c r="AX139" i="11" s="1"/>
  <c r="AV138" i="11"/>
  <c r="AW138" i="11" s="1"/>
  <c r="AX138" i="11" s="1"/>
  <c r="AV43" i="11"/>
  <c r="AW43" i="11" s="1"/>
  <c r="AX43" i="11" s="1"/>
  <c r="AV42" i="11"/>
  <c r="AW42" i="11" s="1"/>
  <c r="AX42" i="11" s="1"/>
  <c r="AV122" i="11"/>
  <c r="AW122" i="11" s="1"/>
  <c r="AX122" i="11" s="1"/>
  <c r="AV123" i="11"/>
  <c r="AW123" i="11" s="1"/>
  <c r="AX123" i="11" s="1"/>
  <c r="AV89" i="11"/>
  <c r="AW89" i="11" s="1"/>
  <c r="AX89" i="11" s="1"/>
  <c r="AV90" i="11"/>
  <c r="AW90" i="11" s="1"/>
  <c r="AX90" i="11" s="1"/>
  <c r="AV105" i="11"/>
  <c r="AW105" i="11" s="1"/>
  <c r="AX105" i="11" s="1"/>
  <c r="AV120" i="11"/>
  <c r="AW120" i="11" s="1"/>
  <c r="AX120" i="11" s="1"/>
  <c r="AV113" i="11"/>
  <c r="AW113" i="11" s="1"/>
  <c r="AX113" i="11" s="1"/>
  <c r="AV114" i="11"/>
  <c r="AW114" i="11" s="1"/>
  <c r="AX114" i="11" s="1"/>
  <c r="AV59" i="11"/>
  <c r="AW59" i="11" s="1"/>
  <c r="AX59" i="11" s="1"/>
  <c r="AV23" i="11"/>
  <c r="AW23" i="11" s="1"/>
  <c r="AX23" i="11" s="1"/>
  <c r="AV147" i="11"/>
  <c r="AW147" i="11" s="1"/>
  <c r="AX147" i="11" s="1"/>
  <c r="AV132" i="11"/>
  <c r="AW132" i="11" s="1"/>
  <c r="AX132" i="11" s="1"/>
  <c r="AV126" i="11"/>
  <c r="AW126" i="11" s="1"/>
  <c r="AX126" i="11" s="1"/>
  <c r="AV125" i="11"/>
  <c r="AW125" i="11" s="1"/>
  <c r="AX125" i="11" s="1"/>
  <c r="AV86" i="11"/>
  <c r="AW86" i="11" s="1"/>
  <c r="AX86" i="11" s="1"/>
  <c r="AV87" i="11"/>
  <c r="AW87" i="11" s="1"/>
  <c r="AX87" i="11" s="1"/>
  <c r="AV65" i="11"/>
  <c r="AW65" i="11" s="1"/>
  <c r="AX65" i="11" s="1"/>
  <c r="AV29" i="11"/>
  <c r="AW29" i="11" s="1"/>
  <c r="AX29" i="11" s="1"/>
  <c r="AV129" i="11"/>
  <c r="AW129" i="11" s="1"/>
  <c r="AX129" i="11" s="1"/>
  <c r="AV81" i="11"/>
  <c r="AW81" i="11" s="1"/>
  <c r="AX81" i="11" s="1"/>
  <c r="AV78" i="11"/>
  <c r="AW78" i="11" s="1"/>
  <c r="AX78" i="11" s="1"/>
  <c r="AV77" i="11"/>
  <c r="AW77" i="11" s="1"/>
  <c r="AX77" i="11" s="1"/>
  <c r="AV72" i="11"/>
  <c r="AW72" i="11" s="1"/>
  <c r="AX72" i="11" s="1"/>
  <c r="AV36" i="11"/>
  <c r="AW36" i="11" s="1"/>
  <c r="AX36" i="11" s="1"/>
  <c r="AV135" i="11"/>
  <c r="AW135" i="11" s="1"/>
  <c r="AX135" i="11" s="1"/>
  <c r="AV74" i="11"/>
  <c r="AW74" i="11" s="1"/>
  <c r="AX74" i="11" s="1"/>
  <c r="AV26" i="11"/>
  <c r="AW26" i="11" s="1"/>
  <c r="AX26" i="11" s="1"/>
  <c r="AV61" i="11"/>
  <c r="AW61" i="11" s="1"/>
  <c r="AX61" i="11" s="1"/>
  <c r="AV49" i="11"/>
  <c r="AW49" i="11" s="1"/>
  <c r="AX49" i="11" s="1"/>
  <c r="AV37" i="11"/>
  <c r="AW37" i="11" s="1"/>
  <c r="AX37" i="11" s="1"/>
  <c r="AV13" i="11"/>
  <c r="AW13" i="11" s="1"/>
  <c r="AX13" i="11" s="1"/>
  <c r="J163" i="9"/>
  <c r="J164" i="9" s="1"/>
  <c r="AE163" i="11"/>
  <c r="AE164" i="11" s="1"/>
  <c r="AO163" i="11"/>
  <c r="AO164" i="11" s="1"/>
  <c r="AC163" i="11"/>
  <c r="AC164" i="11" s="1"/>
  <c r="AB163" i="11"/>
  <c r="AB164" i="11" s="1"/>
  <c r="AS156" i="11"/>
  <c r="C163" i="11"/>
  <c r="C164" i="11" s="1"/>
  <c r="AI163" i="9"/>
  <c r="AG163" i="9"/>
  <c r="AG164" i="9" s="1"/>
  <c r="AF163" i="9"/>
  <c r="AF164" i="9" s="1"/>
  <c r="AI164" i="9"/>
  <c r="AB163" i="9"/>
  <c r="AB164" i="9" s="1"/>
  <c r="AN163" i="9"/>
  <c r="AN164" i="9" s="1"/>
  <c r="B164" i="9"/>
  <c r="AK163" i="9"/>
  <c r="AK164" i="9" s="1"/>
  <c r="AL163" i="9"/>
  <c r="AL164" i="9" s="1"/>
  <c r="Y163" i="9"/>
  <c r="Y164" i="9" s="1"/>
  <c r="Z164" i="9"/>
  <c r="L163" i="9"/>
  <c r="L164" i="9" s="1"/>
  <c r="X167" i="9"/>
  <c r="X163" i="9"/>
  <c r="X164" i="9" s="1"/>
  <c r="AJ163" i="9"/>
  <c r="AJ164" i="9" s="1"/>
  <c r="AH163" i="9"/>
  <c r="AH164" i="9" s="1"/>
  <c r="B167" i="9"/>
  <c r="K163" i="9"/>
  <c r="K164" i="9" s="1"/>
  <c r="AA164" i="9"/>
  <c r="AM164" i="9"/>
  <c r="AF163" i="11"/>
  <c r="AF164" i="11" s="1"/>
  <c r="AQ163" i="11"/>
  <c r="AQ164" i="11" s="1"/>
  <c r="AP163" i="11"/>
  <c r="AP164" i="11" s="1"/>
  <c r="AD163" i="11"/>
  <c r="AD164" i="11" s="1"/>
  <c r="AI163" i="11"/>
  <c r="AI164" i="11" s="1"/>
  <c r="M163" i="11"/>
  <c r="M164" i="11" s="1"/>
  <c r="N163" i="11"/>
  <c r="N164" i="11" s="1"/>
  <c r="G163" i="11"/>
  <c r="G164" i="11" s="1"/>
  <c r="S163" i="11"/>
  <c r="S164" i="11" s="1"/>
  <c r="I163" i="11"/>
  <c r="I164" i="11" s="1"/>
  <c r="U163" i="11"/>
  <c r="U164" i="11" s="1"/>
  <c r="J163" i="11"/>
  <c r="J164" i="11" s="1"/>
  <c r="AJ163" i="11"/>
  <c r="AJ164" i="11" s="1"/>
  <c r="AH164" i="11"/>
  <c r="X167" i="11"/>
  <c r="AG163" i="11"/>
  <c r="AG164" i="11" s="1"/>
  <c r="X163" i="11"/>
  <c r="X164" i="11" s="1"/>
  <c r="AT14" i="11"/>
  <c r="AT22" i="11"/>
  <c r="AT30" i="11"/>
  <c r="AT109" i="11"/>
  <c r="AT53" i="11"/>
  <c r="AT94" i="11"/>
  <c r="AT75" i="11"/>
  <c r="AT39" i="11"/>
  <c r="AT25" i="11"/>
  <c r="AT21" i="11"/>
  <c r="AT13" i="11"/>
  <c r="AT51" i="11"/>
  <c r="AV12" i="11"/>
  <c r="AW12" i="11" s="1"/>
  <c r="AT33" i="11"/>
  <c r="AX156" i="11" l="1"/>
  <c r="B165" i="11"/>
  <c r="X165" i="9"/>
  <c r="AS95" i="9"/>
  <c r="AT23" i="9"/>
  <c r="AT89" i="9"/>
  <c r="AS129" i="9"/>
  <c r="AS50" i="9"/>
  <c r="AS61" i="9"/>
  <c r="AS99" i="9"/>
  <c r="AT140" i="9"/>
  <c r="AS114" i="9"/>
  <c r="AT86" i="9"/>
  <c r="AT28" i="9"/>
  <c r="AT40" i="9"/>
  <c r="AS55" i="9"/>
  <c r="AT143" i="9"/>
  <c r="AT96" i="9"/>
  <c r="AS119" i="9"/>
  <c r="AS135" i="9"/>
  <c r="AT62" i="9"/>
  <c r="AT125" i="9"/>
  <c r="AT83" i="9"/>
  <c r="AS73" i="9"/>
  <c r="AS68" i="9"/>
  <c r="AT93" i="9"/>
  <c r="B165" i="9"/>
  <c r="X170" i="9" s="1"/>
  <c r="AS108" i="9"/>
  <c r="AT156" i="9"/>
  <c r="AS26" i="9"/>
  <c r="AS41" i="9"/>
  <c r="AT57" i="9"/>
  <c r="AT146" i="9"/>
  <c r="AS32" i="9"/>
  <c r="AT150" i="9"/>
  <c r="AS12" i="9"/>
  <c r="AT148" i="9"/>
  <c r="AS30" i="9"/>
  <c r="AT98" i="9"/>
  <c r="AT46" i="9"/>
  <c r="AT76" i="9"/>
  <c r="AT134" i="9"/>
  <c r="AT78" i="9"/>
  <c r="AT34" i="9"/>
  <c r="AS44" i="9"/>
  <c r="AS87" i="9"/>
  <c r="AT121" i="9"/>
  <c r="AS71" i="9"/>
  <c r="AT155" i="9"/>
  <c r="AT122" i="9"/>
  <c r="AS19" i="9"/>
  <c r="AT65" i="9"/>
  <c r="AS22" i="9"/>
  <c r="AT116" i="9"/>
  <c r="AT138" i="9"/>
  <c r="AS109" i="9"/>
  <c r="AT58" i="9"/>
  <c r="AS54" i="9"/>
  <c r="AS111" i="9"/>
  <c r="AT14" i="9"/>
  <c r="AS23" i="9"/>
  <c r="AS53" i="9"/>
  <c r="AT41" i="9"/>
  <c r="AT61" i="9"/>
  <c r="AS83" i="9"/>
  <c r="AT16" i="9"/>
  <c r="AS57" i="9"/>
  <c r="AT44" i="9"/>
  <c r="AV151" i="9"/>
  <c r="AW151" i="9" s="1"/>
  <c r="AV91" i="9"/>
  <c r="AW91" i="9" s="1"/>
  <c r="AV13" i="9"/>
  <c r="AW13" i="9" s="1"/>
  <c r="AV12" i="9"/>
  <c r="AV105" i="9"/>
  <c r="AW105" i="9" s="1"/>
  <c r="AV89" i="9"/>
  <c r="AW89" i="9" s="1"/>
  <c r="AV28" i="9"/>
  <c r="AW28" i="9" s="1"/>
  <c r="AV34" i="9"/>
  <c r="AW34" i="9" s="1"/>
  <c r="AV40" i="9"/>
  <c r="AW40" i="9" s="1"/>
  <c r="AV46" i="9"/>
  <c r="AW46" i="9" s="1"/>
  <c r="AV41" i="9"/>
  <c r="AW41" i="9" s="1"/>
  <c r="AV146" i="9"/>
  <c r="AW146" i="9" s="1"/>
  <c r="AV117" i="9"/>
  <c r="AW117" i="9" s="1"/>
  <c r="AV125" i="9"/>
  <c r="AW125" i="9" s="1"/>
  <c r="AV19" i="9"/>
  <c r="AW19" i="9" s="1"/>
  <c r="AV38" i="9"/>
  <c r="AW38" i="9" s="1"/>
  <c r="AV110" i="9"/>
  <c r="AW110" i="9" s="1"/>
  <c r="AV94" i="9"/>
  <c r="AW94" i="9" s="1"/>
  <c r="AV24" i="9"/>
  <c r="AW24" i="9" s="1"/>
  <c r="AV74" i="9"/>
  <c r="AW74" i="9" s="1"/>
  <c r="AV55" i="9"/>
  <c r="AW55" i="9" s="1"/>
  <c r="AX55" i="9" s="1"/>
  <c r="AV129" i="9"/>
  <c r="AW129" i="9" s="1"/>
  <c r="AV18" i="9"/>
  <c r="AW18" i="9" s="1"/>
  <c r="AV43" i="9"/>
  <c r="AW43" i="9" s="1"/>
  <c r="AV61" i="9"/>
  <c r="AW61" i="9" s="1"/>
  <c r="AT84" i="9"/>
  <c r="AT82" i="9"/>
  <c r="AS140" i="9"/>
  <c r="AT133" i="9"/>
  <c r="AS120" i="9"/>
  <c r="AT120" i="9"/>
  <c r="X165" i="11"/>
  <c r="AT107" i="11"/>
  <c r="AT17" i="11"/>
  <c r="AT59" i="11"/>
  <c r="AT120" i="11"/>
  <c r="AT110" i="11"/>
  <c r="AT114" i="11"/>
  <c r="AT15" i="11"/>
  <c r="AT135" i="11"/>
  <c r="AT134" i="11"/>
  <c r="AT101" i="11"/>
  <c r="AT138" i="11"/>
  <c r="AT117" i="11"/>
  <c r="AT35" i="11"/>
  <c r="AT16" i="11"/>
  <c r="AT41" i="11"/>
  <c r="AT23" i="11"/>
  <c r="AT49" i="11"/>
  <c r="AT92" i="11"/>
  <c r="AT83" i="11"/>
  <c r="AT36" i="11"/>
  <c r="AT40" i="11"/>
  <c r="AT143" i="11"/>
  <c r="AT142" i="11"/>
  <c r="AT78" i="11"/>
  <c r="AT128" i="11"/>
  <c r="AT111" i="11"/>
  <c r="AT50" i="11"/>
  <c r="AT20" i="11"/>
  <c r="AT44" i="11"/>
  <c r="AT27" i="11"/>
  <c r="AT57" i="11"/>
  <c r="AT97" i="11"/>
  <c r="AT144" i="11"/>
  <c r="AT90" i="11"/>
  <c r="AT84" i="11"/>
  <c r="AT113" i="11"/>
  <c r="AT54" i="11"/>
  <c r="AT62" i="11"/>
  <c r="AT105" i="11"/>
  <c r="AT61" i="11"/>
  <c r="AT24" i="11"/>
  <c r="AT55" i="11"/>
  <c r="AT34" i="11"/>
  <c r="AT68" i="11"/>
  <c r="AT91" i="11"/>
  <c r="AT98" i="11"/>
  <c r="AT99" i="11"/>
  <c r="AT124" i="11"/>
  <c r="AT70" i="11"/>
  <c r="AT71" i="11"/>
  <c r="AT89" i="11"/>
  <c r="AT69" i="11"/>
  <c r="AT28" i="11"/>
  <c r="AT63" i="11"/>
  <c r="AT52" i="11"/>
  <c r="AT76" i="11"/>
  <c r="AT72" i="11"/>
  <c r="AT29" i="11"/>
  <c r="AT145" i="11"/>
  <c r="AT137" i="11"/>
  <c r="AT118" i="11"/>
  <c r="AT65" i="11"/>
  <c r="AT37" i="11"/>
  <c r="AT127" i="11"/>
  <c r="AT130" i="11"/>
  <c r="AT81" i="11"/>
  <c r="AT38" i="11"/>
  <c r="AT104" i="11"/>
  <c r="AT140" i="11"/>
  <c r="AT31" i="11"/>
  <c r="AT88" i="11"/>
  <c r="AT82" i="11"/>
  <c r="AT116" i="11"/>
  <c r="AT106" i="11"/>
  <c r="AT123" i="11"/>
  <c r="AT18" i="11"/>
  <c r="AT96" i="11"/>
  <c r="AT58" i="11"/>
  <c r="AT93" i="11"/>
  <c r="AT95" i="11"/>
  <c r="AT79" i="11"/>
  <c r="AT56" i="11"/>
  <c r="AT122" i="11"/>
  <c r="AT103" i="11"/>
  <c r="AT126" i="11"/>
  <c r="AT12" i="11"/>
  <c r="AT132" i="11"/>
  <c r="AT74" i="11"/>
  <c r="AT26" i="11"/>
  <c r="AT87" i="11"/>
  <c r="AT121" i="11"/>
  <c r="AT131" i="11"/>
  <c r="AT45" i="11"/>
  <c r="AT112" i="11"/>
  <c r="AT66" i="11"/>
  <c r="AT136" i="11"/>
  <c r="AT108" i="11"/>
  <c r="AT43" i="11"/>
  <c r="AT32" i="11"/>
  <c r="AT42" i="11"/>
  <c r="AT85" i="11"/>
  <c r="AT119" i="11"/>
  <c r="AT125" i="11"/>
  <c r="AT73" i="11"/>
  <c r="AT19" i="11"/>
  <c r="AT86" i="11"/>
  <c r="AT80" i="11"/>
  <c r="AT60" i="11"/>
  <c r="AT102" i="11"/>
  <c r="AT64" i="11"/>
  <c r="AT47" i="11"/>
  <c r="AT146" i="11"/>
  <c r="AT129" i="11"/>
  <c r="AT139" i="11"/>
  <c r="AT115" i="11"/>
  <c r="AT77" i="11"/>
  <c r="AT100" i="11"/>
  <c r="AT141" i="11"/>
  <c r="AT46" i="11"/>
  <c r="AT133" i="11"/>
  <c r="AT67" i="11"/>
  <c r="AT48" i="11"/>
  <c r="X170" i="11" l="1"/>
  <c r="AV86" i="9"/>
  <c r="AW86" i="9" s="1"/>
  <c r="AV107" i="9"/>
  <c r="AW107" i="9" s="1"/>
  <c r="AV54" i="9"/>
  <c r="AW54" i="9" s="1"/>
  <c r="AV67" i="9"/>
  <c r="AW67" i="9" s="1"/>
  <c r="AV47" i="9"/>
  <c r="AW47" i="9" s="1"/>
  <c r="AV30" i="9"/>
  <c r="AW30" i="9" s="1"/>
  <c r="AX30" i="9" s="1"/>
  <c r="AV141" i="9"/>
  <c r="AW141" i="9" s="1"/>
  <c r="AV33" i="9"/>
  <c r="AW33" i="9" s="1"/>
  <c r="AV120" i="9"/>
  <c r="AW120" i="9" s="1"/>
  <c r="AX120" i="9" s="1"/>
  <c r="AV52" i="9"/>
  <c r="AW52" i="9" s="1"/>
  <c r="AV113" i="9"/>
  <c r="AW113" i="9" s="1"/>
  <c r="AV49" i="9"/>
  <c r="AW49" i="9" s="1"/>
  <c r="AX49" i="9" s="1"/>
  <c r="AV76" i="9"/>
  <c r="AW76" i="9" s="1"/>
  <c r="AV138" i="9"/>
  <c r="AW138" i="9" s="1"/>
  <c r="AV72" i="9"/>
  <c r="AW72" i="9" s="1"/>
  <c r="AV139" i="9"/>
  <c r="AW139" i="9" s="1"/>
  <c r="AV50" i="9"/>
  <c r="AW50" i="9" s="1"/>
  <c r="AX50" i="9" s="1"/>
  <c r="AV81" i="9"/>
  <c r="AW81" i="9" s="1"/>
  <c r="AX129" i="9"/>
  <c r="AV21" i="9"/>
  <c r="AW21" i="9" s="1"/>
  <c r="AV88" i="9"/>
  <c r="AW88" i="9" s="1"/>
  <c r="AV136" i="9"/>
  <c r="AW136" i="9" s="1"/>
  <c r="AV57" i="9"/>
  <c r="AW57" i="9" s="1"/>
  <c r="AX57" i="9" s="1"/>
  <c r="AV96" i="9"/>
  <c r="AW96" i="9" s="1"/>
  <c r="AX96" i="9" s="1"/>
  <c r="AV36" i="9"/>
  <c r="AW36" i="9" s="1"/>
  <c r="AV84" i="9"/>
  <c r="AW84" i="9" s="1"/>
  <c r="AV77" i="9"/>
  <c r="AW77" i="9" s="1"/>
  <c r="AV148" i="9"/>
  <c r="AW148" i="9" s="1"/>
  <c r="AV155" i="9"/>
  <c r="AW155" i="9" s="1"/>
  <c r="AV73" i="9"/>
  <c r="AW73" i="9" s="1"/>
  <c r="AV121" i="9"/>
  <c r="AW121" i="9" s="1"/>
  <c r="AV93" i="9"/>
  <c r="AW93" i="9" s="1"/>
  <c r="AV134" i="9"/>
  <c r="AW134" i="9" s="1"/>
  <c r="AV115" i="9"/>
  <c r="AW115" i="9" s="1"/>
  <c r="AV90" i="9"/>
  <c r="AW90" i="9" s="1"/>
  <c r="AV23" i="9"/>
  <c r="AW23" i="9" s="1"/>
  <c r="AX23" i="9" s="1"/>
  <c r="AV137" i="9"/>
  <c r="AW137" i="9" s="1"/>
  <c r="AV132" i="9"/>
  <c r="AW132" i="9" s="1"/>
  <c r="AV31" i="9"/>
  <c r="AW31" i="9" s="1"/>
  <c r="AV130" i="9"/>
  <c r="AW130" i="9" s="1"/>
  <c r="AV25" i="9"/>
  <c r="AW25" i="9" s="1"/>
  <c r="AV15" i="9"/>
  <c r="AW15" i="9" s="1"/>
  <c r="AV144" i="9"/>
  <c r="AW144" i="9" s="1"/>
  <c r="AX144" i="9" s="1"/>
  <c r="AV103" i="9"/>
  <c r="AW103" i="9" s="1"/>
  <c r="AV82" i="9"/>
  <c r="AW82" i="9" s="1"/>
  <c r="AV118" i="9"/>
  <c r="AW118" i="9" s="1"/>
  <c r="AX118" i="9" s="1"/>
  <c r="AV100" i="9"/>
  <c r="AW100" i="9" s="1"/>
  <c r="AV126" i="9"/>
  <c r="AW126" i="9" s="1"/>
  <c r="AV64" i="9"/>
  <c r="AW64" i="9" s="1"/>
  <c r="AV142" i="9"/>
  <c r="AW142" i="9" s="1"/>
  <c r="AV60" i="9"/>
  <c r="AW60" i="9" s="1"/>
  <c r="AV42" i="9"/>
  <c r="AW42" i="9" s="1"/>
  <c r="AV70" i="9"/>
  <c r="AW70" i="9" s="1"/>
  <c r="AV109" i="9"/>
  <c r="AW109" i="9" s="1"/>
  <c r="AX109" i="9" s="1"/>
  <c r="AS98" i="9"/>
  <c r="AT47" i="9"/>
  <c r="AT85" i="9"/>
  <c r="AT111" i="9"/>
  <c r="AS97" i="9"/>
  <c r="AT108" i="9"/>
  <c r="AT105" i="9"/>
  <c r="AT102" i="9"/>
  <c r="AT72" i="9"/>
  <c r="AS67" i="9"/>
  <c r="AX67" i="9" s="1"/>
  <c r="AT12" i="9"/>
  <c r="AS125" i="9"/>
  <c r="AX125" i="9" s="1"/>
  <c r="AT101" i="9"/>
  <c r="AT130" i="9"/>
  <c r="AT26" i="9"/>
  <c r="AT79" i="9"/>
  <c r="AT32" i="9"/>
  <c r="AS85" i="9"/>
  <c r="AS82" i="9"/>
  <c r="AS132" i="9"/>
  <c r="AT17" i="9"/>
  <c r="AS38" i="9"/>
  <c r="AX38" i="9" s="1"/>
  <c r="AT151" i="9"/>
  <c r="AS15" i="9"/>
  <c r="AT136" i="9"/>
  <c r="AT114" i="9"/>
  <c r="AT29" i="9"/>
  <c r="AS48" i="9"/>
  <c r="AT69" i="9"/>
  <c r="AS117" i="9"/>
  <c r="AX117" i="9" s="1"/>
  <c r="AS144" i="9"/>
  <c r="AS133" i="9"/>
  <c r="AS25" i="9"/>
  <c r="AS155" i="9"/>
  <c r="AT21" i="9"/>
  <c r="AT91" i="9"/>
  <c r="AT94" i="9"/>
  <c r="AT117" i="9"/>
  <c r="AT97" i="9"/>
  <c r="AS72" i="9"/>
  <c r="AS29" i="9"/>
  <c r="AS28" i="9"/>
  <c r="AX28" i="9" s="1"/>
  <c r="AT141" i="9"/>
  <c r="AS156" i="9"/>
  <c r="AT106" i="9"/>
  <c r="AT119" i="9"/>
  <c r="AT92" i="9"/>
  <c r="AT81" i="9"/>
  <c r="AS110" i="9"/>
  <c r="AX110" i="9" s="1"/>
  <c r="AT124" i="9"/>
  <c r="AS93" i="9"/>
  <c r="AX93" i="9" s="1"/>
  <c r="AT68" i="9"/>
  <c r="AT22" i="9"/>
  <c r="AS128" i="9"/>
  <c r="AT154" i="9"/>
  <c r="AT131" i="9"/>
  <c r="AS123" i="9"/>
  <c r="AS100" i="9"/>
  <c r="AS118" i="9"/>
  <c r="AS96" i="9"/>
  <c r="AT15" i="9"/>
  <c r="AS152" i="9"/>
  <c r="AT118" i="9"/>
  <c r="AS145" i="9"/>
  <c r="AS84" i="9"/>
  <c r="AT145" i="9"/>
  <c r="AS94" i="9"/>
  <c r="AX94" i="9" s="1"/>
  <c r="AT30" i="9"/>
  <c r="AS139" i="9"/>
  <c r="AS86" i="9"/>
  <c r="AX86" i="9" s="1"/>
  <c r="AS116" i="9"/>
  <c r="AT112" i="9"/>
  <c r="AT67" i="9"/>
  <c r="AT115" i="9"/>
  <c r="AT144" i="9"/>
  <c r="AT109" i="9"/>
  <c r="AS143" i="9"/>
  <c r="AS59" i="9"/>
  <c r="AS42" i="9"/>
  <c r="AT95" i="9"/>
  <c r="AT104" i="9"/>
  <c r="AS33" i="9"/>
  <c r="AT110" i="9"/>
  <c r="AS77" i="9"/>
  <c r="AX77" i="9" s="1"/>
  <c r="AS105" i="9"/>
  <c r="AX105" i="9" s="1"/>
  <c r="AS13" i="9"/>
  <c r="AX13" i="9" s="1"/>
  <c r="AX54" i="9"/>
  <c r="AS102" i="9"/>
  <c r="AS101" i="9"/>
  <c r="AS78" i="9"/>
  <c r="AS69" i="9"/>
  <c r="AT137" i="9"/>
  <c r="AS79" i="9"/>
  <c r="AT60" i="9"/>
  <c r="AS39" i="9"/>
  <c r="AS112" i="9"/>
  <c r="AT126" i="9"/>
  <c r="AS147" i="9"/>
  <c r="AT90" i="9"/>
  <c r="AT54" i="9"/>
  <c r="AS122" i="9"/>
  <c r="AS136" i="9"/>
  <c r="AX136" i="9" s="1"/>
  <c r="AS153" i="9"/>
  <c r="AS127" i="9"/>
  <c r="AT66" i="9"/>
  <c r="AS90" i="9"/>
  <c r="AT88" i="9"/>
  <c r="AS80" i="9"/>
  <c r="AT153" i="9"/>
  <c r="AT99" i="9"/>
  <c r="AS126" i="9"/>
  <c r="AT100" i="9"/>
  <c r="AT20" i="9"/>
  <c r="AS62" i="9"/>
  <c r="AS47" i="9"/>
  <c r="AT73" i="9"/>
  <c r="AT48" i="9"/>
  <c r="AT135" i="9"/>
  <c r="AS52" i="9"/>
  <c r="AT52" i="9"/>
  <c r="AS60" i="9"/>
  <c r="AX60" i="9" s="1"/>
  <c r="AT53" i="9"/>
  <c r="AS24" i="9"/>
  <c r="AX24" i="9" s="1"/>
  <c r="AT24" i="9"/>
  <c r="AS31" i="9"/>
  <c r="AT31" i="9"/>
  <c r="AT128" i="9"/>
  <c r="AS18" i="9"/>
  <c r="AX18" i="9" s="1"/>
  <c r="AT18" i="9"/>
  <c r="AS138" i="9"/>
  <c r="AT123" i="9"/>
  <c r="AS43" i="9"/>
  <c r="AX43" i="9" s="1"/>
  <c r="AT42" i="9"/>
  <c r="AT50" i="9"/>
  <c r="AT51" i="9"/>
  <c r="AS88" i="9"/>
  <c r="AS154" i="9"/>
  <c r="AX73" i="9"/>
  <c r="AT80" i="9"/>
  <c r="AS149" i="9"/>
  <c r="AS141" i="9"/>
  <c r="AT55" i="9"/>
  <c r="AS20" i="9"/>
  <c r="AS49" i="9"/>
  <c r="AT19" i="9"/>
  <c r="AT87" i="9"/>
  <c r="AS103" i="9"/>
  <c r="AX103" i="9" s="1"/>
  <c r="AT35" i="9"/>
  <c r="AS35" i="9"/>
  <c r="AS36" i="9"/>
  <c r="AT36" i="9"/>
  <c r="AT63" i="9"/>
  <c r="AT149" i="9"/>
  <c r="AS63" i="9"/>
  <c r="AS75" i="9"/>
  <c r="AT75" i="9"/>
  <c r="AS113" i="9"/>
  <c r="AS121" i="9"/>
  <c r="AS148" i="9"/>
  <c r="AX148" i="9" s="1"/>
  <c r="AT139" i="9"/>
  <c r="AT70" i="9"/>
  <c r="AS70" i="9"/>
  <c r="AX70" i="9" s="1"/>
  <c r="AT147" i="9"/>
  <c r="AT129" i="9"/>
  <c r="AT113" i="9"/>
  <c r="AT132" i="9"/>
  <c r="AS142" i="9"/>
  <c r="AS146" i="9"/>
  <c r="AX146" i="9" s="1"/>
  <c r="AS130" i="9"/>
  <c r="AS131" i="9"/>
  <c r="AS104" i="9"/>
  <c r="AS17" i="9"/>
  <c r="AS65" i="9"/>
  <c r="AS64" i="9"/>
  <c r="AS46" i="9"/>
  <c r="AX46" i="9" s="1"/>
  <c r="AT71" i="9"/>
  <c r="AS91" i="9"/>
  <c r="AX91" i="9" s="1"/>
  <c r="AS27" i="9"/>
  <c r="AT27" i="9"/>
  <c r="AS137" i="9"/>
  <c r="AS92" i="9"/>
  <c r="AS81" i="9"/>
  <c r="AX81" i="9" s="1"/>
  <c r="AS134" i="9"/>
  <c r="AX134" i="9" s="1"/>
  <c r="AS150" i="9"/>
  <c r="AX150" i="9" s="1"/>
  <c r="AT142" i="9"/>
  <c r="AS115" i="9"/>
  <c r="AX115" i="9" s="1"/>
  <c r="AS58" i="9"/>
  <c r="AT38" i="9"/>
  <c r="AT33" i="9"/>
  <c r="AT49" i="9"/>
  <c r="AS51" i="9"/>
  <c r="AT37" i="9"/>
  <c r="AS37" i="9"/>
  <c r="AS14" i="9"/>
  <c r="AS40" i="9"/>
  <c r="AX40" i="9" s="1"/>
  <c r="AS16" i="9"/>
  <c r="AS89" i="9"/>
  <c r="AX89" i="9" s="1"/>
  <c r="AS107" i="9"/>
  <c r="AX107" i="9" s="1"/>
  <c r="AT107" i="9"/>
  <c r="AT152" i="9"/>
  <c r="AS74" i="9"/>
  <c r="AX74" i="9" s="1"/>
  <c r="AT56" i="9"/>
  <c r="AS45" i="9"/>
  <c r="AT45" i="9"/>
  <c r="AT64" i="9"/>
  <c r="AS106" i="9"/>
  <c r="AT103" i="9"/>
  <c r="AS34" i="9"/>
  <c r="AX34" i="9" s="1"/>
  <c r="AS66" i="9"/>
  <c r="AT74" i="9"/>
  <c r="AS76" i="9"/>
  <c r="AX76" i="9" s="1"/>
  <c r="AT59" i="9"/>
  <c r="AT127" i="9"/>
  <c r="AT77" i="9"/>
  <c r="AS124" i="9"/>
  <c r="AT13" i="9"/>
  <c r="AS56" i="9"/>
  <c r="AS151" i="9"/>
  <c r="AX151" i="9" s="1"/>
  <c r="AT39" i="9"/>
  <c r="AS21" i="9"/>
  <c r="AX21" i="9" s="1"/>
  <c r="AT43" i="9"/>
  <c r="AT25" i="9"/>
  <c r="AX19" i="9"/>
  <c r="AX61" i="9"/>
  <c r="AX41" i="9"/>
  <c r="AV44" i="9"/>
  <c r="AW44" i="9" s="1"/>
  <c r="AX44" i="9" s="1"/>
  <c r="AV69" i="9"/>
  <c r="AW69" i="9" s="1"/>
  <c r="AV59" i="9"/>
  <c r="AW59" i="9" s="1"/>
  <c r="AV95" i="9"/>
  <c r="AW95" i="9" s="1"/>
  <c r="AX95" i="9" s="1"/>
  <c r="AV143" i="9"/>
  <c r="AW143" i="9" s="1"/>
  <c r="AV68" i="9"/>
  <c r="AW68" i="9" s="1"/>
  <c r="AX68" i="9" s="1"/>
  <c r="AV58" i="9"/>
  <c r="AW58" i="9" s="1"/>
  <c r="AV37" i="9"/>
  <c r="AW37" i="9" s="1"/>
  <c r="AV48" i="9"/>
  <c r="AW48" i="9" s="1"/>
  <c r="AV32" i="9"/>
  <c r="AW32" i="9" s="1"/>
  <c r="AX32" i="9" s="1"/>
  <c r="AV56" i="9"/>
  <c r="AW56" i="9" s="1"/>
  <c r="AV133" i="9"/>
  <c r="AW133" i="9" s="1"/>
  <c r="AV22" i="9"/>
  <c r="AW22" i="9" s="1"/>
  <c r="AX22" i="9" s="1"/>
  <c r="AV102" i="9"/>
  <c r="AW102" i="9" s="1"/>
  <c r="AV78" i="9"/>
  <c r="AW78" i="9" s="1"/>
  <c r="AV92" i="9"/>
  <c r="AW92" i="9" s="1"/>
  <c r="AX92" i="9" s="1"/>
  <c r="AV140" i="9"/>
  <c r="AW140" i="9" s="1"/>
  <c r="AX140" i="9" s="1"/>
  <c r="AV99" i="9"/>
  <c r="AW99" i="9" s="1"/>
  <c r="AX99" i="9" s="1"/>
  <c r="AV147" i="9"/>
  <c r="AW147" i="9" s="1"/>
  <c r="AX147" i="9" s="1"/>
  <c r="AV62" i="9"/>
  <c r="AW62" i="9" s="1"/>
  <c r="AV66" i="9"/>
  <c r="AW66" i="9" s="1"/>
  <c r="AV51" i="9"/>
  <c r="AW51" i="9" s="1"/>
  <c r="AV108" i="9"/>
  <c r="AW108" i="9" s="1"/>
  <c r="AX108" i="9" s="1"/>
  <c r="AV156" i="9"/>
  <c r="AW156" i="9" s="1"/>
  <c r="AV104" i="9"/>
  <c r="AW104" i="9" s="1"/>
  <c r="AV145" i="9"/>
  <c r="AW145" i="9" s="1"/>
  <c r="AV85" i="9"/>
  <c r="AW85" i="9" s="1"/>
  <c r="AV106" i="9"/>
  <c r="AW106" i="9" s="1"/>
  <c r="AV53" i="9"/>
  <c r="AW53" i="9" s="1"/>
  <c r="AX53" i="9" s="1"/>
  <c r="AV45" i="9"/>
  <c r="AW45" i="9" s="1"/>
  <c r="AV112" i="9"/>
  <c r="AW112" i="9" s="1"/>
  <c r="AX112" i="9" s="1"/>
  <c r="AV119" i="9"/>
  <c r="AW119" i="9" s="1"/>
  <c r="AX119" i="9" s="1"/>
  <c r="AV122" i="9"/>
  <c r="AW122" i="9" s="1"/>
  <c r="AV16" i="9"/>
  <c r="AW16" i="9" s="1"/>
  <c r="AV150" i="9"/>
  <c r="AW150" i="9" s="1"/>
  <c r="AV39" i="9"/>
  <c r="AW39" i="9" s="1"/>
  <c r="AV116" i="9"/>
  <c r="AW116" i="9" s="1"/>
  <c r="AV17" i="9"/>
  <c r="AW17" i="9" s="1"/>
  <c r="AV123" i="9"/>
  <c r="AW123" i="9" s="1"/>
  <c r="AV97" i="9"/>
  <c r="AW97" i="9" s="1"/>
  <c r="AV98" i="9"/>
  <c r="AW98" i="9" s="1"/>
  <c r="AX98" i="9" s="1"/>
  <c r="AV153" i="9"/>
  <c r="AW153" i="9" s="1"/>
  <c r="AV79" i="9"/>
  <c r="AW79" i="9" s="1"/>
  <c r="AV127" i="9"/>
  <c r="AW127" i="9" s="1"/>
  <c r="AV111" i="9"/>
  <c r="AW111" i="9" s="1"/>
  <c r="AX111" i="9" s="1"/>
  <c r="AV101" i="9"/>
  <c r="AW101" i="9" s="1"/>
  <c r="AV35" i="9"/>
  <c r="AW35" i="9" s="1"/>
  <c r="AV80" i="9"/>
  <c r="AW80" i="9" s="1"/>
  <c r="AV27" i="9"/>
  <c r="AW27" i="9" s="1"/>
  <c r="AX27" i="9" s="1"/>
  <c r="AV124" i="9"/>
  <c r="AW124" i="9" s="1"/>
  <c r="AV83" i="9"/>
  <c r="AW83" i="9" s="1"/>
  <c r="AX83" i="9" s="1"/>
  <c r="AV131" i="9"/>
  <c r="AW131" i="9" s="1"/>
  <c r="AV149" i="9"/>
  <c r="AW149" i="9" s="1"/>
  <c r="AV26" i="9"/>
  <c r="AW26" i="9" s="1"/>
  <c r="AX26" i="9" s="1"/>
  <c r="AV65" i="9"/>
  <c r="AW65" i="9" s="1"/>
  <c r="AV152" i="9"/>
  <c r="AW152" i="9" s="1"/>
  <c r="AV75" i="9"/>
  <c r="AW75" i="9" s="1"/>
  <c r="AV63" i="9"/>
  <c r="AW63" i="9" s="1"/>
  <c r="AV154" i="9"/>
  <c r="AW154" i="9" s="1"/>
  <c r="AV114" i="9"/>
  <c r="AW114" i="9" s="1"/>
  <c r="AX114" i="9" s="1"/>
  <c r="AV29" i="9"/>
  <c r="AW29" i="9" s="1"/>
  <c r="AV14" i="9"/>
  <c r="AW14" i="9" s="1"/>
  <c r="AV71" i="9"/>
  <c r="AW71" i="9" s="1"/>
  <c r="AX71" i="9" s="1"/>
  <c r="AV20" i="9"/>
  <c r="AW20" i="9" s="1"/>
  <c r="AX20" i="9" s="1"/>
  <c r="AV128" i="9"/>
  <c r="AW128" i="9" s="1"/>
  <c r="AV87" i="9"/>
  <c r="AW87" i="9" s="1"/>
  <c r="AX87" i="9" s="1"/>
  <c r="AV135" i="9"/>
  <c r="AW135" i="9" s="1"/>
  <c r="AX135" i="9" s="1"/>
  <c r="AX12" i="11"/>
  <c r="AW12" i="9"/>
  <c r="AX12" i="9" s="1"/>
  <c r="AX122" i="9" l="1"/>
  <c r="AX88" i="9"/>
  <c r="AX15" i="9"/>
  <c r="AX16" i="9"/>
  <c r="AX130" i="9"/>
  <c r="AX154" i="9"/>
  <c r="AX31" i="9"/>
  <c r="AX85" i="9"/>
  <c r="AX152" i="9"/>
  <c r="AX48" i="9"/>
  <c r="AX132" i="9"/>
  <c r="AX97" i="9"/>
  <c r="AX62" i="9"/>
  <c r="AX37" i="9"/>
  <c r="AX47" i="9"/>
  <c r="AX139" i="9"/>
  <c r="AX104" i="9"/>
  <c r="AX121" i="9"/>
  <c r="AX36" i="9"/>
  <c r="AX72" i="9"/>
  <c r="AX137" i="9"/>
  <c r="AX64" i="9"/>
  <c r="AX84" i="9"/>
  <c r="AX145" i="9"/>
  <c r="AX142" i="9"/>
  <c r="AX52" i="9"/>
  <c r="AX116" i="9"/>
  <c r="AX138" i="9"/>
  <c r="AX33" i="9"/>
  <c r="AX113" i="9"/>
  <c r="AX141" i="9"/>
  <c r="AX124" i="9"/>
  <c r="AX126" i="9"/>
  <c r="AX90" i="9"/>
  <c r="AX100" i="9"/>
  <c r="AX155" i="9"/>
  <c r="AX123" i="9"/>
  <c r="AX25" i="9"/>
  <c r="AX149" i="9"/>
  <c r="AX156" i="9"/>
  <c r="AX133" i="9"/>
  <c r="AX42" i="9"/>
  <c r="AX82" i="9"/>
  <c r="AX127" i="9"/>
  <c r="AX79" i="9"/>
  <c r="AX153" i="9"/>
  <c r="AX69" i="9"/>
  <c r="AX128" i="9"/>
  <c r="AX14" i="9"/>
  <c r="AX78" i="9"/>
  <c r="AX102" i="9"/>
  <c r="AX101" i="9"/>
  <c r="AX66" i="9"/>
  <c r="AX75" i="9"/>
  <c r="AX29" i="9"/>
  <c r="AX143" i="9"/>
  <c r="AX39" i="9"/>
  <c r="AX131" i="9"/>
  <c r="AX63" i="9"/>
  <c r="AX59" i="9"/>
  <c r="AX80" i="9"/>
  <c r="AX58" i="9"/>
  <c r="AX35" i="9"/>
  <c r="AX51" i="9"/>
  <c r="AX65" i="9"/>
  <c r="AX45" i="9"/>
  <c r="AX17" i="9"/>
  <c r="AX106" i="9"/>
  <c r="AX56" i="9"/>
  <c r="AX158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<sst xmlns="http://schemas.openxmlformats.org/spreadsheetml/2006/main" count="2873" uniqueCount="724">
  <si>
    <t>RR.L</t>
  </si>
  <si>
    <t>ENR1n.DE</t>
  </si>
  <si>
    <t>SABE.MC</t>
  </si>
  <si>
    <t>BAMI.MI</t>
  </si>
  <si>
    <t>PKO.WA</t>
  </si>
  <si>
    <t>EMII.MI</t>
  </si>
  <si>
    <t>LOIM.PA</t>
  </si>
  <si>
    <t>ACLN.S</t>
  </si>
  <si>
    <t>SDZ.S</t>
  </si>
  <si>
    <t>HLN.L</t>
  </si>
  <si>
    <t>DSFIR.AS</t>
  </si>
  <si>
    <t>URW.PA</t>
  </si>
  <si>
    <t>AIBG.I</t>
  </si>
  <si>
    <t>CNA.L</t>
  </si>
  <si>
    <t>INPST.AS</t>
  </si>
  <si>
    <t>LPPP.WA</t>
  </si>
  <si>
    <t>TLIT.MI</t>
  </si>
  <si>
    <t>KGH.WA</t>
  </si>
  <si>
    <t>TMV.DE</t>
  </si>
  <si>
    <t>AZE.BR</t>
  </si>
  <si>
    <t>NULL</t>
  </si>
  <si>
    <t xml:space="preserve">Amount </t>
  </si>
  <si>
    <t>Weights</t>
  </si>
  <si>
    <t>Date</t>
  </si>
  <si>
    <t>Performance</t>
  </si>
  <si>
    <t>Performance %</t>
  </si>
  <si>
    <t>Invested Amounts</t>
  </si>
  <si>
    <t>Our current holdings</t>
  </si>
  <si>
    <t>Profit/Loss Performance</t>
  </si>
  <si>
    <t>Total Performance</t>
  </si>
  <si>
    <t>CRDA.L</t>
  </si>
  <si>
    <t>EMSN.S</t>
  </si>
  <si>
    <t>SY1G.DE</t>
  </si>
  <si>
    <t>SRG.MI</t>
  </si>
  <si>
    <t>LONN.S</t>
  </si>
  <si>
    <t>TOM.OL</t>
  </si>
  <si>
    <t>WLSNc.AS</t>
  </si>
  <si>
    <t>GIVN.S</t>
  </si>
  <si>
    <t>ALLN.S</t>
  </si>
  <si>
    <t>AHT.L</t>
  </si>
  <si>
    <t>HLMA.L</t>
  </si>
  <si>
    <t>ROG.S</t>
  </si>
  <si>
    <t>VIS.MC</t>
  </si>
  <si>
    <t>NIBEb.ST</t>
  </si>
  <si>
    <t>GBLB.BR</t>
  </si>
  <si>
    <t>SJP.L</t>
  </si>
  <si>
    <t>PNN.L</t>
  </si>
  <si>
    <t>SPX.L</t>
  </si>
  <si>
    <t>KINVb.ST</t>
  </si>
  <si>
    <t>ORSTED.CO</t>
  </si>
  <si>
    <t>Total Invested</t>
  </si>
  <si>
    <t>Total Performance of EU</t>
  </si>
  <si>
    <t>HWM.N</t>
  </si>
  <si>
    <t>VTR.N</t>
  </si>
  <si>
    <t>RCL.N</t>
  </si>
  <si>
    <t>UBER.N</t>
  </si>
  <si>
    <t>SMCI.OQ</t>
  </si>
  <si>
    <t>SPG.N</t>
  </si>
  <si>
    <t>NEM.N</t>
  </si>
  <si>
    <t>PODD.OQ</t>
  </si>
  <si>
    <t>KVUE.N</t>
  </si>
  <si>
    <t>LW.N</t>
  </si>
  <si>
    <t>UAL.OQ</t>
  </si>
  <si>
    <t>PCG.N</t>
  </si>
  <si>
    <t>VLTO.N</t>
  </si>
  <si>
    <t>CF.N</t>
  </si>
  <si>
    <t>CCL.N</t>
  </si>
  <si>
    <t>FCX.N</t>
  </si>
  <si>
    <t>DAL.N</t>
  </si>
  <si>
    <t>NCLH.N</t>
  </si>
  <si>
    <t>AKAM.OQ</t>
  </si>
  <si>
    <t>MRNA.OQ</t>
  </si>
  <si>
    <t>INVH.N</t>
  </si>
  <si>
    <t>COST.OQ</t>
  </si>
  <si>
    <t>DOV.N</t>
  </si>
  <si>
    <t>EL.N</t>
  </si>
  <si>
    <t>MMM.N</t>
  </si>
  <si>
    <t>BLK.N</t>
  </si>
  <si>
    <t>MMC.N</t>
  </si>
  <si>
    <t>PAYX.OQ</t>
  </si>
  <si>
    <t>ANSS.OQ</t>
  </si>
  <si>
    <t>PAYC.N</t>
  </si>
  <si>
    <t>EQIX.OQ</t>
  </si>
  <si>
    <t>KEYS.N</t>
  </si>
  <si>
    <t>PLD.N</t>
  </si>
  <si>
    <t>ITW.N</t>
  </si>
  <si>
    <t>HD.N</t>
  </si>
  <si>
    <t>MPWR.OQ</t>
  </si>
  <si>
    <t>POOL.OQ</t>
  </si>
  <si>
    <t>ROK.N</t>
  </si>
  <si>
    <t>TROW.OQ</t>
  </si>
  <si>
    <t>APTV.N</t>
  </si>
  <si>
    <t>STOXX  Long Performance</t>
  </si>
  <si>
    <t>STOXX Long Change Percentage Daily</t>
  </si>
  <si>
    <t>STOXX600 Long Change Daily</t>
  </si>
  <si>
    <t>STOXX600 Short Portfolio Daily</t>
  </si>
  <si>
    <t>EURO SHORT CORRECTLY</t>
  </si>
  <si>
    <t>US LONG Change Daily</t>
  </si>
  <si>
    <t>US LONG Performance</t>
  </si>
  <si>
    <t>STOXX  Short Performance Treated as LONG</t>
  </si>
  <si>
    <t>US  SHORT Performance Treated as LONG</t>
  </si>
  <si>
    <t>p</t>
  </si>
  <si>
    <t>US Short Portfolio Daily Treated as LONG</t>
  </si>
  <si>
    <t>US SHORT CORRECTLY</t>
  </si>
  <si>
    <t>Performance (EUR)</t>
  </si>
  <si>
    <t>21/11/2021</t>
  </si>
  <si>
    <t xml:space="preserve">-   € 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</si>
  <si>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</si>
  <si>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</si>
  <si>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</si>
  <si>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</si>
  <si>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</si>
  <si>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</si>
  <si>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</si>
  <si>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</si>
  <si>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</si>
  <si>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</si>
  <si>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</si>
  <si>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</si>
  <si>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</si>
  <si>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</si>
  <si>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</si>
  <si>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</si>
  <si>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</si>
  <si>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</si>
  <si>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</si>
  <si>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</si>
  <si>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</si>
  <si>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</si>
  <si>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</si>
  <si>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</si>
  <si>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</si>
  <si>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</si>
  <si>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</si>
  <si>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</si>
  <si>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</si>
  <si>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</si>
  <si>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</si>
  <si>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</si>
  <si>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</si>
  <si>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</si>
  <si>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</si>
  <si>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</si>
  <si>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</si>
  <si>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</si>
  <si>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</si>
  <si>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</si>
  <si>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</si>
  <si>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</si>
  <si>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</si>
  <si>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</si>
  <si>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</si>
  <si>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</si>
  <si>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</si>
  <si>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</si>
  <si>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</si>
  <si>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</si>
  <si>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</si>
  <si>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</si>
  <si>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</si>
  <si>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</si>
  <si>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</si>
  <si>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</si>
  <si>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</si>
  <si>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</si>
  <si>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</si>
  <si>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</si>
  <si>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</si>
  <si>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</si>
  <si>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</si>
  <si>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</si>
  <si>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</si>
  <si>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</si>
  <si>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</si>
  <si>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</si>
  <si>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</si>
  <si>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</si>
  <si>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</si>
  <si>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</si>
  <si>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</si>
  <si>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</si>
  <si>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</si>
  <si>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</si>
  <si>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</si>
  <si>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</si>
  <si>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</si>
  <si>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</si>
  <si>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</si>
  <si>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</si>
  <si>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</si>
  <si>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</si>
  <si>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</si>
  <si>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</si>
  <si>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</si>
  <si>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</si>
  <si>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</si>
  <si>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</si>
  <si>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</si>
  <si>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</si>
  <si>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</si>
  <si>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</si>
  <si>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</si>
  <si>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</si>
  <si>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</si>
  <si>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</si>
  <si>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</si>
  <si>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</si>
  <si>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</si>
  <si>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</si>
  <si>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</si>
  <si>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</si>
  <si>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</si>
  <si>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</si>
  <si>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</si>
  <si>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</si>
  <si>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</si>
  <si>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</si>
  <si>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</si>
  <si>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</si>
  <si>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</si>
  <si>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</si>
  <si>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</si>
  <si>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</si>
  <si>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</si>
  <si>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</si>
  <si>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</si>
  <si>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</si>
  <si>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</si>
  <si>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</si>
  <si>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</si>
  <si>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</si>
  <si>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</si>
  <si>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</si>
  <si>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</si>
  <si>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</si>
  <si>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</si>
  <si>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</si>
  <si>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</si>
  <si>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</si>
  <si>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</si>
  <si>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</si>
  <si>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</si>
  <si>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</si>
  <si>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</si>
  <si>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</si>
  <si>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</si>
  <si>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</si>
  <si>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</si>
  <si>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</si>
  <si>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</si>
  <si>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</si>
  <si>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</si>
  <si>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</si>
  <si>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</si>
  <si>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</si>
  <si>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</si>
  <si>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</si>
  <si>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</si>
  <si>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</si>
  <si>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</si>
  <si>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</si>
  <si>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</si>
  <si>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</si>
  <si>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</si>
  <si>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</si>
  <si>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</si>
  <si>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</si>
  <si>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</si>
  <si>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</si>
  <si>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</si>
  <si>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</si>
  <si>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</si>
  <si>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</si>
  <si>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</si>
  <si>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</si>
  <si>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</si>
  <si>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</si>
  <si>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</si>
  <si>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</si>
  <si>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</si>
  <si>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</si>
  <si>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</si>
  <si>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</si>
  <si>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</si>
  <si>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</si>
  <si>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</si>
  <si>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14/11/2022</t>
  </si>
  <si>
    <t>15/11/2022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</si>
  <si>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</si>
  <si>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</si>
  <si>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</si>
  <si>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</si>
  <si>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</si>
  <si>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</si>
  <si>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</si>
  <si>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</si>
  <si>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</si>
  <si>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</si>
  <si>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</si>
  <si>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</si>
  <si>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</si>
  <si>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</si>
  <si>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</si>
  <si>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</si>
  <si>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</si>
  <si>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</si>
  <si>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</si>
  <si>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</si>
  <si>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</si>
  <si>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</si>
  <si>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</si>
  <si>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</si>
  <si>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30/12/2022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</si>
  <si>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</si>
  <si>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</si>
  <si>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</si>
  <si>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</si>
  <si>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</si>
  <si>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</si>
  <si>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</si>
  <si>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</si>
  <si>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</si>
  <si>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</si>
  <si>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</si>
  <si>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</si>
  <si>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</si>
  <si>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</si>
  <si>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</si>
  <si>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</si>
  <si>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</si>
  <si>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</si>
  <si>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</si>
  <si>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</si>
  <si>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</si>
  <si>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</si>
  <si>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</si>
  <si>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</si>
  <si>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</si>
  <si>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</si>
  <si>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</si>
  <si>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</si>
  <si>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</si>
  <si>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</si>
  <si>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</si>
  <si>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</si>
  <si>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</si>
  <si>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</si>
  <si>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</si>
  <si>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</si>
  <si>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</si>
  <si>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</si>
  <si>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</si>
  <si>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</si>
  <si>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</si>
  <si>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</si>
  <si>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</si>
  <si>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</si>
  <si>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</si>
  <si>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</si>
  <si>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</si>
  <si>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</si>
  <si>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</si>
  <si>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</si>
  <si>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</si>
  <si>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</si>
  <si>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</si>
  <si>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</si>
  <si>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</si>
  <si>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</si>
  <si>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</si>
  <si>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</si>
  <si>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</si>
  <si>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</si>
  <si>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</si>
  <si>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</si>
  <si>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</si>
  <si>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</si>
  <si>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</si>
  <si>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</si>
  <si>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</si>
  <si>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</si>
  <si>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</si>
  <si>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</si>
  <si>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</si>
  <si>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</si>
  <si>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</si>
  <si>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</si>
  <si>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</si>
  <si>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</si>
  <si>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</si>
  <si>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</si>
  <si>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</si>
  <si>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</si>
  <si>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</si>
  <si>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</si>
  <si>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</si>
  <si>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</si>
  <si>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</si>
  <si>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</si>
  <si>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</si>
  <si>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</si>
  <si>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</si>
  <si>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</si>
  <si>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</si>
  <si>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</si>
  <si>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</si>
  <si>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</si>
  <si>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</si>
  <si>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</si>
  <si>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</si>
  <si>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</si>
  <si>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</si>
  <si>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</si>
  <si>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</si>
  <si>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</si>
  <si>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</si>
  <si>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</si>
  <si>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</si>
  <si>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</si>
  <si>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</si>
  <si>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</si>
  <si>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</si>
  <si>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</si>
  <si>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</si>
  <si>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</si>
  <si>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</si>
  <si>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</si>
  <si>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</si>
  <si>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</si>
  <si>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</si>
  <si>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</si>
  <si>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</si>
  <si>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</si>
  <si>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</si>
  <si>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</si>
  <si>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</si>
  <si>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</si>
  <si>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</si>
  <si>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</si>
  <si>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</si>
  <si>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</si>
  <si>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</si>
  <si>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</si>
  <si>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</si>
  <si>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</si>
  <si>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13/11/2023</t>
  </si>
  <si>
    <t>14/11/2023</t>
  </si>
  <si>
    <t>15/11/2023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</si>
  <si>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</si>
  <si>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</si>
  <si>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</si>
  <si>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</si>
  <si>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</si>
  <si>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</si>
  <si>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</si>
  <si>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</si>
  <si>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</si>
  <si>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</si>
  <si>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</si>
  <si>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</si>
  <si>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</si>
  <si>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</si>
  <si>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</si>
  <si>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</si>
  <si>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</si>
  <si>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</si>
  <si>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</si>
  <si>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</si>
  <si>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</si>
  <si>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</si>
  <si>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</si>
  <si>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</si>
  <si>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</si>
  <si>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</si>
  <si>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</si>
  <si>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</si>
  <si>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</si>
  <si>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</si>
  <si>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</si>
  <si>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</si>
  <si>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</si>
  <si>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</si>
  <si>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</si>
  <si>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</si>
  <si>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</si>
  <si>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</si>
  <si>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</si>
  <si>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</si>
  <si>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</si>
  <si>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</si>
  <si>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</si>
  <si>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</si>
  <si>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</si>
  <si>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</si>
  <si>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</si>
  <si>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</si>
  <si>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</si>
  <si>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</si>
  <si>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</si>
  <si>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</si>
  <si>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</si>
  <si>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</si>
  <si>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</si>
  <si>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</si>
  <si>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</si>
  <si>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</si>
  <si>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</si>
  <si>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</si>
  <si>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</si>
  <si>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</si>
  <si>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</si>
  <si>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</si>
  <si>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</si>
  <si>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</si>
  <si>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</si>
  <si>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</si>
  <si>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</si>
  <si>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</si>
  <si>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</si>
  <si>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</si>
  <si>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</si>
  <si>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</si>
  <si>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</si>
  <si>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</si>
  <si>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</si>
  <si>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</si>
  <si>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</si>
  <si>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</si>
  <si>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</si>
  <si>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</si>
  <si>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</si>
  <si>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</si>
  <si>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</si>
  <si>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</si>
  <si>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</si>
  <si>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</si>
  <si>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</si>
  <si>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</si>
  <si>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</si>
  <si>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</si>
  <si>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</si>
  <si>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</si>
  <si>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</si>
  <si>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</si>
  <si>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</si>
  <si>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</si>
  <si>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</si>
  <si>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</si>
  <si>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</si>
  <si>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</si>
  <si>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</si>
  <si>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</si>
  <si>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</si>
  <si>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</si>
  <si>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</si>
  <si>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</si>
  <si>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</si>
  <si>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</si>
  <si>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</si>
  <si>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</si>
  <si>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</si>
  <si>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</si>
  <si>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</si>
  <si>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</si>
  <si>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</si>
  <si>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</si>
  <si>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</si>
  <si>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</si>
  <si>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</si>
  <si>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</si>
  <si>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</si>
  <si>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</si>
  <si>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</si>
  <si>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</si>
  <si>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</si>
  <si>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</si>
  <si>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</si>
  <si>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</si>
  <si>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</si>
  <si>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</si>
  <si>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</si>
  <si>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</si>
  <si>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</si>
  <si>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</si>
  <si>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</si>
  <si>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</si>
  <si>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</si>
  <si>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</si>
  <si>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</si>
  <si>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</si>
  <si>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</si>
  <si>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</si>
  <si>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</si>
  <si>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</si>
  <si>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</si>
  <si>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</si>
  <si>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</si>
  <si>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</si>
  <si>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</si>
  <si>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</si>
  <si>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</si>
  <si>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</si>
  <si>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</si>
  <si>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</si>
  <si>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</si>
  <si>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</si>
  <si>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</si>
  <si>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</si>
  <si>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</si>
  <si>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</si>
  <si>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</si>
  <si>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</si>
  <si>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</si>
  <si>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</si>
  <si>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</si>
  <si>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</si>
  <si>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</si>
  <si>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</si>
  <si>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</si>
  <si>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</si>
  <si>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</si>
  <si>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</si>
  <si>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</si>
  <si>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</si>
  <si>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</si>
  <si>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</si>
  <si>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</si>
  <si>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</si>
  <si>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</si>
  <si>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</si>
  <si>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</si>
  <si>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</si>
  <si>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</si>
  <si>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</si>
  <si>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</si>
  <si>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</si>
  <si>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</si>
  <si>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</si>
  <si>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</si>
  <si>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</si>
  <si>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</si>
  <si>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</si>
  <si>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</si>
  <si>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</si>
  <si>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</si>
  <si>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</si>
  <si>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</si>
  <si>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</si>
  <si>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</si>
  <si>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</si>
  <si>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</si>
  <si>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</si>
  <si>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26/12/2024</t>
  </si>
  <si>
    <t>27/12/2024</t>
  </si>
  <si>
    <t>30/12/2024</t>
  </si>
  <si>
    <t>31/12/2024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</si>
  <si>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</si>
  <si>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</si>
  <si>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</si>
  <si>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</si>
  <si>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</si>
  <si>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</si>
  <si>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</si>
  <si>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</si>
  <si>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</si>
  <si>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</si>
  <si>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</si>
  <si>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</si>
  <si>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</si>
  <si>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</si>
  <si>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</si>
  <si>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</si>
  <si>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</si>
  <si>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</si>
  <si>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</si>
  <si>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</si>
  <si>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</si>
  <si>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</si>
  <si>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</si>
  <si>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</si>
  <si>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</si>
  <si>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</si>
  <si>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</si>
  <si>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</si>
  <si>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</si>
  <si>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</si>
  <si>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</si>
  <si>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</si>
  <si>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</si>
  <si>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</si>
  <si>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</si>
  <si>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</si>
  <si>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</si>
  <si>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</si>
  <si>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</si>
  <si>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</si>
  <si>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14/04/2025</t>
  </si>
  <si>
    <t>15/04/2025</t>
  </si>
  <si>
    <t>16/04/2025</t>
  </si>
  <si>
    <t>17/04/2025</t>
  </si>
  <si>
    <t>21/04/2025</t>
  </si>
  <si>
    <t>22/04/2025</t>
  </si>
  <si>
    <t>23/04/2025</t>
  </si>
  <si>
    <t>24/04/2025</t>
  </si>
  <si>
    <t>25/04/2025</t>
  </si>
  <si>
    <t>US LONG Change Percentage Daily</t>
  </si>
  <si>
    <t>EURO Daily</t>
  </si>
  <si>
    <t>US Daily</t>
  </si>
  <si>
    <t>Total Daily</t>
  </si>
  <si>
    <t>SNPS.O</t>
  </si>
  <si>
    <t>US DATE</t>
  </si>
  <si>
    <t>EU DATE</t>
  </si>
  <si>
    <t>US DAILY</t>
  </si>
  <si>
    <t>EU DAILY</t>
  </si>
  <si>
    <t xml:space="preserve">Total </t>
  </si>
  <si>
    <t>Total Performance US EUR</t>
  </si>
  <si>
    <t>TOTAL DAILY RETURNS</t>
  </si>
  <si>
    <t>DATE</t>
  </si>
  <si>
    <t>.SP500</t>
  </si>
  <si>
    <t>.STOXX</t>
  </si>
  <si>
    <t>S&amp;P500</t>
  </si>
  <si>
    <t>STOXX</t>
  </si>
  <si>
    <t>L/S Fund</t>
  </si>
  <si>
    <t>TODAY/FIRST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</si>
</sst>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dd/mm/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0" borderId="0" xfId="0" quotePrefix="1"/>
    <xf numFmtId="14" fontId="0" fillId="0" borderId="0" xfId="0" applyNumberFormat="1"/>
    <xf numFmtId="0" fontId="1" fillId="0" borderId="0" xfId="0" applyFont="1"/>
    <xf numFmtId="10" fontId="2" fillId="2" borderId="0" xfId="0" applyNumberFormat="1" applyFont="1" applyFill="1"/>
    <xf numFmtId="0" fontId="0" fillId="3" borderId="0" xfId="0" applyFill="1"/>
    <xf numFmtId="164" fontId="0" fillId="0" borderId="0" xfId="0" applyNumberFormat="1"/>
    <xf numFmtId="0" fontId="2" fillId="2" borderId="0" xfId="0" applyFont="1" applyFill="1"/>
    <xf numFmtId="0" fontId="3" fillId="0" borderId="0" xfId="0" applyFont="1"/>
    <xf numFmtId="14" fontId="4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14" fontId="2" fillId="4" borderId="0" xfId="0" applyNumberFormat="1" applyFont="1" applyFill="1" applyAlignment="1">
      <alignment horizontal="left"/>
    </xf>
    <xf numFmtId="0" fontId="1" fillId="0" borderId="0" xfId="0" applyFont="1" applyAlignment="1">
      <alignment horizontal="center"/>
    </xf>
    <xf numFmtId="2" fontId="2" fillId="0" borderId="0" xfId="0" applyNumberFormat="1" applyFont="1"/>
    <xf numFmtId="2" fontId="2" fillId="4" borderId="0" xfId="0" applyNumberFormat="1" applyFont="1" applyFill="1"/>
    <xf numFmtId="165" fontId="5" fillId="0" borderId="0" xfId="0" applyNumberFormat="1" applyFont="1" applyAlignment="1">
      <alignment horizontal="left"/>
    </xf>
    <xf numFmtId="2" fontId="4" fillId="0" borderId="0" xfId="0" applyNumberFormat="1" applyFont="1"/>
    <xf numFmtId="2" fontId="5" fillId="0" borderId="0" xfId="0" applyNumberFormat="1" applyFont="1"/>
    <xf numFmtId="0" fontId="0" fillId="0" borderId="0" xfId="0" quotePrefix="1" applyAlignment="1">
      <alignment horizontal="center"/>
    </xf>
    <xf numFmtId="1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left"/>
    </xf>
    <xf numFmtId="2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'S&amp;P500 and STOXX PERFOMRMANCE'!$N$1</c:f>
              <c:strCache>
                <c:ptCount val="1"/>
                <c:pt idx="0">
                  <c:v>S&amp;P500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'S&amp;P500 and STOXX PERFOMRMANCE'!$M$2:$M$150</c:f>
              <c:numCache>
                <c:formatCode>m/d/yy</c:formatCode>
                <c:ptCount val="149"/>
                <c:pt idx="0">
                  <c:v>45775</c:v>
                </c:pt>
                <c:pt idx="1">
                  <c:v>45776</c:v>
                </c:pt>
                <c:pt idx="2">
                  <c:v>45777</c:v>
                </c:pt>
                <c:pt idx="3">
                  <c:v>45778</c:v>
                </c:pt>
                <c:pt idx="4">
                  <c:v>45779</c:v>
                </c:pt>
                <c:pt idx="5">
                  <c:v>45782</c:v>
                </c:pt>
                <c:pt idx="6">
                  <c:v>45783</c:v>
                </c:pt>
                <c:pt idx="7">
                  <c:v>45784</c:v>
                </c:pt>
                <c:pt idx="8">
                  <c:v>45785</c:v>
                </c:pt>
                <c:pt idx="9">
                  <c:v>45786</c:v>
                </c:pt>
                <c:pt idx="10">
                  <c:v>45789</c:v>
                </c:pt>
                <c:pt idx="11">
                  <c:v>45790</c:v>
                </c:pt>
                <c:pt idx="12">
                  <c:v>45791</c:v>
                </c:pt>
                <c:pt idx="13">
                  <c:v>45792</c:v>
                </c:pt>
                <c:pt idx="14">
                  <c:v>45793</c:v>
                </c:pt>
                <c:pt idx="15">
                  <c:v>45796</c:v>
                </c:pt>
                <c:pt idx="16">
                  <c:v>45797</c:v>
                </c:pt>
                <c:pt idx="17">
                  <c:v>45798</c:v>
                </c:pt>
                <c:pt idx="18">
                  <c:v>45799</c:v>
                </c:pt>
                <c:pt idx="19">
                  <c:v>45800</c:v>
                </c:pt>
                <c:pt idx="20">
                  <c:v>45804</c:v>
                </c:pt>
                <c:pt idx="21">
                  <c:v>45805</c:v>
                </c:pt>
                <c:pt idx="22">
                  <c:v>45806</c:v>
                </c:pt>
                <c:pt idx="23">
                  <c:v>45807</c:v>
                </c:pt>
                <c:pt idx="24">
                  <c:v>45810</c:v>
                </c:pt>
                <c:pt idx="25">
                  <c:v>45811</c:v>
                </c:pt>
                <c:pt idx="26">
                  <c:v>45812</c:v>
                </c:pt>
                <c:pt idx="27">
                  <c:v>45813</c:v>
                </c:pt>
                <c:pt idx="28">
                  <c:v>45814</c:v>
                </c:pt>
                <c:pt idx="29">
                  <c:v>45817</c:v>
                </c:pt>
                <c:pt idx="30">
                  <c:v>45818</c:v>
                </c:pt>
                <c:pt idx="31">
                  <c:v>45819</c:v>
                </c:pt>
                <c:pt idx="32">
                  <c:v>45820</c:v>
                </c:pt>
                <c:pt idx="33">
                  <c:v>45821</c:v>
                </c:pt>
                <c:pt idx="34">
                  <c:v>45824</c:v>
                </c:pt>
                <c:pt idx="35">
                  <c:v>45825</c:v>
                </c:pt>
                <c:pt idx="36">
                  <c:v>45826</c:v>
                </c:pt>
                <c:pt idx="37">
                  <c:v>45827</c:v>
                </c:pt>
                <c:pt idx="38">
                  <c:v>45828</c:v>
                </c:pt>
                <c:pt idx="39">
                  <c:v>45831</c:v>
                </c:pt>
                <c:pt idx="40">
                  <c:v>45832</c:v>
                </c:pt>
                <c:pt idx="41">
                  <c:v>45833</c:v>
                </c:pt>
                <c:pt idx="42">
                  <c:v>45834</c:v>
                </c:pt>
                <c:pt idx="43">
                  <c:v>45835</c:v>
                </c:pt>
                <c:pt idx="44">
                  <c:v>45838</c:v>
                </c:pt>
                <c:pt idx="45">
                  <c:v>45839</c:v>
                </c:pt>
                <c:pt idx="46">
                  <c:v>45840</c:v>
                </c:pt>
                <c:pt idx="47">
                  <c:v>45841</c:v>
                </c:pt>
                <c:pt idx="48">
                  <c:v>45842</c:v>
                </c:pt>
                <c:pt idx="49">
                  <c:v>45845</c:v>
                </c:pt>
                <c:pt idx="50">
                  <c:v>45846</c:v>
                </c:pt>
                <c:pt idx="51">
                  <c:v>45847</c:v>
                </c:pt>
                <c:pt idx="52">
                  <c:v>45848</c:v>
                </c:pt>
                <c:pt idx="53">
                  <c:v>45849</c:v>
                </c:pt>
                <c:pt idx="54">
                  <c:v>45852</c:v>
                </c:pt>
                <c:pt idx="55">
                  <c:v>45853</c:v>
                </c:pt>
                <c:pt idx="56">
                  <c:v>45854</c:v>
                </c:pt>
                <c:pt idx="57">
                  <c:v>45855</c:v>
                </c:pt>
                <c:pt idx="58">
                  <c:v>45856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45866</c:v>
                </c:pt>
                <c:pt idx="65">
                  <c:v>45867</c:v>
                </c:pt>
                <c:pt idx="66">
                  <c:v>45868</c:v>
                </c:pt>
                <c:pt idx="67">
                  <c:v>45869</c:v>
                </c:pt>
                <c:pt idx="68">
                  <c:v>45870</c:v>
                </c:pt>
                <c:pt idx="69">
                  <c:v>45873</c:v>
                </c:pt>
                <c:pt idx="70">
                  <c:v>45874</c:v>
                </c:pt>
                <c:pt idx="71">
                  <c:v>45875</c:v>
                </c:pt>
                <c:pt idx="72">
                  <c:v>45876</c:v>
                </c:pt>
                <c:pt idx="73">
                  <c:v>45877</c:v>
                </c:pt>
                <c:pt idx="74">
                  <c:v>45880</c:v>
                </c:pt>
                <c:pt idx="75">
                  <c:v>45881</c:v>
                </c:pt>
                <c:pt idx="76">
                  <c:v>45882</c:v>
                </c:pt>
                <c:pt idx="77">
                  <c:v>45883</c:v>
                </c:pt>
                <c:pt idx="78">
                  <c:v>45884</c:v>
                </c:pt>
                <c:pt idx="79">
                  <c:v>45887</c:v>
                </c:pt>
                <c:pt idx="80">
                  <c:v>45888</c:v>
                </c:pt>
                <c:pt idx="81">
                  <c:v>45889</c:v>
                </c:pt>
                <c:pt idx="82">
                  <c:v>45890</c:v>
                </c:pt>
                <c:pt idx="83">
                  <c:v>45891</c:v>
                </c:pt>
                <c:pt idx="84">
                  <c:v>45894</c:v>
                </c:pt>
                <c:pt idx="85">
                  <c:v>45895</c:v>
                </c:pt>
                <c:pt idx="86">
                  <c:v>45896</c:v>
                </c:pt>
                <c:pt idx="87">
                  <c:v>45897</c:v>
                </c:pt>
                <c:pt idx="88">
                  <c:v>45898</c:v>
                </c:pt>
                <c:pt idx="89">
                  <c:v>45901</c:v>
                </c:pt>
                <c:pt idx="90">
                  <c:v>45902</c:v>
                </c:pt>
                <c:pt idx="91">
                  <c:v>45903</c:v>
                </c:pt>
                <c:pt idx="92">
                  <c:v>45904</c:v>
                </c:pt>
                <c:pt idx="93">
                  <c:v>45905</c:v>
                </c:pt>
                <c:pt idx="94">
                  <c:v>45908</c:v>
                </c:pt>
                <c:pt idx="95">
                  <c:v>45909</c:v>
                </c:pt>
                <c:pt idx="96">
                  <c:v>45910</c:v>
                </c:pt>
                <c:pt idx="97">
                  <c:v>45911</c:v>
                </c:pt>
                <c:pt idx="98">
                  <c:v>45912</c:v>
                </c:pt>
                <c:pt idx="99">
                  <c:v>45915</c:v>
                </c:pt>
                <c:pt idx="100">
                  <c:v>45916</c:v>
                </c:pt>
                <c:pt idx="101">
                  <c:v>45917</c:v>
                </c:pt>
                <c:pt idx="102">
                  <c:v>45918</c:v>
                </c:pt>
                <c:pt idx="103">
                  <c:v>45919</c:v>
                </c:pt>
                <c:pt idx="104">
                  <c:v>45922</c:v>
                </c:pt>
                <c:pt idx="105">
                  <c:v>45923</c:v>
                </c:pt>
                <c:pt idx="106">
                  <c:v>45924</c:v>
                </c:pt>
                <c:pt idx="107">
                  <c:v>45925</c:v>
                </c:pt>
                <c:pt idx="108">
                  <c:v>45926</c:v>
                </c:pt>
                <c:pt idx="109">
                  <c:v>45929</c:v>
                </c:pt>
                <c:pt idx="110">
                  <c:v>45930</c:v>
                </c:pt>
                <c:pt idx="111">
                  <c:v>45931</c:v>
                </c:pt>
                <c:pt idx="112">
                  <c:v>45932</c:v>
                </c:pt>
                <c:pt idx="113">
                  <c:v>45933</c:v>
                </c:pt>
                <c:pt idx="114">
                  <c:v>45936</c:v>
                </c:pt>
                <c:pt idx="115">
                  <c:v>45937</c:v>
                </c:pt>
                <c:pt idx="116">
                  <c:v>45938</c:v>
                </c:pt>
                <c:pt idx="117">
                  <c:v>45939</c:v>
                </c:pt>
                <c:pt idx="118">
                  <c:v>45940</c:v>
                </c:pt>
                <c:pt idx="119">
                  <c:v>45943</c:v>
                </c:pt>
                <c:pt idx="120">
                  <c:v>45944</c:v>
                </c:pt>
                <c:pt idx="121">
                  <c:v>45945</c:v>
                </c:pt>
                <c:pt idx="122">
                  <c:v>45946</c:v>
                </c:pt>
                <c:pt idx="123">
                  <c:v>45947</c:v>
                </c:pt>
                <c:pt idx="124">
                  <c:v>45950</c:v>
                </c:pt>
                <c:pt idx="125">
                  <c:v>45951</c:v>
                </c:pt>
                <c:pt idx="126">
                  <c:v>45952</c:v>
                </c:pt>
                <c:pt idx="127">
                  <c:v>45953</c:v>
                </c:pt>
                <c:pt idx="128">
                  <c:v>45954</c:v>
                </c:pt>
                <c:pt idx="129">
                  <c:v>45957</c:v>
                </c:pt>
                <c:pt idx="130">
                  <c:v>45958</c:v>
                </c:pt>
                <c:pt idx="131">
                  <c:v>45959</c:v>
                </c:pt>
                <c:pt idx="132">
                  <c:v>45960</c:v>
                </c:pt>
                <c:pt idx="133">
                  <c:v>45961</c:v>
                </c:pt>
                <c:pt idx="134">
                  <c:v>45964</c:v>
                </c:pt>
                <c:pt idx="135">
                  <c:v>45965</c:v>
                </c:pt>
                <c:pt idx="136">
                  <c:v>45966</c:v>
                </c:pt>
                <c:pt idx="137">
                  <c:v>45967</c:v>
                </c:pt>
                <c:pt idx="138">
                  <c:v>45968</c:v>
                </c:pt>
                <c:pt idx="139">
                  <c:v>45971</c:v>
                </c:pt>
                <c:pt idx="140">
                  <c:v>45972</c:v>
                </c:pt>
                <c:pt idx="141">
                  <c:v>45973</c:v>
                </c:pt>
                <c:pt idx="142">
                  <c:v>45974</c:v>
                </c:pt>
                <c:pt idx="143">
                  <c:v>45975</c:v>
                </c:pt>
                <c:pt idx="144">
                  <c:v>45978</c:v>
                </c:pt>
                <c:pt idx="145">
                  <c:v>45979</c:v>
                </c:pt>
                <c:pt idx="146">
                  <c:v>45980</c:v>
                </c:pt>
                <c:pt idx="147">
                  <c:v>45981</c:v>
                </c:pt>
                <c:pt idx="148">
                  <c:v>45982</c:v>
                </c:pt>
              </c:numCache>
            </c:numRef>
          </c:cat>
          <c:val>
            <c:numRef>
              <c:f>'S&amp;P500 and STOXX PERFOMRMANCE'!$N$2:$N$150</c:f>
              <c:numCache>
                <c:formatCode>General</c:formatCode>
                <c:ptCount val="149"/>
                <c:pt idx="0">
                  <c:v>1</c:v>
                </c:pt>
                <c:pt idx="1">
                  <c:v>1.0089846107904419</c:v>
                </c:pt>
                <c:pt idx="2">
                  <c:v>1.0156562312358011</c:v>
                </c:pt>
                <c:pt idx="3">
                  <c:v>1.0253063804797511</c:v>
                </c:pt>
                <c:pt idx="4">
                  <c:v>1.0400421428855946</c:v>
                </c:pt>
                <c:pt idx="5">
                  <c:v>1.0316652900424002</c:v>
                </c:pt>
                <c:pt idx="6">
                  <c:v>1.0188628655913812</c:v>
                </c:pt>
                <c:pt idx="7">
                  <c:v>1.0295394638217119</c:v>
                </c:pt>
                <c:pt idx="8">
                  <c:v>1.0421553710099567</c:v>
                </c:pt>
                <c:pt idx="9">
                  <c:v>1.0395670803388468</c:v>
                </c:pt>
                <c:pt idx="10">
                  <c:v>1.0889022922793454</c:v>
                </c:pt>
                <c:pt idx="11">
                  <c:v>1.0872746512743983</c:v>
                </c:pt>
                <c:pt idx="12">
                  <c:v>1.0893625433586183</c:v>
                </c:pt>
                <c:pt idx="13">
                  <c:v>1.0925913968384167</c:v>
                </c:pt>
                <c:pt idx="14">
                  <c:v>1.1026207877535905</c:v>
                </c:pt>
                <c:pt idx="15">
                  <c:v>1.0958272510207516</c:v>
                </c:pt>
                <c:pt idx="16">
                  <c:v>1.0877095647133996</c:v>
                </c:pt>
                <c:pt idx="17">
                  <c:v>1.0657159161272947</c:v>
                </c:pt>
                <c:pt idx="18">
                  <c:v>1.0698632261198817</c:v>
                </c:pt>
                <c:pt idx="19">
                  <c:v>1.0548340769204843</c:v>
                </c:pt>
                <c:pt idx="20">
                  <c:v>1.0798410046908948</c:v>
                </c:pt>
                <c:pt idx="21">
                  <c:v>1.0772435716765485</c:v>
                </c:pt>
                <c:pt idx="22">
                  <c:v>1.0740535648127709</c:v>
                </c:pt>
                <c:pt idx="23">
                  <c:v>1.0762367174170262</c:v>
                </c:pt>
                <c:pt idx="24">
                  <c:v>1.071774463903959</c:v>
                </c:pt>
                <c:pt idx="25">
                  <c:v>1.084724500758971</c:v>
                </c:pt>
                <c:pt idx="26">
                  <c:v>1.0803403695267841</c:v>
                </c:pt>
                <c:pt idx="27">
                  <c:v>1.0720993604778966</c:v>
                </c:pt>
                <c:pt idx="28">
                  <c:v>1.0878671490844349</c:v>
                </c:pt>
                <c:pt idx="29">
                  <c:v>1.0864005276293727</c:v>
                </c:pt>
                <c:pt idx="30">
                  <c:v>1.0920689048692438</c:v>
                </c:pt>
                <c:pt idx="31">
                  <c:v>1.083002397585453</c:v>
                </c:pt>
                <c:pt idx="32">
                  <c:v>1.0781248598594906</c:v>
                </c:pt>
                <c:pt idx="33">
                  <c:v>1.0688103826859916</c:v>
                </c:pt>
                <c:pt idx="34">
                  <c:v>1.0780144835627756</c:v>
                </c:pt>
                <c:pt idx="35">
                  <c:v>1.07664849760131</c:v>
                </c:pt>
                <c:pt idx="36">
                  <c:v>1.0763153020493044</c:v>
                </c:pt>
                <c:pt idx="37">
                  <c:v>1.0763153020493044</c:v>
                </c:pt>
                <c:pt idx="38">
                  <c:v>1.069952198742254</c:v>
                </c:pt>
                <c:pt idx="39">
                  <c:v>1.0752031074652355</c:v>
                </c:pt>
                <c:pt idx="40">
                  <c:v>1.0841528494727979</c:v>
                </c:pt>
                <c:pt idx="41">
                  <c:v>1.0794174301876454</c:v>
                </c:pt>
                <c:pt idx="42">
                  <c:v>1.0843445127320115</c:v>
                </c:pt>
                <c:pt idx="43">
                  <c:v>1.0881554265969331</c:v>
                </c:pt>
                <c:pt idx="44">
                  <c:v>1.0875456394879861</c:v>
                </c:pt>
                <c:pt idx="45">
                  <c:v>1.0845867379011895</c:v>
                </c:pt>
                <c:pt idx="46">
                  <c:v>1.0903768862619538</c:v>
                </c:pt>
                <c:pt idx="47">
                  <c:v>1.1034000710575063</c:v>
                </c:pt>
                <c:pt idx="48">
                  <c:v>1.1034000710575063</c:v>
                </c:pt>
                <c:pt idx="49">
                  <c:v>1.0993057853636055</c:v>
                </c:pt>
                <c:pt idx="50">
                  <c:v>1.0969251549188674</c:v>
                </c:pt>
                <c:pt idx="51">
                  <c:v>1.1040537642498518</c:v>
                </c:pt>
                <c:pt idx="52">
                  <c:v>1.1088750016439948</c:v>
                </c:pt>
                <c:pt idx="53">
                  <c:v>1.1062655337936669</c:v>
                </c:pt>
                <c:pt idx="54">
                  <c:v>1.1102833184230336</c:v>
                </c:pt>
                <c:pt idx="55">
                  <c:v>1.1119909423663812</c:v>
                </c:pt>
                <c:pt idx="56">
                  <c:v>1.1121908386926354</c:v>
                </c:pt>
                <c:pt idx="57">
                  <c:v>1.1219282812246221</c:v>
                </c:pt>
                <c:pt idx="58">
                  <c:v>1.1189385302367041</c:v>
                </c:pt>
                <c:pt idx="59">
                  <c:v>1.1137951155879768</c:v>
                </c:pt>
                <c:pt idx="60">
                  <c:v>1.1090063039839289</c:v>
                </c:pt>
                <c:pt idx="61">
                  <c:v>1.1160540235071215</c:v>
                </c:pt>
                <c:pt idx="62">
                  <c:v>1.1183441833400272</c:v>
                </c:pt>
                <c:pt idx="63">
                  <c:v>1.1241358855497574</c:v>
                </c:pt>
                <c:pt idx="64">
                  <c:v>1.1390773242064669</c:v>
                </c:pt>
                <c:pt idx="65">
                  <c:v>1.1399448854915994</c:v>
                </c:pt>
                <c:pt idx="66">
                  <c:v>1.1525975336834804</c:v>
                </c:pt>
                <c:pt idx="67">
                  <c:v>1.147226775624085</c:v>
                </c:pt>
                <c:pt idx="68">
                  <c:v>1.1124102973302215</c:v>
                </c:pt>
                <c:pt idx="69">
                  <c:v>1.1301644045027783</c:v>
                </c:pt>
                <c:pt idx="70">
                  <c:v>1.1242976562724982</c:v>
                </c:pt>
                <c:pt idx="71">
                  <c:v>1.1242262589887566</c:v>
                </c:pt>
                <c:pt idx="72">
                  <c:v>1.1227531412569054</c:v>
                </c:pt>
                <c:pt idx="73">
                  <c:v>1.1340308468811549</c:v>
                </c:pt>
                <c:pt idx="74">
                  <c:v>1.1336282258199799</c:v>
                </c:pt>
                <c:pt idx="75">
                  <c:v>1.1406974214653987</c:v>
                </c:pt>
                <c:pt idx="76">
                  <c:v>1.1413500064563233</c:v>
                </c:pt>
                <c:pt idx="77">
                  <c:v>1.147373276363842</c:v>
                </c:pt>
                <c:pt idx="78">
                  <c:v>1.1390664192067024</c:v>
                </c:pt>
                <c:pt idx="79">
                  <c:v>1.1425624348032353</c:v>
                </c:pt>
                <c:pt idx="80">
                  <c:v>1.1372342660820516</c:v>
                </c:pt>
                <c:pt idx="81">
                  <c:v>1.1339927113172192</c:v>
                </c:pt>
                <c:pt idx="82">
                  <c:v>1.1339263618615991</c:v>
                </c:pt>
                <c:pt idx="83">
                  <c:v>1.1403392297666346</c:v>
                </c:pt>
                <c:pt idx="84">
                  <c:v>1.144944654312176</c:v>
                </c:pt>
                <c:pt idx="85">
                  <c:v>1.1473128223133673</c:v>
                </c:pt>
                <c:pt idx="86">
                  <c:v>1.1505528311732782</c:v>
                </c:pt>
                <c:pt idx="87">
                  <c:v>1.1497384037880378</c:v>
                </c:pt>
                <c:pt idx="88">
                  <c:v>1.1421825866634276</c:v>
                </c:pt>
                <c:pt idx="89">
                  <c:v>1.1421825866634276</c:v>
                </c:pt>
                <c:pt idx="90">
                  <c:v>1.1387552663313112</c:v>
                </c:pt>
                <c:pt idx="91">
                  <c:v>1.1423118158631054</c:v>
                </c:pt>
                <c:pt idx="92">
                  <c:v>1.1530283902473795</c:v>
                </c:pt>
                <c:pt idx="93">
                  <c:v>1.1427097890249596</c:v>
                </c:pt>
                <c:pt idx="94">
                  <c:v>1.140743911036064</c:v>
                </c:pt>
                <c:pt idx="95">
                  <c:v>1.1492717785607101</c:v>
                </c:pt>
                <c:pt idx="96">
                  <c:v>1.1539829121130796</c:v>
                </c:pt>
                <c:pt idx="97">
                  <c:v>1.1598150787892456</c:v>
                </c:pt>
                <c:pt idx="98">
                  <c:v>1.1592541571676389</c:v>
                </c:pt>
                <c:pt idx="99">
                  <c:v>1.1620322525774593</c:v>
                </c:pt>
                <c:pt idx="100">
                  <c:v>1.1501630770764046</c:v>
                </c:pt>
                <c:pt idx="101">
                  <c:v>1.1543103548695421</c:v>
                </c:pt>
                <c:pt idx="102">
                  <c:v>1.1623877200606321</c:v>
                </c:pt>
                <c:pt idx="103">
                  <c:v>1.1722519576861572</c:v>
                </c:pt>
                <c:pt idx="104">
                  <c:v>1.171627581211425</c:v>
                </c:pt>
                <c:pt idx="105">
                  <c:v>1.1639016295931683</c:v>
                </c:pt>
                <c:pt idx="106">
                  <c:v>1.1683091338129306</c:v>
                </c:pt>
                <c:pt idx="107">
                  <c:v>1.1696324406258873</c:v>
                </c:pt>
                <c:pt idx="108">
                  <c:v>1.1729122882430569</c:v>
                </c:pt>
                <c:pt idx="109">
                  <c:v>1.1735954908502149</c:v>
                </c:pt>
                <c:pt idx="110">
                  <c:v>1.1775954261997028</c:v>
                </c:pt>
                <c:pt idx="111">
                  <c:v>1.1820020256680857</c:v>
                </c:pt>
                <c:pt idx="112">
                  <c:v>1.1842436724345633</c:v>
                </c:pt>
                <c:pt idx="113">
                  <c:v>1.1816026605056014</c:v>
                </c:pt>
                <c:pt idx="114">
                  <c:v>1.1891422031887549</c:v>
                </c:pt>
                <c:pt idx="115">
                  <c:v>1.1901020516764755</c:v>
                </c:pt>
                <c:pt idx="116">
                  <c:v>1.2000229782324012</c:v>
                </c:pt>
                <c:pt idx="117">
                  <c:v>1.2032421685155537</c:v>
                </c:pt>
                <c:pt idx="118">
                  <c:v>1.1650710132680271</c:v>
                </c:pt>
                <c:pt idx="119">
                  <c:v>1.1883576315382556</c:v>
                </c:pt>
                <c:pt idx="120">
                  <c:v>1.18272404939641</c:v>
                </c:pt>
                <c:pt idx="121">
                  <c:v>1.1832963386340081</c:v>
                </c:pt>
                <c:pt idx="122">
                  <c:v>1.1717274045260531</c:v>
                </c:pt>
                <c:pt idx="123">
                  <c:v>1.1815507231763609</c:v>
                </c:pt>
                <c:pt idx="124">
                  <c:v>1.1952866910938653</c:v>
                </c:pt>
                <c:pt idx="125">
                  <c:v>1.1996537346735785</c:v>
                </c:pt>
                <c:pt idx="126">
                  <c:v>1.19201903597312</c:v>
                </c:pt>
                <c:pt idx="127">
                  <c:v>1.1982407181889199</c:v>
                </c:pt>
                <c:pt idx="128">
                  <c:v>1.2068830444198997</c:v>
                </c:pt>
                <c:pt idx="129">
                  <c:v>1.2198255133358766</c:v>
                </c:pt>
                <c:pt idx="130">
                  <c:v>1.2218764645697042</c:v>
                </c:pt>
                <c:pt idx="131">
                  <c:v>1.2271893231805233</c:v>
                </c:pt>
                <c:pt idx="132">
                  <c:v>1.2186145094534599</c:v>
                </c:pt>
                <c:pt idx="133">
                  <c:v>1.2250825890362507</c:v>
                </c:pt>
                <c:pt idx="134">
                  <c:v>1.2289029306524231</c:v>
                </c:pt>
                <c:pt idx="135">
                  <c:v>1.2182845377735985</c:v>
                </c:pt>
                <c:pt idx="136">
                  <c:v>1.2217812282608671</c:v>
                </c:pt>
                <c:pt idx="137">
                  <c:v>1.2022656771935061</c:v>
                </c:pt>
                <c:pt idx="138">
                  <c:v>1.2019064266973609</c:v>
                </c:pt>
                <c:pt idx="139">
                  <c:v>1.2213624231039748</c:v>
                </c:pt>
                <c:pt idx="140">
                  <c:v>1.2213662829522749</c:v>
                </c:pt>
                <c:pt idx="141">
                  <c:v>1.2208600648242522</c:v>
                </c:pt>
                <c:pt idx="142">
                  <c:v>1.1966244974563194</c:v>
                </c:pt>
                <c:pt idx="143">
                  <c:v>1.1971652419042524</c:v>
                </c:pt>
                <c:pt idx="144">
                  <c:v>1.1892565477134982</c:v>
                </c:pt>
                <c:pt idx="145">
                  <c:v>1.1805582375083841</c:v>
                </c:pt>
                <c:pt idx="146">
                  <c:v>1.1894076868201766</c:v>
                </c:pt>
                <c:pt idx="147">
                  <c:v>1.1718111636042658</c:v>
                </c:pt>
                <c:pt idx="148">
                  <c:v>1.1718111636042658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E0-4DDF-A7AF-39DB53C5F638}"/>
            </c:ext>
          </c:extLst>
        </c:ser>
        <c:ser>
          <c:idx val="1"/>
          <c:order val="1"/>
          <c:tx>
            <c:strRef>
              <c:f>'S&amp;P500 and STOXX PERFOMRMANCE'!$O$1</c:f>
              <c:strCache>
                <c:ptCount val="1"/>
                <c:pt idx="0">
                  <c:v>STOXX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'S&amp;P500 and STOXX PERFOMRMANCE'!$M$2:$M$150</c:f>
              <c:numCache>
                <c:formatCode>m/d/yy</c:formatCode>
                <c:ptCount val="149"/>
                <c:pt idx="0">
                  <c:v>45775</c:v>
                </c:pt>
                <c:pt idx="1">
                  <c:v>45776</c:v>
                </c:pt>
                <c:pt idx="2">
                  <c:v>45777</c:v>
                </c:pt>
                <c:pt idx="3">
                  <c:v>45778</c:v>
                </c:pt>
                <c:pt idx="4">
                  <c:v>45779</c:v>
                </c:pt>
                <c:pt idx="5">
                  <c:v>45782</c:v>
                </c:pt>
                <c:pt idx="6">
                  <c:v>45783</c:v>
                </c:pt>
                <c:pt idx="7">
                  <c:v>45784</c:v>
                </c:pt>
                <c:pt idx="8">
                  <c:v>45785</c:v>
                </c:pt>
                <c:pt idx="9">
                  <c:v>45786</c:v>
                </c:pt>
                <c:pt idx="10">
                  <c:v>45789</c:v>
                </c:pt>
                <c:pt idx="11">
                  <c:v>45790</c:v>
                </c:pt>
                <c:pt idx="12">
                  <c:v>45791</c:v>
                </c:pt>
                <c:pt idx="13">
                  <c:v>45792</c:v>
                </c:pt>
                <c:pt idx="14">
                  <c:v>45793</c:v>
                </c:pt>
                <c:pt idx="15">
                  <c:v>45796</c:v>
                </c:pt>
                <c:pt idx="16">
                  <c:v>45797</c:v>
                </c:pt>
                <c:pt idx="17">
                  <c:v>45798</c:v>
                </c:pt>
                <c:pt idx="18">
                  <c:v>45799</c:v>
                </c:pt>
                <c:pt idx="19">
                  <c:v>45800</c:v>
                </c:pt>
                <c:pt idx="20">
                  <c:v>45804</c:v>
                </c:pt>
                <c:pt idx="21">
                  <c:v>45805</c:v>
                </c:pt>
                <c:pt idx="22">
                  <c:v>45806</c:v>
                </c:pt>
                <c:pt idx="23">
                  <c:v>45807</c:v>
                </c:pt>
                <c:pt idx="24">
                  <c:v>45810</c:v>
                </c:pt>
                <c:pt idx="25">
                  <c:v>45811</c:v>
                </c:pt>
                <c:pt idx="26">
                  <c:v>45812</c:v>
                </c:pt>
                <c:pt idx="27">
                  <c:v>45813</c:v>
                </c:pt>
                <c:pt idx="28">
                  <c:v>45814</c:v>
                </c:pt>
                <c:pt idx="29">
                  <c:v>45817</c:v>
                </c:pt>
                <c:pt idx="30">
                  <c:v>45818</c:v>
                </c:pt>
                <c:pt idx="31">
                  <c:v>45819</c:v>
                </c:pt>
                <c:pt idx="32">
                  <c:v>45820</c:v>
                </c:pt>
                <c:pt idx="33">
                  <c:v>45821</c:v>
                </c:pt>
                <c:pt idx="34">
                  <c:v>45824</c:v>
                </c:pt>
                <c:pt idx="35">
                  <c:v>45825</c:v>
                </c:pt>
                <c:pt idx="36">
                  <c:v>45826</c:v>
                </c:pt>
                <c:pt idx="37">
                  <c:v>45827</c:v>
                </c:pt>
                <c:pt idx="38">
                  <c:v>45828</c:v>
                </c:pt>
                <c:pt idx="39">
                  <c:v>45831</c:v>
                </c:pt>
                <c:pt idx="40">
                  <c:v>45832</c:v>
                </c:pt>
                <c:pt idx="41">
                  <c:v>45833</c:v>
                </c:pt>
                <c:pt idx="42">
                  <c:v>45834</c:v>
                </c:pt>
                <c:pt idx="43">
                  <c:v>45835</c:v>
                </c:pt>
                <c:pt idx="44">
                  <c:v>45838</c:v>
                </c:pt>
                <c:pt idx="45">
                  <c:v>45839</c:v>
                </c:pt>
                <c:pt idx="46">
                  <c:v>45840</c:v>
                </c:pt>
                <c:pt idx="47">
                  <c:v>45841</c:v>
                </c:pt>
                <c:pt idx="48">
                  <c:v>45842</c:v>
                </c:pt>
                <c:pt idx="49">
                  <c:v>45845</c:v>
                </c:pt>
                <c:pt idx="50">
                  <c:v>45846</c:v>
                </c:pt>
                <c:pt idx="51">
                  <c:v>45847</c:v>
                </c:pt>
                <c:pt idx="52">
                  <c:v>45848</c:v>
                </c:pt>
                <c:pt idx="53">
                  <c:v>45849</c:v>
                </c:pt>
                <c:pt idx="54">
                  <c:v>45852</c:v>
                </c:pt>
                <c:pt idx="55">
                  <c:v>45853</c:v>
                </c:pt>
                <c:pt idx="56">
                  <c:v>45854</c:v>
                </c:pt>
                <c:pt idx="57">
                  <c:v>45855</c:v>
                </c:pt>
                <c:pt idx="58">
                  <c:v>45856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45866</c:v>
                </c:pt>
                <c:pt idx="65">
                  <c:v>45867</c:v>
                </c:pt>
                <c:pt idx="66">
                  <c:v>45868</c:v>
                </c:pt>
                <c:pt idx="67">
                  <c:v>45869</c:v>
                </c:pt>
                <c:pt idx="68">
                  <c:v>45870</c:v>
                </c:pt>
                <c:pt idx="69">
                  <c:v>45873</c:v>
                </c:pt>
                <c:pt idx="70">
                  <c:v>45874</c:v>
                </c:pt>
                <c:pt idx="71">
                  <c:v>45875</c:v>
                </c:pt>
                <c:pt idx="72">
                  <c:v>45876</c:v>
                </c:pt>
                <c:pt idx="73">
                  <c:v>45877</c:v>
                </c:pt>
                <c:pt idx="74">
                  <c:v>45880</c:v>
                </c:pt>
                <c:pt idx="75">
                  <c:v>45881</c:v>
                </c:pt>
                <c:pt idx="76">
                  <c:v>45882</c:v>
                </c:pt>
                <c:pt idx="77">
                  <c:v>45883</c:v>
                </c:pt>
                <c:pt idx="78">
                  <c:v>45884</c:v>
                </c:pt>
                <c:pt idx="79">
                  <c:v>45887</c:v>
                </c:pt>
                <c:pt idx="80">
                  <c:v>45888</c:v>
                </c:pt>
                <c:pt idx="81">
                  <c:v>45889</c:v>
                </c:pt>
                <c:pt idx="82">
                  <c:v>45890</c:v>
                </c:pt>
                <c:pt idx="83">
                  <c:v>45891</c:v>
                </c:pt>
                <c:pt idx="84">
                  <c:v>45894</c:v>
                </c:pt>
                <c:pt idx="85">
                  <c:v>45895</c:v>
                </c:pt>
                <c:pt idx="86">
                  <c:v>45896</c:v>
                </c:pt>
                <c:pt idx="87">
                  <c:v>45897</c:v>
                </c:pt>
                <c:pt idx="88">
                  <c:v>45898</c:v>
                </c:pt>
                <c:pt idx="89">
                  <c:v>45901</c:v>
                </c:pt>
                <c:pt idx="90">
                  <c:v>45902</c:v>
                </c:pt>
                <c:pt idx="91">
                  <c:v>45903</c:v>
                </c:pt>
                <c:pt idx="92">
                  <c:v>45904</c:v>
                </c:pt>
                <c:pt idx="93">
                  <c:v>45905</c:v>
                </c:pt>
                <c:pt idx="94">
                  <c:v>45908</c:v>
                </c:pt>
                <c:pt idx="95">
                  <c:v>45909</c:v>
                </c:pt>
                <c:pt idx="96">
                  <c:v>45910</c:v>
                </c:pt>
                <c:pt idx="97">
                  <c:v>45911</c:v>
                </c:pt>
                <c:pt idx="98">
                  <c:v>45912</c:v>
                </c:pt>
                <c:pt idx="99">
                  <c:v>45915</c:v>
                </c:pt>
                <c:pt idx="100">
                  <c:v>45916</c:v>
                </c:pt>
                <c:pt idx="101">
                  <c:v>45917</c:v>
                </c:pt>
                <c:pt idx="102">
                  <c:v>45918</c:v>
                </c:pt>
                <c:pt idx="103">
                  <c:v>45919</c:v>
                </c:pt>
                <c:pt idx="104">
                  <c:v>45922</c:v>
                </c:pt>
                <c:pt idx="105">
                  <c:v>45923</c:v>
                </c:pt>
                <c:pt idx="106">
                  <c:v>45924</c:v>
                </c:pt>
                <c:pt idx="107">
                  <c:v>45925</c:v>
                </c:pt>
                <c:pt idx="108">
                  <c:v>45926</c:v>
                </c:pt>
                <c:pt idx="109">
                  <c:v>45929</c:v>
                </c:pt>
                <c:pt idx="110">
                  <c:v>45930</c:v>
                </c:pt>
                <c:pt idx="111">
                  <c:v>45931</c:v>
                </c:pt>
                <c:pt idx="112">
                  <c:v>45932</c:v>
                </c:pt>
                <c:pt idx="113">
                  <c:v>45933</c:v>
                </c:pt>
                <c:pt idx="114">
                  <c:v>45936</c:v>
                </c:pt>
                <c:pt idx="115">
                  <c:v>45937</c:v>
                </c:pt>
                <c:pt idx="116">
                  <c:v>45938</c:v>
                </c:pt>
                <c:pt idx="117">
                  <c:v>45939</c:v>
                </c:pt>
                <c:pt idx="118">
                  <c:v>45940</c:v>
                </c:pt>
                <c:pt idx="119">
                  <c:v>45943</c:v>
                </c:pt>
                <c:pt idx="120">
                  <c:v>45944</c:v>
                </c:pt>
                <c:pt idx="121">
                  <c:v>45945</c:v>
                </c:pt>
                <c:pt idx="122">
                  <c:v>45946</c:v>
                </c:pt>
                <c:pt idx="123">
                  <c:v>45947</c:v>
                </c:pt>
                <c:pt idx="124">
                  <c:v>45950</c:v>
                </c:pt>
                <c:pt idx="125">
                  <c:v>45951</c:v>
                </c:pt>
                <c:pt idx="126">
                  <c:v>45952</c:v>
                </c:pt>
                <c:pt idx="127">
                  <c:v>45953</c:v>
                </c:pt>
                <c:pt idx="128">
                  <c:v>45954</c:v>
                </c:pt>
                <c:pt idx="129">
                  <c:v>45957</c:v>
                </c:pt>
                <c:pt idx="130">
                  <c:v>45958</c:v>
                </c:pt>
                <c:pt idx="131">
                  <c:v>45959</c:v>
                </c:pt>
                <c:pt idx="132">
                  <c:v>45960</c:v>
                </c:pt>
                <c:pt idx="133">
                  <c:v>45961</c:v>
                </c:pt>
                <c:pt idx="134">
                  <c:v>45964</c:v>
                </c:pt>
                <c:pt idx="135">
                  <c:v>45965</c:v>
                </c:pt>
                <c:pt idx="136">
                  <c:v>45966</c:v>
                </c:pt>
                <c:pt idx="137">
                  <c:v>45967</c:v>
                </c:pt>
                <c:pt idx="138">
                  <c:v>45968</c:v>
                </c:pt>
                <c:pt idx="139">
                  <c:v>45971</c:v>
                </c:pt>
                <c:pt idx="140">
                  <c:v>45972</c:v>
                </c:pt>
                <c:pt idx="141">
                  <c:v>45973</c:v>
                </c:pt>
                <c:pt idx="142">
                  <c:v>45974</c:v>
                </c:pt>
                <c:pt idx="143">
                  <c:v>45975</c:v>
                </c:pt>
                <c:pt idx="144">
                  <c:v>45978</c:v>
                </c:pt>
                <c:pt idx="145">
                  <c:v>45979</c:v>
                </c:pt>
                <c:pt idx="146">
                  <c:v>45980</c:v>
                </c:pt>
                <c:pt idx="147">
                  <c:v>45981</c:v>
                </c:pt>
                <c:pt idx="148">
                  <c:v>45982</c:v>
                </c:pt>
              </c:numCache>
            </c:numRef>
          </c:cat>
          <c:val>
            <c:numRef>
              <c:f>'S&amp;P500 and STOXX PERFOMRMANCE'!$O$2:$O$150</c:f>
              <c:numCache>
                <c:formatCode>General</c:formatCode>
                <c:ptCount val="149"/>
                <c:pt idx="0">
                  <c:v>1</c:v>
                </c:pt>
                <c:pt idx="1">
                  <c:v>1.003631567881649</c:v>
                </c:pt>
                <c:pt idx="2">
                  <c:v>1.0081996980064603</c:v>
                </c:pt>
                <c:pt idx="3">
                  <c:v>1.0084290601884591</c:v>
                </c:pt>
                <c:pt idx="4">
                  <c:v>1.0253062940805442</c:v>
                </c:pt>
                <c:pt idx="5">
                  <c:v>1.0269882834152027</c:v>
                </c:pt>
                <c:pt idx="6">
                  <c:v>1.0251533859592117</c:v>
                </c:pt>
                <c:pt idx="7">
                  <c:v>1.0196486935912383</c:v>
                </c:pt>
                <c:pt idx="8">
                  <c:v>1.0237772128672182</c:v>
                </c:pt>
                <c:pt idx="9">
                  <c:v>1.0282306619010302</c:v>
                </c:pt>
                <c:pt idx="10">
                  <c:v>1.0407117873048031</c:v>
                </c:pt>
                <c:pt idx="11">
                  <c:v>1.0420115063361302</c:v>
                </c:pt>
                <c:pt idx="12">
                  <c:v>1.0395458628796421</c:v>
                </c:pt>
                <c:pt idx="13">
                  <c:v>1.0454137120357805</c:v>
                </c:pt>
                <c:pt idx="14">
                  <c:v>1.049828934039259</c:v>
                </c:pt>
                <c:pt idx="15">
                  <c:v>1.0512051071312525</c:v>
                </c:pt>
                <c:pt idx="16">
                  <c:v>1.0589269672585484</c:v>
                </c:pt>
                <c:pt idx="17">
                  <c:v>1.058544696955217</c:v>
                </c:pt>
                <c:pt idx="18">
                  <c:v>1.051759399071083</c:v>
                </c:pt>
                <c:pt idx="19">
                  <c:v>1.0419350522754638</c:v>
                </c:pt>
                <c:pt idx="20">
                  <c:v>1.0556776696802308</c:v>
                </c:pt>
                <c:pt idx="21">
                  <c:v>1.049198188038762</c:v>
                </c:pt>
                <c:pt idx="22">
                  <c:v>1.0471912689462717</c:v>
                </c:pt>
                <c:pt idx="23">
                  <c:v>1.048701236644431</c:v>
                </c:pt>
                <c:pt idx="24">
                  <c:v>1.047267723006938</c:v>
                </c:pt>
                <c:pt idx="25">
                  <c:v>1.0482616257956001</c:v>
                </c:pt>
                <c:pt idx="26">
                  <c:v>1.0531929127085762</c:v>
                </c:pt>
                <c:pt idx="27">
                  <c:v>1.0548366750129015</c:v>
                </c:pt>
                <c:pt idx="28">
                  <c:v>1.0582006536822186</c:v>
                </c:pt>
                <c:pt idx="29">
                  <c:v>1.0574361130755556</c:v>
                </c:pt>
                <c:pt idx="30">
                  <c:v>1.0572067508935568</c:v>
                </c:pt>
                <c:pt idx="31">
                  <c:v>1.0543779506489037</c:v>
                </c:pt>
                <c:pt idx="32">
                  <c:v>1.0509375179189204</c:v>
                </c:pt>
                <c:pt idx="33">
                  <c:v>1.041571895487299</c:v>
                </c:pt>
                <c:pt idx="34">
                  <c:v>1.0453372579751141</c:v>
                </c:pt>
                <c:pt idx="35">
                  <c:v>1.036449473422657</c:v>
                </c:pt>
                <c:pt idx="36">
                  <c:v>1.0327605649955083</c:v>
                </c:pt>
                <c:pt idx="37">
                  <c:v>1.0327605649955083</c:v>
                </c:pt>
                <c:pt idx="38">
                  <c:v>1.0254974292322099</c:v>
                </c:pt>
                <c:pt idx="39">
                  <c:v>1.0226304019572239</c:v>
                </c:pt>
                <c:pt idx="40">
                  <c:v>1.0340029434813356</c:v>
                </c:pt>
                <c:pt idx="41">
                  <c:v>1.0263575374147058</c:v>
                </c:pt>
                <c:pt idx="42">
                  <c:v>1.0273132131730345</c:v>
                </c:pt>
                <c:pt idx="43">
                  <c:v>1.0390680250004778</c:v>
                </c:pt>
                <c:pt idx="44">
                  <c:v>1.034748370572832</c:v>
                </c:pt>
                <c:pt idx="45">
                  <c:v>1.0326076568741756</c:v>
                </c:pt>
                <c:pt idx="46">
                  <c:v>1.0344425543301667</c:v>
                </c:pt>
                <c:pt idx="47">
                  <c:v>1.0393165006976433</c:v>
                </c:pt>
                <c:pt idx="48">
                  <c:v>1.0393165006976433</c:v>
                </c:pt>
                <c:pt idx="49">
                  <c:v>1.0388195493033123</c:v>
                </c:pt>
                <c:pt idx="50">
                  <c:v>1.0430436361551252</c:v>
                </c:pt>
                <c:pt idx="51">
                  <c:v>1.0511668801009193</c:v>
                </c:pt>
                <c:pt idx="52">
                  <c:v>1.0568435941053917</c:v>
                </c:pt>
                <c:pt idx="53">
                  <c:v>1.0461591391272769</c:v>
                </c:pt>
                <c:pt idx="54">
                  <c:v>1.0454901660964466</c:v>
                </c:pt>
                <c:pt idx="55">
                  <c:v>1.0415910090024656</c:v>
                </c:pt>
                <c:pt idx="56">
                  <c:v>1.0356467057856611</c:v>
                </c:pt>
                <c:pt idx="57">
                  <c:v>1.045566620157113</c:v>
                </c:pt>
                <c:pt idx="58">
                  <c:v>1.0455092796116132</c:v>
                </c:pt>
                <c:pt idx="59">
                  <c:v>1.0447065119746173</c:v>
                </c:pt>
                <c:pt idx="60">
                  <c:v>1.0404250845773046</c:v>
                </c:pt>
                <c:pt idx="61">
                  <c:v>1.0516638314952502</c:v>
                </c:pt>
                <c:pt idx="62">
                  <c:v>1.0542059290124044</c:v>
                </c:pt>
                <c:pt idx="63">
                  <c:v>1.0511477665857527</c:v>
                </c:pt>
                <c:pt idx="64">
                  <c:v>1.0488732582809304</c:v>
                </c:pt>
                <c:pt idx="65">
                  <c:v>1.0519314207075823</c:v>
                </c:pt>
                <c:pt idx="66">
                  <c:v>1.0517020585255834</c:v>
                </c:pt>
                <c:pt idx="67">
                  <c:v>1.0438081767617882</c:v>
                </c:pt>
                <c:pt idx="68">
                  <c:v>1.0240830291098835</c:v>
                </c:pt>
                <c:pt idx="69">
                  <c:v>1.0332766299050058</c:v>
                </c:pt>
                <c:pt idx="70">
                  <c:v>1.0348057111183315</c:v>
                </c:pt>
                <c:pt idx="71">
                  <c:v>1.0341749651178349</c:v>
                </c:pt>
                <c:pt idx="72">
                  <c:v>1.0436934956707886</c:v>
                </c:pt>
                <c:pt idx="73">
                  <c:v>1.0456621877329459</c:v>
                </c:pt>
                <c:pt idx="74">
                  <c:v>1.0450505552476155</c:v>
                </c:pt>
                <c:pt idx="75">
                  <c:v>1.0472103824614383</c:v>
                </c:pt>
                <c:pt idx="76">
                  <c:v>1.0528679829507444</c:v>
                </c:pt>
                <c:pt idx="77">
                  <c:v>1.0586402645310498</c:v>
                </c:pt>
                <c:pt idx="78">
                  <c:v>1.0580477455608859</c:v>
                </c:pt>
                <c:pt idx="79">
                  <c:v>1.0589078537433818</c:v>
                </c:pt>
                <c:pt idx="80">
                  <c:v>1.06617098950668</c:v>
                </c:pt>
                <c:pt idx="81">
                  <c:v>1.0686175194480017</c:v>
                </c:pt>
                <c:pt idx="82">
                  <c:v>1.0685792924176685</c:v>
                </c:pt>
                <c:pt idx="83">
                  <c:v>1.0728416062998145</c:v>
                </c:pt>
                <c:pt idx="84">
                  <c:v>1.0681014545385041</c:v>
                </c:pt>
                <c:pt idx="85">
                  <c:v>1.0592710105315468</c:v>
                </c:pt>
                <c:pt idx="86">
                  <c:v>1.0603413673808748</c:v>
                </c:pt>
                <c:pt idx="87">
                  <c:v>1.0582579942277182</c:v>
                </c:pt>
                <c:pt idx="88">
                  <c:v>1.0515109233739175</c:v>
                </c:pt>
                <c:pt idx="89">
                  <c:v>1.0515109233739175</c:v>
                </c:pt>
                <c:pt idx="90">
                  <c:v>1.0381888033028153</c:v>
                </c:pt>
                <c:pt idx="91">
                  <c:v>1.0450887822779487</c:v>
                </c:pt>
                <c:pt idx="92">
                  <c:v>1.0514153557980848</c:v>
                </c:pt>
                <c:pt idx="93">
                  <c:v>1.0497333664634263</c:v>
                </c:pt>
                <c:pt idx="94">
                  <c:v>1.0551424912555667</c:v>
                </c:pt>
                <c:pt idx="95">
                  <c:v>1.0558114642863967</c:v>
                </c:pt>
                <c:pt idx="96">
                  <c:v>1.055620329134731</c:v>
                </c:pt>
                <c:pt idx="97">
                  <c:v>1.0614308377453696</c:v>
                </c:pt>
                <c:pt idx="98">
                  <c:v>1.0604942755022075</c:v>
                </c:pt>
                <c:pt idx="99">
                  <c:v>1.0649286110208527</c:v>
                </c:pt>
                <c:pt idx="100">
                  <c:v>1.0527533018597448</c:v>
                </c:pt>
                <c:pt idx="101">
                  <c:v>1.0524474856170798</c:v>
                </c:pt>
                <c:pt idx="102">
                  <c:v>1.0608192052600391</c:v>
                </c:pt>
                <c:pt idx="103">
                  <c:v>1.0591181024102141</c:v>
                </c:pt>
                <c:pt idx="104">
                  <c:v>1.0577419293182209</c:v>
                </c:pt>
                <c:pt idx="105">
                  <c:v>1.0607045241690398</c:v>
                </c:pt>
                <c:pt idx="106">
                  <c:v>1.0586593780462163</c:v>
                </c:pt>
                <c:pt idx="107">
                  <c:v>1.0516638314952502</c:v>
                </c:pt>
                <c:pt idx="108">
                  <c:v>1.0598826430168771</c:v>
                </c:pt>
                <c:pt idx="109">
                  <c:v>1.061813108048701</c:v>
                </c:pt>
                <c:pt idx="110">
                  <c:v>1.0668781895678432</c:v>
                </c:pt>
                <c:pt idx="111">
                  <c:v>1.0791872933351172</c:v>
                </c:pt>
                <c:pt idx="112">
                  <c:v>1.0848831208547562</c:v>
                </c:pt>
                <c:pt idx="113">
                  <c:v>1.09033047267723</c:v>
                </c:pt>
                <c:pt idx="114">
                  <c:v>1.0899290888587319</c:v>
                </c:pt>
                <c:pt idx="115">
                  <c:v>1.0880750778875741</c:v>
                </c:pt>
                <c:pt idx="116">
                  <c:v>1.0967143867428657</c:v>
                </c:pt>
                <c:pt idx="117">
                  <c:v>1.0919742349815553</c:v>
                </c:pt>
                <c:pt idx="118">
                  <c:v>1.0783080716374547</c:v>
                </c:pt>
                <c:pt idx="119">
                  <c:v>1.0830291098835985</c:v>
                </c:pt>
                <c:pt idx="120">
                  <c:v>1.0790343852137845</c:v>
                </c:pt>
                <c:pt idx="121">
                  <c:v>1.0852080506125881</c:v>
                </c:pt>
                <c:pt idx="122">
                  <c:v>1.0926432080123853</c:v>
                </c:pt>
                <c:pt idx="123">
                  <c:v>1.0822836827921023</c:v>
                </c:pt>
                <c:pt idx="124">
                  <c:v>1.0934842026797147</c:v>
                </c:pt>
                <c:pt idx="125">
                  <c:v>1.0957778244997036</c:v>
                </c:pt>
                <c:pt idx="126">
                  <c:v>1.0938473594678795</c:v>
                </c:pt>
                <c:pt idx="127">
                  <c:v>1.0979376517135264</c:v>
                </c:pt>
                <c:pt idx="128">
                  <c:v>1.1004797492306808</c:v>
                </c:pt>
                <c:pt idx="129">
                  <c:v>1.1029071656568359</c:v>
                </c:pt>
                <c:pt idx="130">
                  <c:v>1.1004797492306808</c:v>
                </c:pt>
                <c:pt idx="131">
                  <c:v>1.0997916626846842</c:v>
                </c:pt>
                <c:pt idx="132">
                  <c:v>1.0987021923201896</c:v>
                </c:pt>
                <c:pt idx="133">
                  <c:v>1.0930828188612167</c:v>
                </c:pt>
                <c:pt idx="134">
                  <c:v>1.0938282459527131</c:v>
                </c:pt>
                <c:pt idx="135">
                  <c:v>1.0905789483743955</c:v>
                </c:pt>
                <c:pt idx="136">
                  <c:v>1.0931019323763831</c:v>
                </c:pt>
                <c:pt idx="137">
                  <c:v>1.0854565263097535</c:v>
                </c:pt>
                <c:pt idx="138">
                  <c:v>1.0795122230929488</c:v>
                </c:pt>
                <c:pt idx="139">
                  <c:v>1.0948603757717081</c:v>
                </c:pt>
                <c:pt idx="140">
                  <c:v>1.1088323553584738</c:v>
                </c:pt>
                <c:pt idx="141">
                  <c:v>1.1166688965767693</c:v>
                </c:pt>
                <c:pt idx="142">
                  <c:v>1.1098644851774688</c:v>
                </c:pt>
                <c:pt idx="143">
                  <c:v>1.0986639652898562</c:v>
                </c:pt>
                <c:pt idx="144">
                  <c:v>1.0926814350427185</c:v>
                </c:pt>
                <c:pt idx="145">
                  <c:v>1.0739119631491427</c:v>
                </c:pt>
                <c:pt idx="146">
                  <c:v>1.0736252604216441</c:v>
                </c:pt>
                <c:pt idx="147">
                  <c:v>1.0778875743037901</c:v>
                </c:pt>
                <c:pt idx="148">
                  <c:v>1.0743706875131405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E0-4DDF-A7AF-39DB53C5F638}"/>
            </c:ext>
          </c:extLst>
        </c:ser>
        <c:ser>
          <c:idx val="2"/>
          <c:order val="2"/>
          <c:tx>
            <c:strRef>
              <c:f>'S&amp;P500 and STOXX PERFOMRMANCE'!$P$1</c:f>
              <c:strCache>
                <c:ptCount val="1"/>
                <c:pt idx="0">
                  <c:v>L/S Fund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'S&amp;P500 and STOXX PERFOMRMANCE'!$M$2:$M$150</c:f>
              <c:numCache>
                <c:formatCode>m/d/yy</c:formatCode>
                <c:ptCount val="149"/>
                <c:pt idx="0">
                  <c:v>45775</c:v>
                </c:pt>
                <c:pt idx="1">
                  <c:v>45776</c:v>
                </c:pt>
                <c:pt idx="2">
                  <c:v>45777</c:v>
                </c:pt>
                <c:pt idx="3">
                  <c:v>45778</c:v>
                </c:pt>
                <c:pt idx="4">
                  <c:v>45779</c:v>
                </c:pt>
                <c:pt idx="5">
                  <c:v>45782</c:v>
                </c:pt>
                <c:pt idx="6">
                  <c:v>45783</c:v>
                </c:pt>
                <c:pt idx="7">
                  <c:v>45784</c:v>
                </c:pt>
                <c:pt idx="8">
                  <c:v>45785</c:v>
                </c:pt>
                <c:pt idx="9">
                  <c:v>45786</c:v>
                </c:pt>
                <c:pt idx="10">
                  <c:v>45789</c:v>
                </c:pt>
                <c:pt idx="11">
                  <c:v>45790</c:v>
                </c:pt>
                <c:pt idx="12">
                  <c:v>45791</c:v>
                </c:pt>
                <c:pt idx="13">
                  <c:v>45792</c:v>
                </c:pt>
                <c:pt idx="14">
                  <c:v>45793</c:v>
                </c:pt>
                <c:pt idx="15">
                  <c:v>45796</c:v>
                </c:pt>
                <c:pt idx="16">
                  <c:v>45797</c:v>
                </c:pt>
                <c:pt idx="17">
                  <c:v>45798</c:v>
                </c:pt>
                <c:pt idx="18">
                  <c:v>45799</c:v>
                </c:pt>
                <c:pt idx="19">
                  <c:v>45800</c:v>
                </c:pt>
                <c:pt idx="20">
                  <c:v>45804</c:v>
                </c:pt>
                <c:pt idx="21">
                  <c:v>45805</c:v>
                </c:pt>
                <c:pt idx="22">
                  <c:v>45806</c:v>
                </c:pt>
                <c:pt idx="23">
                  <c:v>45807</c:v>
                </c:pt>
                <c:pt idx="24">
                  <c:v>45810</c:v>
                </c:pt>
                <c:pt idx="25">
                  <c:v>45811</c:v>
                </c:pt>
                <c:pt idx="26">
                  <c:v>45812</c:v>
                </c:pt>
                <c:pt idx="27">
                  <c:v>45813</c:v>
                </c:pt>
                <c:pt idx="28">
                  <c:v>45814</c:v>
                </c:pt>
                <c:pt idx="29">
                  <c:v>45817</c:v>
                </c:pt>
                <c:pt idx="30">
                  <c:v>45818</c:v>
                </c:pt>
                <c:pt idx="31">
                  <c:v>45819</c:v>
                </c:pt>
                <c:pt idx="32">
                  <c:v>45820</c:v>
                </c:pt>
                <c:pt idx="33">
                  <c:v>45821</c:v>
                </c:pt>
                <c:pt idx="34">
                  <c:v>45824</c:v>
                </c:pt>
                <c:pt idx="35">
                  <c:v>45825</c:v>
                </c:pt>
                <c:pt idx="36">
                  <c:v>45826</c:v>
                </c:pt>
                <c:pt idx="37">
                  <c:v>45827</c:v>
                </c:pt>
                <c:pt idx="38">
                  <c:v>45828</c:v>
                </c:pt>
                <c:pt idx="39">
                  <c:v>45831</c:v>
                </c:pt>
                <c:pt idx="40">
                  <c:v>45832</c:v>
                </c:pt>
                <c:pt idx="41">
                  <c:v>45833</c:v>
                </c:pt>
                <c:pt idx="42">
                  <c:v>45834</c:v>
                </c:pt>
                <c:pt idx="43">
                  <c:v>45835</c:v>
                </c:pt>
                <c:pt idx="44">
                  <c:v>45838</c:v>
                </c:pt>
                <c:pt idx="45">
                  <c:v>45839</c:v>
                </c:pt>
                <c:pt idx="46">
                  <c:v>45840</c:v>
                </c:pt>
                <c:pt idx="47">
                  <c:v>45841</c:v>
                </c:pt>
                <c:pt idx="48">
                  <c:v>45842</c:v>
                </c:pt>
                <c:pt idx="49">
                  <c:v>45845</c:v>
                </c:pt>
                <c:pt idx="50">
                  <c:v>45846</c:v>
                </c:pt>
                <c:pt idx="51">
                  <c:v>45847</c:v>
                </c:pt>
                <c:pt idx="52">
                  <c:v>45848</c:v>
                </c:pt>
                <c:pt idx="53">
                  <c:v>45849</c:v>
                </c:pt>
                <c:pt idx="54">
                  <c:v>45852</c:v>
                </c:pt>
                <c:pt idx="55">
                  <c:v>45853</c:v>
                </c:pt>
                <c:pt idx="56">
                  <c:v>45854</c:v>
                </c:pt>
                <c:pt idx="57">
                  <c:v>45855</c:v>
                </c:pt>
                <c:pt idx="58">
                  <c:v>45856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45866</c:v>
                </c:pt>
                <c:pt idx="65">
                  <c:v>45867</c:v>
                </c:pt>
                <c:pt idx="66">
                  <c:v>45868</c:v>
                </c:pt>
                <c:pt idx="67">
                  <c:v>45869</c:v>
                </c:pt>
                <c:pt idx="68">
                  <c:v>45870</c:v>
                </c:pt>
                <c:pt idx="69">
                  <c:v>45873</c:v>
                </c:pt>
                <c:pt idx="70">
                  <c:v>45874</c:v>
                </c:pt>
                <c:pt idx="71">
                  <c:v>45875</c:v>
                </c:pt>
                <c:pt idx="72">
                  <c:v>45876</c:v>
                </c:pt>
                <c:pt idx="73">
                  <c:v>45877</c:v>
                </c:pt>
                <c:pt idx="74">
                  <c:v>45880</c:v>
                </c:pt>
                <c:pt idx="75">
                  <c:v>45881</c:v>
                </c:pt>
                <c:pt idx="76">
                  <c:v>45882</c:v>
                </c:pt>
                <c:pt idx="77">
                  <c:v>45883</c:v>
                </c:pt>
                <c:pt idx="78">
                  <c:v>45884</c:v>
                </c:pt>
                <c:pt idx="79">
                  <c:v>45887</c:v>
                </c:pt>
                <c:pt idx="80">
                  <c:v>45888</c:v>
                </c:pt>
                <c:pt idx="81">
                  <c:v>45889</c:v>
                </c:pt>
                <c:pt idx="82">
                  <c:v>45890</c:v>
                </c:pt>
                <c:pt idx="83">
                  <c:v>45891</c:v>
                </c:pt>
                <c:pt idx="84">
                  <c:v>45894</c:v>
                </c:pt>
                <c:pt idx="85">
                  <c:v>45895</c:v>
                </c:pt>
                <c:pt idx="86">
                  <c:v>45896</c:v>
                </c:pt>
                <c:pt idx="87">
                  <c:v>45897</c:v>
                </c:pt>
                <c:pt idx="88">
                  <c:v>45898</c:v>
                </c:pt>
                <c:pt idx="89">
                  <c:v>45901</c:v>
                </c:pt>
                <c:pt idx="90">
                  <c:v>45902</c:v>
                </c:pt>
                <c:pt idx="91">
                  <c:v>45903</c:v>
                </c:pt>
                <c:pt idx="92">
                  <c:v>45904</c:v>
                </c:pt>
                <c:pt idx="93">
                  <c:v>45905</c:v>
                </c:pt>
                <c:pt idx="94">
                  <c:v>45908</c:v>
                </c:pt>
                <c:pt idx="95">
                  <c:v>45909</c:v>
                </c:pt>
                <c:pt idx="96">
                  <c:v>45910</c:v>
                </c:pt>
                <c:pt idx="97">
                  <c:v>45911</c:v>
                </c:pt>
                <c:pt idx="98">
                  <c:v>45912</c:v>
                </c:pt>
                <c:pt idx="99">
                  <c:v>45915</c:v>
                </c:pt>
                <c:pt idx="100">
                  <c:v>45916</c:v>
                </c:pt>
                <c:pt idx="101">
                  <c:v>45917</c:v>
                </c:pt>
                <c:pt idx="102">
                  <c:v>45918</c:v>
                </c:pt>
                <c:pt idx="103">
                  <c:v>45919</c:v>
                </c:pt>
                <c:pt idx="104">
                  <c:v>45922</c:v>
                </c:pt>
                <c:pt idx="105">
                  <c:v>45923</c:v>
                </c:pt>
                <c:pt idx="106">
                  <c:v>45924</c:v>
                </c:pt>
                <c:pt idx="107">
                  <c:v>45925</c:v>
                </c:pt>
                <c:pt idx="108">
                  <c:v>45926</c:v>
                </c:pt>
                <c:pt idx="109">
                  <c:v>45929</c:v>
                </c:pt>
                <c:pt idx="110">
                  <c:v>45930</c:v>
                </c:pt>
                <c:pt idx="111">
                  <c:v>45931</c:v>
                </c:pt>
                <c:pt idx="112">
                  <c:v>45932</c:v>
                </c:pt>
                <c:pt idx="113">
                  <c:v>45933</c:v>
                </c:pt>
                <c:pt idx="114">
                  <c:v>45936</c:v>
                </c:pt>
                <c:pt idx="115">
                  <c:v>45937</c:v>
                </c:pt>
                <c:pt idx="116">
                  <c:v>45938</c:v>
                </c:pt>
                <c:pt idx="117">
                  <c:v>45939</c:v>
                </c:pt>
                <c:pt idx="118">
                  <c:v>45940</c:v>
                </c:pt>
                <c:pt idx="119">
                  <c:v>45943</c:v>
                </c:pt>
                <c:pt idx="120">
                  <c:v>45944</c:v>
                </c:pt>
                <c:pt idx="121">
                  <c:v>45945</c:v>
                </c:pt>
                <c:pt idx="122">
                  <c:v>45946</c:v>
                </c:pt>
                <c:pt idx="123">
                  <c:v>45947</c:v>
                </c:pt>
                <c:pt idx="124">
                  <c:v>45950</c:v>
                </c:pt>
                <c:pt idx="125">
                  <c:v>45951</c:v>
                </c:pt>
                <c:pt idx="126">
                  <c:v>45952</c:v>
                </c:pt>
                <c:pt idx="127">
                  <c:v>45953</c:v>
                </c:pt>
                <c:pt idx="128">
                  <c:v>45954</c:v>
                </c:pt>
                <c:pt idx="129">
                  <c:v>45957</c:v>
                </c:pt>
                <c:pt idx="130">
                  <c:v>45958</c:v>
                </c:pt>
                <c:pt idx="131">
                  <c:v>45959</c:v>
                </c:pt>
                <c:pt idx="132">
                  <c:v>45960</c:v>
                </c:pt>
                <c:pt idx="133">
                  <c:v>45961</c:v>
                </c:pt>
                <c:pt idx="134">
                  <c:v>45964</c:v>
                </c:pt>
                <c:pt idx="135">
                  <c:v>45965</c:v>
                </c:pt>
                <c:pt idx="136">
                  <c:v>45966</c:v>
                </c:pt>
                <c:pt idx="137">
                  <c:v>45967</c:v>
                </c:pt>
                <c:pt idx="138">
                  <c:v>45968</c:v>
                </c:pt>
                <c:pt idx="139">
                  <c:v>45971</c:v>
                </c:pt>
                <c:pt idx="140">
                  <c:v>45972</c:v>
                </c:pt>
                <c:pt idx="141">
                  <c:v>45973</c:v>
                </c:pt>
                <c:pt idx="142">
                  <c:v>45974</c:v>
                </c:pt>
                <c:pt idx="143">
                  <c:v>45975</c:v>
                </c:pt>
                <c:pt idx="144">
                  <c:v>45978</c:v>
                </c:pt>
                <c:pt idx="145">
                  <c:v>45979</c:v>
                </c:pt>
                <c:pt idx="146">
                  <c:v>45980</c:v>
                </c:pt>
                <c:pt idx="147">
                  <c:v>45981</c:v>
                </c:pt>
                <c:pt idx="148">
                  <c:v>45982</c:v>
                </c:pt>
              </c:numCache>
            </c:numRef>
          </c:cat>
          <c:val>
            <c:numRef>
              <c:f>'S&amp;P500 and STOXX PERFOMRMANCE'!$P$2:$P$150</c:f>
              <c:numCache>
                <c:formatCode>General</c:formatCode>
                <c:ptCount val="149"/>
                <c:pt idx="0">
                  <c:v>1</c:v>
                </c:pt>
                <c:pt idx="1">
                  <c:v>0.99788386596624978</c:v>
                </c:pt>
                <c:pt idx="2">
                  <c:v>0.9826644045284233</c:v>
                </c:pt>
                <c:pt idx="3">
                  <c:v>0.98118698826264183</c:v>
                </c:pt>
                <c:pt idx="4">
                  <c:v>0.9918788569264918</c:v>
                </c:pt>
                <c:pt idx="5">
                  <c:v>0.99607989222916982</c:v>
                </c:pt>
                <c:pt idx="6">
                  <c:v>0.99383103118717353</c:v>
                </c:pt>
                <c:pt idx="7">
                  <c:v>0.99022201802807186</c:v>
                </c:pt>
                <c:pt idx="8">
                  <c:v>0.99283465338276533</c:v>
                </c:pt>
                <c:pt idx="9">
                  <c:v>1.004264183709102</c:v>
                </c:pt>
                <c:pt idx="10">
                  <c:v>0.99742439022902585</c:v>
                </c:pt>
                <c:pt idx="11">
                  <c:v>1.0043448627517775</c:v>
                </c:pt>
                <c:pt idx="12">
                  <c:v>1.0106639563133295</c:v>
                </c:pt>
                <c:pt idx="13">
                  <c:v>1.0090737752553822</c:v>
                </c:pt>
                <c:pt idx="14">
                  <c:v>1.0100547096555859</c:v>
                </c:pt>
                <c:pt idx="15">
                  <c:v>1.017002809288942</c:v>
                </c:pt>
                <c:pt idx="16">
                  <c:v>1.0093913768374452</c:v>
                </c:pt>
                <c:pt idx="17">
                  <c:v>1.0114347958630143</c:v>
                </c:pt>
                <c:pt idx="18">
                  <c:v>1.0197990106738377</c:v>
                </c:pt>
                <c:pt idx="19">
                  <c:v>1.021808279286275</c:v>
                </c:pt>
                <c:pt idx="20">
                  <c:v>1.0335822218443547</c:v>
                </c:pt>
                <c:pt idx="21">
                  <c:v>1.0383825189005067</c:v>
                </c:pt>
                <c:pt idx="22">
                  <c:v>1.0333234667012452</c:v>
                </c:pt>
                <c:pt idx="23">
                  <c:v>1.0335631846596627</c:v>
                </c:pt>
                <c:pt idx="24">
                  <c:v>1.0458770568186775</c:v>
                </c:pt>
                <c:pt idx="25">
                  <c:v>1.0477314779674098</c:v>
                </c:pt>
                <c:pt idx="26">
                  <c:v>1.0379179407592698</c:v>
                </c:pt>
                <c:pt idx="27">
                  <c:v>1.0496460169567663</c:v>
                </c:pt>
                <c:pt idx="28">
                  <c:v>1.0529729627322788</c:v>
                </c:pt>
                <c:pt idx="29">
                  <c:v>1.048953781055334</c:v>
                </c:pt>
                <c:pt idx="30">
                  <c:v>1.0297791501053362</c:v>
                </c:pt>
                <c:pt idx="31">
                  <c:v>1.0343832402902635</c:v>
                </c:pt>
                <c:pt idx="32">
                  <c:v>1.0370969849702039</c:v>
                </c:pt>
                <c:pt idx="33">
                  <c:v>1.0385286376736331</c:v>
                </c:pt>
                <c:pt idx="34">
                  <c:v>1.0494637477104549</c:v>
                </c:pt>
                <c:pt idx="35">
                  <c:v>1.0444562080090145</c:v>
                </c:pt>
                <c:pt idx="36">
                  <c:v>1.0512980307204283</c:v>
                </c:pt>
                <c:pt idx="37">
                  <c:v>1.0460842300332067</c:v>
                </c:pt>
                <c:pt idx="38">
                  <c:v>1.0533586660279077</c:v>
                </c:pt>
                <c:pt idx="39">
                  <c:v>1.042317138399091</c:v>
                </c:pt>
                <c:pt idx="40">
                  <c:v>1.0545768989169402</c:v>
                </c:pt>
                <c:pt idx="41">
                  <c:v>1.064414398528335</c:v>
                </c:pt>
                <c:pt idx="42">
                  <c:v>1.0781776087389299</c:v>
                </c:pt>
                <c:pt idx="43">
                  <c:v>1.0800267897420575</c:v>
                </c:pt>
                <c:pt idx="44">
                  <c:v>1.094583989825892</c:v>
                </c:pt>
                <c:pt idx="45">
                  <c:v>1.0658502273274044</c:v>
                </c:pt>
                <c:pt idx="46">
                  <c:v>1.0726144188661297</c:v>
                </c:pt>
                <c:pt idx="47">
                  <c:v>1.0801060543234036</c:v>
                </c:pt>
                <c:pt idx="48">
                  <c:v>1.0795117500810802</c:v>
                </c:pt>
                <c:pt idx="49">
                  <c:v>1.0912311102788932</c:v>
                </c:pt>
                <c:pt idx="50">
                  <c:v>1.0883109115300456</c:v>
                </c:pt>
                <c:pt idx="51">
                  <c:v>1.0925397821710607</c:v>
                </c:pt>
                <c:pt idx="52">
                  <c:v>1.086340402394868</c:v>
                </c:pt>
                <c:pt idx="53">
                  <c:v>1.0887278214888338</c:v>
                </c:pt>
                <c:pt idx="54">
                  <c:v>1.1031898212635673</c:v>
                </c:pt>
                <c:pt idx="55">
                  <c:v>1.104143377538904</c:v>
                </c:pt>
                <c:pt idx="56">
                  <c:v>1.1036038833721722</c:v>
                </c:pt>
                <c:pt idx="57">
                  <c:v>1.114557109465363</c:v>
                </c:pt>
                <c:pt idx="58">
                  <c:v>1.1178500619961969</c:v>
                </c:pt>
                <c:pt idx="59">
                  <c:v>1.113369756133995</c:v>
                </c:pt>
                <c:pt idx="60">
                  <c:v>1.1088914891335122</c:v>
                </c:pt>
                <c:pt idx="61">
                  <c:v>1.1165126367055136</c:v>
                </c:pt>
                <c:pt idx="62">
                  <c:v>1.1255343093519998</c:v>
                </c:pt>
                <c:pt idx="63">
                  <c:v>1.1297235965325305</c:v>
                </c:pt>
                <c:pt idx="64">
                  <c:v>1.1335428277224167</c:v>
                </c:pt>
                <c:pt idx="65">
                  <c:v>1.1448186922896917</c:v>
                </c:pt>
                <c:pt idx="66">
                  <c:v>1.1557305926427872</c:v>
                </c:pt>
                <c:pt idx="67">
                  <c:v>1.152030994041962</c:v>
                </c:pt>
                <c:pt idx="68">
                  <c:v>1.148991818736987</c:v>
                </c:pt>
                <c:pt idx="69">
                  <c:v>1.143205327636879</c:v>
                </c:pt>
                <c:pt idx="70">
                  <c:v>1.1371469358048858</c:v>
                </c:pt>
                <c:pt idx="71">
                  <c:v>1.1444730094935465</c:v>
                </c:pt>
                <c:pt idx="72">
                  <c:v>1.1457390867440567</c:v>
                </c:pt>
                <c:pt idx="73">
                  <c:v>1.1424374708569685</c:v>
                </c:pt>
                <c:pt idx="74">
                  <c:v>1.1631212147994205</c:v>
                </c:pt>
                <c:pt idx="75">
                  <c:v>1.1734838705176813</c:v>
                </c:pt>
                <c:pt idx="76">
                  <c:v>1.1622811629603484</c:v>
                </c:pt>
                <c:pt idx="77">
                  <c:v>1.1707898040032008</c:v>
                </c:pt>
                <c:pt idx="78">
                  <c:v>1.1684210852403156</c:v>
                </c:pt>
                <c:pt idx="79">
                  <c:v>1.1771976012125787</c:v>
                </c:pt>
                <c:pt idx="80">
                  <c:v>1.1640630139934169</c:v>
                </c:pt>
                <c:pt idx="81">
                  <c:v>1.1552917574917136</c:v>
                </c:pt>
                <c:pt idx="82">
                  <c:v>1.1626725710177721</c:v>
                </c:pt>
                <c:pt idx="83">
                  <c:v>1.1565764627088324</c:v>
                </c:pt>
                <c:pt idx="84">
                  <c:v>1.1601045125714526</c:v>
                </c:pt>
                <c:pt idx="85">
                  <c:v>1.1727379777303188</c:v>
                </c:pt>
                <c:pt idx="86">
                  <c:v>1.1616207716462719</c:v>
                </c:pt>
                <c:pt idx="87">
                  <c:v>1.164603500088971</c:v>
                </c:pt>
                <c:pt idx="88">
                  <c:v>1.1657744024739611</c:v>
                </c:pt>
                <c:pt idx="89">
                  <c:v>1.171701396286069</c:v>
                </c:pt>
                <c:pt idx="90">
                  <c:v>1.1681163263285812</c:v>
                </c:pt>
                <c:pt idx="91">
                  <c:v>1.1693314039012277</c:v>
                </c:pt>
                <c:pt idx="92">
                  <c:v>1.1701453637036126</c:v>
                </c:pt>
                <c:pt idx="93">
                  <c:v>1.1599885637262839</c:v>
                </c:pt>
                <c:pt idx="94">
                  <c:v>1.1636531146614904</c:v>
                </c:pt>
                <c:pt idx="95">
                  <c:v>1.170827660761151</c:v>
                </c:pt>
                <c:pt idx="96">
                  <c:v>1.2011363940627398</c:v>
                </c:pt>
                <c:pt idx="97">
                  <c:v>1.2031763321273561</c:v>
                </c:pt>
                <c:pt idx="98">
                  <c:v>1.2095577432796758</c:v>
                </c:pt>
                <c:pt idx="99">
                  <c:v>1.2150529424827838</c:v>
                </c:pt>
                <c:pt idx="100">
                  <c:v>1.2016557274466273</c:v>
                </c:pt>
                <c:pt idx="101">
                  <c:v>1.1900241015059276</c:v>
                </c:pt>
                <c:pt idx="102">
                  <c:v>1.1891542855753545</c:v>
                </c:pt>
                <c:pt idx="103">
                  <c:v>1.197067487640074</c:v>
                </c:pt>
                <c:pt idx="104">
                  <c:v>1.1976570767732653</c:v>
                </c:pt>
                <c:pt idx="105">
                  <c:v>1.1986686053725015</c:v>
                </c:pt>
                <c:pt idx="106">
                  <c:v>1.2092418186213367</c:v>
                </c:pt>
                <c:pt idx="107">
                  <c:v>1.2060944513157608</c:v>
                </c:pt>
                <c:pt idx="108">
                  <c:v>1.2152309984281873</c:v>
                </c:pt>
                <c:pt idx="109">
                  <c:v>1.2059696679118412</c:v>
                </c:pt>
                <c:pt idx="110">
                  <c:v>1.2083433230080454</c:v>
                </c:pt>
                <c:pt idx="111">
                  <c:v>1.214353156028571</c:v>
                </c:pt>
                <c:pt idx="112">
                  <c:v>1.2169672330673862</c:v>
                </c:pt>
                <c:pt idx="113">
                  <c:v>1.2129223554733461</c:v>
                </c:pt>
                <c:pt idx="114">
                  <c:v>1.2182004824813584</c:v>
                </c:pt>
                <c:pt idx="115">
                  <c:v>1.212034023641664</c:v>
                </c:pt>
                <c:pt idx="116">
                  <c:v>1.2189372030457846</c:v>
                </c:pt>
                <c:pt idx="117">
                  <c:v>1.2225317451441637</c:v>
                </c:pt>
                <c:pt idx="118">
                  <c:v>1.2143898836005791</c:v>
                </c:pt>
                <c:pt idx="119">
                  <c:v>1.2151235611886169</c:v>
                </c:pt>
                <c:pt idx="120">
                  <c:v>1.2178052088568434</c:v>
                </c:pt>
                <c:pt idx="121">
                  <c:v>1.2093668723648616</c:v>
                </c:pt>
                <c:pt idx="122">
                  <c:v>1.1988524727126599</c:v>
                </c:pt>
                <c:pt idx="123">
                  <c:v>1.1776102001015509</c:v>
                </c:pt>
                <c:pt idx="124">
                  <c:v>1.1965560630315906</c:v>
                </c:pt>
                <c:pt idx="125">
                  <c:v>1.1892051948010853</c:v>
                </c:pt>
                <c:pt idx="126">
                  <c:v>1.1762231797959759</c:v>
                </c:pt>
                <c:pt idx="127">
                  <c:v>1.1687652887822815</c:v>
                </c:pt>
                <c:pt idx="128">
                  <c:v>1.172543133089673</c:v>
                </c:pt>
                <c:pt idx="129">
                  <c:v>1.1820542128829798</c:v>
                </c:pt>
                <c:pt idx="130">
                  <c:v>1.1787661064433979</c:v>
                </c:pt>
                <c:pt idx="131">
                  <c:v>1.1941530814579482</c:v>
                </c:pt>
                <c:pt idx="132">
                  <c:v>1.2027460211917782</c:v>
                </c:pt>
                <c:pt idx="133">
                  <c:v>1.2171877066856496</c:v>
                </c:pt>
                <c:pt idx="134">
                  <c:v>1.2302417702412078</c:v>
                </c:pt>
                <c:pt idx="135">
                  <c:v>1.209189401861259</c:v>
                </c:pt>
                <c:pt idx="136">
                  <c:v>1.201541311753124</c:v>
                </c:pt>
                <c:pt idx="137">
                  <c:v>1.2089774535328499</c:v>
                </c:pt>
                <c:pt idx="138">
                  <c:v>1.2113870375271625</c:v>
                </c:pt>
                <c:pt idx="139">
                  <c:v>1.2260109506998436</c:v>
                </c:pt>
                <c:pt idx="140">
                  <c:v>1.2245067044887066</c:v>
                </c:pt>
                <c:pt idx="141">
                  <c:v>1.225636632865901</c:v>
                </c:pt>
                <c:pt idx="142">
                  <c:v>1.2090697491997999</c:v>
                </c:pt>
                <c:pt idx="143">
                  <c:v>1.220080611480471</c:v>
                </c:pt>
                <c:pt idx="144">
                  <c:v>1.2210829961346137</c:v>
                </c:pt>
                <c:pt idx="145">
                  <c:v>1.2171876305177147</c:v>
                </c:pt>
                <c:pt idx="146">
                  <c:v>1.2277489068064049</c:v>
                </c:pt>
                <c:pt idx="147">
                  <c:v>1.2158425355356564</c:v>
                </c:pt>
                <c:pt idx="148">
                  <c:v>1.1942726804327675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5E0-4DDF-A7AF-39DB53C5F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586959"/>
        <c:axId val="1420586479"/>
      </c:lineChart>
      <c:dateAx>
        <c:axId val="142058695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586479"/>
        <c:crosses val="autoZero"/>
        <c:auto val="1"/>
        <c:lblOffset val="100"/>
        <c:baseTimeUnit val="days"/>
      </c:dateAx>
      <c:valAx>
        <c:axId val="1420586479"/>
        <c:scaling>
          <c:orientation val="minMax"/>
          <c:max val="1.25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58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HISTORICAL!$B$1:$B$2</c:f>
              <c:strCache>
                <c:ptCount val="2"/>
                <c:pt idx="0">
                  <c:v>Performance (EUR)</c:v>
                </c:pt>
                <c:pt idx="1">
                  <c:v>-   € 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cat>
            <c:strRef>
              <c:f>HISTORICAL!$A$3:$A$1119</c:f>
              <c:strCache>
                <c:ptCount val="1117"/>
                <c:pt idx="0">
                  <c:v>22/11/2021</c:v>
                </c:pt>
                <c:pt idx="1">
                  <c:v>23/11/2021</c:v>
                </c:pt>
                <c:pt idx="2">
                  <c:v>24/11/2021</c:v>
                </c:pt>
                <c:pt idx="3">
                  <c:v>25/11/2021</c:v>
                </c:pt>
                <c:pt idx="4">
                  <c:v>26/11/2021</c:v>
                </c:pt>
                <c:pt idx="5">
                  <c:v>27/11/2021</c:v>
                </c:pt>
                <c:pt idx="6">
                  <c:v>28/11/2021</c:v>
                </c:pt>
                <c:pt idx="7">
                  <c:v>29/11/2021</c:v>
                </c:pt>
                <c:pt idx="8">
                  <c:v>30/11/2021</c:v>
                </c:pt>
                <c:pt idx="9">
                  <c:v>12/01/21</c:v>
                </c:pt>
                <c:pt idx="10">
                  <c:v>12/02/21</c:v>
                </c:pt>
                <c:pt idx="11">
                  <c:v>12/03/21</c:v>
                </c:pt>
                <c:pt idx="12">
                  <c:v>12/04/21</c:v>
                </c:pt>
                <c:pt idx="13">
                  <c:v>12/05/21</c:v>
                </c:pt>
                <c:pt idx="14">
                  <c:v>12/06/21</c:v>
                </c:pt>
                <c:pt idx="15">
                  <c:v>12/07/21</c:v>
                </c:pt>
                <c:pt idx="16">
                  <c:v>12/08/21</c:v>
                </c:pt>
                <c:pt idx="17">
                  <c:v>12/09/21</c:v>
                </c:pt>
                <c:pt idx="18">
                  <c:v>12/10/21</c:v>
                </c:pt>
                <c:pt idx="19">
                  <c:v>12/11/21</c:v>
                </c:pt>
                <c:pt idx="20">
                  <c:v>12/12/21</c:v>
                </c:pt>
                <c:pt idx="21">
                  <c:v>13/12/2021</c:v>
                </c:pt>
                <c:pt idx="22">
                  <c:v>14/12/2021</c:v>
                </c:pt>
                <c:pt idx="23">
                  <c:v>15/12/2021</c:v>
                </c:pt>
                <c:pt idx="24">
                  <c:v>16/12/2021</c:v>
                </c:pt>
                <c:pt idx="25">
                  <c:v>17/12/2021</c:v>
                </c:pt>
                <c:pt idx="26">
                  <c:v>18/12/2021</c:v>
                </c:pt>
                <c:pt idx="27">
                  <c:v>19/12/2021</c:v>
                </c:pt>
                <c:pt idx="28">
                  <c:v>20/12/2021</c:v>
                </c:pt>
                <c:pt idx="29">
                  <c:v>21/12/2021</c:v>
                </c:pt>
                <c:pt idx="30">
                  <c:v>22/12/2021</c:v>
                </c:pt>
                <c:pt idx="31">
                  <c:v>23/12/2021</c:v>
                </c:pt>
                <c:pt idx="32">
                  <c:v>24/12/2021</c:v>
                </c:pt>
                <c:pt idx="33">
                  <c:v>25/12/2021</c:v>
                </c:pt>
                <c:pt idx="34">
                  <c:v>26/12/2021</c:v>
                </c:pt>
                <c:pt idx="35">
                  <c:v>27/12/2021</c:v>
                </c:pt>
                <c:pt idx="36">
                  <c:v>28/12/2021</c:v>
                </c:pt>
                <c:pt idx="37">
                  <c:v>29/12/2021</c:v>
                </c:pt>
                <c:pt idx="38">
                  <c:v>30/12/2021</c:v>
                </c:pt>
                <c:pt idx="39">
                  <c:v>31/12/2021</c:v>
                </c:pt>
                <c:pt idx="40">
                  <c:v>01/01/22</c:v>
                </c:pt>
                <c:pt idx="41">
                  <c:v>01/02/22</c:v>
                </c:pt>
                <c:pt idx="42">
                  <c:v>01/03/22</c:v>
                </c:pt>
                <c:pt idx="43">
                  <c:v>01/04/22</c:v>
                </c:pt>
                <c:pt idx="44">
                  <c:v>01/05/22</c:v>
                </c:pt>
                <c:pt idx="45">
                  <c:v>01/06/22</c:v>
                </c:pt>
                <c:pt idx="46">
                  <c:v>01/07/22</c:v>
                </c:pt>
                <c:pt idx="47">
                  <c:v>01/08/22</c:v>
                </c:pt>
                <c:pt idx="48">
                  <c:v>01/09/22</c:v>
                </c:pt>
                <c:pt idx="49">
                  <c:v>01/10/22</c:v>
                </c:pt>
                <c:pt idx="50">
                  <c:v>01/11/22</c:v>
                </c:pt>
                <c:pt idx="51">
                  <c:v>01/12/22</c:v>
                </c:pt>
                <c:pt idx="52">
                  <c:v>13/01/2022</c:v>
                </c:pt>
                <c:pt idx="53">
                  <c:v>14/01/2022</c:v>
                </c:pt>
                <c:pt idx="54">
                  <c:v>15/01/2022</c:v>
                </c:pt>
                <c:pt idx="55">
                  <c:v>16/01/2022</c:v>
                </c:pt>
                <c:pt idx="56">
                  <c:v>17/01/2022</c:v>
                </c:pt>
                <c:pt idx="57">
                  <c:v>18/01/2022</c:v>
                </c:pt>
                <c:pt idx="58">
                  <c:v>19/01/2022</c:v>
                </c:pt>
                <c:pt idx="59">
                  <c:v>20/01/2022</c:v>
                </c:pt>
                <c:pt idx="60">
                  <c:v>21/01/2022</c:v>
                </c:pt>
                <c:pt idx="61">
                  <c:v>22/01/2022</c:v>
                </c:pt>
                <c:pt idx="62">
                  <c:v>23/01/2022</c:v>
                </c:pt>
                <c:pt idx="63">
                  <c:v>24/01/2022</c:v>
                </c:pt>
                <c:pt idx="64">
                  <c:v>25/01/2022</c:v>
                </c:pt>
                <c:pt idx="65">
                  <c:v>26/01/2022</c:v>
                </c:pt>
                <c:pt idx="66">
                  <c:v>27/01/2022</c:v>
                </c:pt>
                <c:pt idx="67">
                  <c:v>28/01/2022</c:v>
                </c:pt>
                <c:pt idx="68">
                  <c:v>29/01/2022</c:v>
                </c:pt>
                <c:pt idx="69">
                  <c:v>30/01/2022</c:v>
                </c:pt>
                <c:pt idx="70">
                  <c:v>31/01/2022</c:v>
                </c:pt>
                <c:pt idx="71">
                  <c:v>02/01/22</c:v>
                </c:pt>
                <c:pt idx="72">
                  <c:v>02/02/22</c:v>
                </c:pt>
                <c:pt idx="73">
                  <c:v>02/03/22</c:v>
                </c:pt>
                <c:pt idx="74">
                  <c:v>02/04/22</c:v>
                </c:pt>
                <c:pt idx="75">
                  <c:v>02/05/22</c:v>
                </c:pt>
                <c:pt idx="76">
                  <c:v>02/06/22</c:v>
                </c:pt>
                <c:pt idx="77">
                  <c:v>02/07/22</c:v>
                </c:pt>
                <c:pt idx="78">
                  <c:v>02/08/22</c:v>
                </c:pt>
                <c:pt idx="79">
                  <c:v>02/09/22</c:v>
                </c:pt>
                <c:pt idx="80">
                  <c:v>02/10/22</c:v>
                </c:pt>
                <c:pt idx="81">
                  <c:v>02/11/22</c:v>
                </c:pt>
                <c:pt idx="82">
                  <c:v>02/12/22</c:v>
                </c:pt>
                <c:pt idx="83">
                  <c:v>13/02/2022</c:v>
                </c:pt>
                <c:pt idx="84">
                  <c:v>14/02/2022</c:v>
                </c:pt>
                <c:pt idx="85">
                  <c:v>15/02/2022</c:v>
                </c:pt>
                <c:pt idx="86">
                  <c:v>16/02/2022</c:v>
                </c:pt>
                <c:pt idx="87">
                  <c:v>17/02/2022</c:v>
                </c:pt>
                <c:pt idx="88">
                  <c:v>18/02/2022</c:v>
                </c:pt>
                <c:pt idx="89">
                  <c:v>19/02/2022</c:v>
                </c:pt>
                <c:pt idx="90">
                  <c:v>20/02/2022</c:v>
                </c:pt>
                <c:pt idx="91">
                  <c:v>21/02/2022</c:v>
                </c:pt>
                <c:pt idx="92">
                  <c:v>22/02/2022</c:v>
                </c:pt>
                <c:pt idx="93">
                  <c:v>23/02/2022</c:v>
                </c:pt>
                <c:pt idx="94">
                  <c:v>24/02/2022</c:v>
                </c:pt>
                <c:pt idx="95">
                  <c:v>25/02/2022</c:v>
                </c:pt>
                <c:pt idx="96">
                  <c:v>26/02/2022</c:v>
                </c:pt>
                <c:pt idx="97">
                  <c:v>27/02/2022</c:v>
                </c:pt>
                <c:pt idx="98">
                  <c:v>28/02/2022</c:v>
                </c:pt>
                <c:pt idx="99">
                  <c:v>03/01/22</c:v>
                </c:pt>
                <c:pt idx="100">
                  <c:v>03/02/22</c:v>
                </c:pt>
                <c:pt idx="101">
                  <c:v>03/03/22</c:v>
                </c:pt>
                <c:pt idx="102">
                  <c:v>03/04/22</c:v>
                </c:pt>
                <c:pt idx="103">
                  <c:v>03/05/22</c:v>
                </c:pt>
                <c:pt idx="104">
                  <c:v>03/06/22</c:v>
                </c:pt>
                <c:pt idx="105">
                  <c:v>03/07/22</c:v>
                </c:pt>
                <c:pt idx="106">
                  <c:v>03/08/22</c:v>
                </c:pt>
                <c:pt idx="107">
                  <c:v>03/09/22</c:v>
                </c:pt>
                <c:pt idx="108">
                  <c:v>03/10/22</c:v>
                </c:pt>
                <c:pt idx="109">
                  <c:v>03/11/22</c:v>
                </c:pt>
                <c:pt idx="110">
                  <c:v>03/12/22</c:v>
                </c:pt>
                <c:pt idx="111">
                  <c:v>13/03/2022</c:v>
                </c:pt>
                <c:pt idx="112">
                  <c:v>14/03/2022</c:v>
                </c:pt>
                <c:pt idx="113">
                  <c:v>15/03/2022</c:v>
                </c:pt>
                <c:pt idx="114">
                  <c:v>16/03/2022</c:v>
                </c:pt>
                <c:pt idx="115">
                  <c:v>17/03/2022</c:v>
                </c:pt>
                <c:pt idx="116">
                  <c:v>18/03/2022</c:v>
                </c:pt>
                <c:pt idx="117">
                  <c:v>19/03/2022</c:v>
                </c:pt>
                <c:pt idx="118">
                  <c:v>20/03/2022</c:v>
                </c:pt>
                <c:pt idx="119">
                  <c:v>21/03/2022</c:v>
                </c:pt>
                <c:pt idx="120">
                  <c:v>22/03/2022</c:v>
                </c:pt>
                <c:pt idx="121">
                  <c:v>23/03/2022</c:v>
                </c:pt>
                <c:pt idx="122">
                  <c:v>24/03/2022</c:v>
                </c:pt>
                <c:pt idx="123">
                  <c:v>25/03/2022</c:v>
                </c:pt>
                <c:pt idx="124">
                  <c:v>26/03/2022</c:v>
                </c:pt>
                <c:pt idx="125">
                  <c:v>27/03/2022</c:v>
                </c:pt>
                <c:pt idx="126">
                  <c:v>28/03/2022</c:v>
                </c:pt>
                <c:pt idx="127">
                  <c:v>29/03/2022</c:v>
                </c:pt>
                <c:pt idx="128">
                  <c:v>30/03/2022</c:v>
                </c:pt>
                <c:pt idx="129">
                  <c:v>31/03/2022</c:v>
                </c:pt>
                <c:pt idx="130">
                  <c:v>04/01/22</c:v>
                </c:pt>
                <c:pt idx="131">
                  <c:v>04/02/22</c:v>
                </c:pt>
                <c:pt idx="132">
                  <c:v>04/03/22</c:v>
                </c:pt>
                <c:pt idx="133">
                  <c:v>04/04/22</c:v>
                </c:pt>
                <c:pt idx="134">
                  <c:v>04/05/22</c:v>
                </c:pt>
                <c:pt idx="135">
                  <c:v>04/06/22</c:v>
                </c:pt>
                <c:pt idx="136">
                  <c:v>04/07/22</c:v>
                </c:pt>
                <c:pt idx="137">
                  <c:v>04/08/22</c:v>
                </c:pt>
                <c:pt idx="138">
                  <c:v>04/09/22</c:v>
                </c:pt>
                <c:pt idx="139">
                  <c:v>04/10/22</c:v>
                </c:pt>
                <c:pt idx="140">
                  <c:v>04/11/22</c:v>
                </c:pt>
                <c:pt idx="141">
                  <c:v>04/12/22</c:v>
                </c:pt>
                <c:pt idx="142">
                  <c:v>13/04/2022</c:v>
                </c:pt>
                <c:pt idx="143">
                  <c:v>14/04/2022</c:v>
                </c:pt>
                <c:pt idx="144">
                  <c:v>15/04/2022</c:v>
                </c:pt>
                <c:pt idx="145">
                  <c:v>16/04/2022</c:v>
                </c:pt>
                <c:pt idx="146">
                  <c:v>17/04/2022</c:v>
                </c:pt>
                <c:pt idx="147">
                  <c:v>18/04/2022</c:v>
                </c:pt>
                <c:pt idx="148">
                  <c:v>19/04/2022</c:v>
                </c:pt>
                <c:pt idx="149">
                  <c:v>20/04/2022</c:v>
                </c:pt>
                <c:pt idx="150">
                  <c:v>21/04/2022</c:v>
                </c:pt>
                <c:pt idx="151">
                  <c:v>22/04/2022</c:v>
                </c:pt>
                <c:pt idx="152">
                  <c:v>23/04/2022</c:v>
                </c:pt>
                <c:pt idx="153">
                  <c:v>24/04/2022</c:v>
                </c:pt>
                <c:pt idx="154">
                  <c:v>25/04/2022</c:v>
                </c:pt>
                <c:pt idx="155">
                  <c:v>26/04/2022</c:v>
                </c:pt>
                <c:pt idx="156">
                  <c:v>27/04/2022</c:v>
                </c:pt>
                <c:pt idx="157">
                  <c:v>28/04/2022</c:v>
                </c:pt>
                <c:pt idx="158">
                  <c:v>29/04/2022</c:v>
                </c:pt>
                <c:pt idx="159">
                  <c:v>05/02/22</c:v>
                </c:pt>
                <c:pt idx="160">
                  <c:v>05/03/22</c:v>
                </c:pt>
                <c:pt idx="161">
                  <c:v>05/04/22</c:v>
                </c:pt>
                <c:pt idx="162">
                  <c:v>05/05/22</c:v>
                </c:pt>
                <c:pt idx="163">
                  <c:v>05/06/22</c:v>
                </c:pt>
                <c:pt idx="164">
                  <c:v>05/09/22</c:v>
                </c:pt>
                <c:pt idx="165">
                  <c:v>05/10/22</c:v>
                </c:pt>
                <c:pt idx="166">
                  <c:v>05/11/22</c:v>
                </c:pt>
                <c:pt idx="167">
                  <c:v>05/12/22</c:v>
                </c:pt>
                <c:pt idx="168">
                  <c:v>13/05/2022</c:v>
                </c:pt>
                <c:pt idx="169">
                  <c:v>16/05/2022</c:v>
                </c:pt>
                <c:pt idx="170">
                  <c:v>17/05/2022</c:v>
                </c:pt>
                <c:pt idx="171">
                  <c:v>18/05/2022</c:v>
                </c:pt>
                <c:pt idx="172">
                  <c:v>19/05/2022</c:v>
                </c:pt>
                <c:pt idx="173">
                  <c:v>20/05/2022</c:v>
                </c:pt>
                <c:pt idx="174">
                  <c:v>23/05/2022</c:v>
                </c:pt>
                <c:pt idx="175">
                  <c:v>24/05/2022</c:v>
                </c:pt>
                <c:pt idx="176">
                  <c:v>25/05/2022</c:v>
                </c:pt>
                <c:pt idx="177">
                  <c:v>26/05/2022</c:v>
                </c:pt>
                <c:pt idx="178">
                  <c:v>27/05/2022</c:v>
                </c:pt>
                <c:pt idx="179">
                  <c:v>30/05/2022</c:v>
                </c:pt>
                <c:pt idx="180">
                  <c:v>31/05/2022</c:v>
                </c:pt>
                <c:pt idx="181">
                  <c:v>06/01/22</c:v>
                </c:pt>
                <c:pt idx="182">
                  <c:v>06/02/22</c:v>
                </c:pt>
                <c:pt idx="183">
                  <c:v>06/03/22</c:v>
                </c:pt>
                <c:pt idx="184">
                  <c:v>06/06/22</c:v>
                </c:pt>
                <c:pt idx="185">
                  <c:v>06/07/22</c:v>
                </c:pt>
                <c:pt idx="186">
                  <c:v>06/08/22</c:v>
                </c:pt>
                <c:pt idx="187">
                  <c:v>06/09/22</c:v>
                </c:pt>
                <c:pt idx="188">
                  <c:v>06/10/22</c:v>
                </c:pt>
                <c:pt idx="189">
                  <c:v>13/06/2022</c:v>
                </c:pt>
                <c:pt idx="190">
                  <c:v>14/06/2022</c:v>
                </c:pt>
                <c:pt idx="191">
                  <c:v>15/06/2022</c:v>
                </c:pt>
                <c:pt idx="192">
                  <c:v>16/06/2022</c:v>
                </c:pt>
                <c:pt idx="193">
                  <c:v>17/06/2022</c:v>
                </c:pt>
                <c:pt idx="194">
                  <c:v>20/06/2022</c:v>
                </c:pt>
                <c:pt idx="195">
                  <c:v>21/06/2022</c:v>
                </c:pt>
                <c:pt idx="196">
                  <c:v>22/06/2022</c:v>
                </c:pt>
                <c:pt idx="197">
                  <c:v>23/06/2022</c:v>
                </c:pt>
                <c:pt idx="198">
                  <c:v>24/06/2022</c:v>
                </c:pt>
                <c:pt idx="199">
                  <c:v>27/06/2022</c:v>
                </c:pt>
                <c:pt idx="200">
                  <c:v>28/06/2022</c:v>
                </c:pt>
                <c:pt idx="201">
                  <c:v>29/06/2022</c:v>
                </c:pt>
                <c:pt idx="202">
                  <c:v>30/06/2022</c:v>
                </c:pt>
                <c:pt idx="203">
                  <c:v>07/01/22</c:v>
                </c:pt>
                <c:pt idx="204">
                  <c:v>07/04/22</c:v>
                </c:pt>
                <c:pt idx="205">
                  <c:v>07/05/22</c:v>
                </c:pt>
                <c:pt idx="206">
                  <c:v>07/06/22</c:v>
                </c:pt>
                <c:pt idx="207">
                  <c:v>07/07/22</c:v>
                </c:pt>
                <c:pt idx="208">
                  <c:v>07/08/22</c:v>
                </c:pt>
                <c:pt idx="209">
                  <c:v>07/11/22</c:v>
                </c:pt>
                <c:pt idx="210">
                  <c:v>07/12/22</c:v>
                </c:pt>
                <c:pt idx="211">
                  <c:v>13/07/2022</c:v>
                </c:pt>
                <c:pt idx="212">
                  <c:v>14/07/2022</c:v>
                </c:pt>
                <c:pt idx="213">
                  <c:v>15/07/2022</c:v>
                </c:pt>
                <c:pt idx="214">
                  <c:v>18/07/2022</c:v>
                </c:pt>
                <c:pt idx="215">
                  <c:v>19/07/2022</c:v>
                </c:pt>
                <c:pt idx="216">
                  <c:v>20/07/2022</c:v>
                </c:pt>
                <c:pt idx="217">
                  <c:v>21/07/2022</c:v>
                </c:pt>
                <c:pt idx="218">
                  <c:v>22/07/2022</c:v>
                </c:pt>
                <c:pt idx="219">
                  <c:v>25/07/2022</c:v>
                </c:pt>
                <c:pt idx="220">
                  <c:v>26/07/2022</c:v>
                </c:pt>
                <c:pt idx="221">
                  <c:v>27/07/2022</c:v>
                </c:pt>
                <c:pt idx="222">
                  <c:v>28/07/2022</c:v>
                </c:pt>
                <c:pt idx="223">
                  <c:v>29/07/2022</c:v>
                </c:pt>
                <c:pt idx="224">
                  <c:v>08/01/22</c:v>
                </c:pt>
                <c:pt idx="225">
                  <c:v>08/02/22</c:v>
                </c:pt>
                <c:pt idx="226">
                  <c:v>08/03/22</c:v>
                </c:pt>
                <c:pt idx="227">
                  <c:v>08/04/22</c:v>
                </c:pt>
                <c:pt idx="228">
                  <c:v>08/05/22</c:v>
                </c:pt>
                <c:pt idx="229">
                  <c:v>08/08/22</c:v>
                </c:pt>
                <c:pt idx="230">
                  <c:v>08/09/22</c:v>
                </c:pt>
                <c:pt idx="231">
                  <c:v>08/10/22</c:v>
                </c:pt>
                <c:pt idx="232">
                  <c:v>08/11/22</c:v>
                </c:pt>
                <c:pt idx="233">
                  <c:v>08/12/22</c:v>
                </c:pt>
                <c:pt idx="234">
                  <c:v>15/08/2022</c:v>
                </c:pt>
                <c:pt idx="235">
                  <c:v>16/08/2022</c:v>
                </c:pt>
                <c:pt idx="236">
                  <c:v>17/08/2022</c:v>
                </c:pt>
                <c:pt idx="237">
                  <c:v>18/08/2022</c:v>
                </c:pt>
                <c:pt idx="238">
                  <c:v>19/08/2022</c:v>
                </c:pt>
                <c:pt idx="239">
                  <c:v>22/08/2022</c:v>
                </c:pt>
                <c:pt idx="240">
                  <c:v>23/08/2022</c:v>
                </c:pt>
                <c:pt idx="241">
                  <c:v>24/08/2022</c:v>
                </c:pt>
                <c:pt idx="242">
                  <c:v>25/08/2022</c:v>
                </c:pt>
                <c:pt idx="243">
                  <c:v>26/08/2022</c:v>
                </c:pt>
                <c:pt idx="244">
                  <c:v>29/08/2022</c:v>
                </c:pt>
                <c:pt idx="245">
                  <c:v>30/08/2022</c:v>
                </c:pt>
                <c:pt idx="246">
                  <c:v>31/08/2022</c:v>
                </c:pt>
                <c:pt idx="247">
                  <c:v>09/01/22</c:v>
                </c:pt>
                <c:pt idx="248">
                  <c:v>09/02/22</c:v>
                </c:pt>
                <c:pt idx="249">
                  <c:v>09/05/22</c:v>
                </c:pt>
                <c:pt idx="250">
                  <c:v>09/06/22</c:v>
                </c:pt>
                <c:pt idx="251">
                  <c:v>09/07/22</c:v>
                </c:pt>
                <c:pt idx="252">
                  <c:v>09/08/22</c:v>
                </c:pt>
                <c:pt idx="253">
                  <c:v>09/09/22</c:v>
                </c:pt>
                <c:pt idx="254">
                  <c:v>09/12/22</c:v>
                </c:pt>
                <c:pt idx="255">
                  <c:v>13/09/2022</c:v>
                </c:pt>
                <c:pt idx="256">
                  <c:v>14/09/2022</c:v>
                </c:pt>
                <c:pt idx="257">
                  <c:v>15/09/2022</c:v>
                </c:pt>
                <c:pt idx="258">
                  <c:v>16/09/2022</c:v>
                </c:pt>
                <c:pt idx="259">
                  <c:v>19/09/2022</c:v>
                </c:pt>
                <c:pt idx="260">
                  <c:v>20/09/2022</c:v>
                </c:pt>
                <c:pt idx="261">
                  <c:v>21/09/2022</c:v>
                </c:pt>
                <c:pt idx="262">
                  <c:v>22/09/2022</c:v>
                </c:pt>
                <c:pt idx="263">
                  <c:v>23/09/2022</c:v>
                </c:pt>
                <c:pt idx="264">
                  <c:v>26/09/2022</c:v>
                </c:pt>
                <c:pt idx="265">
                  <c:v>27/09/2022</c:v>
                </c:pt>
                <c:pt idx="266">
                  <c:v>28/09/2022</c:v>
                </c:pt>
                <c:pt idx="267">
                  <c:v>29/09/2022</c:v>
                </c:pt>
                <c:pt idx="268">
                  <c:v>30/09/2022</c:v>
                </c:pt>
                <c:pt idx="269">
                  <c:v>10/03/22</c:v>
                </c:pt>
                <c:pt idx="270">
                  <c:v>10/04/22</c:v>
                </c:pt>
                <c:pt idx="271">
                  <c:v>10/05/22</c:v>
                </c:pt>
                <c:pt idx="272">
                  <c:v>10/06/22</c:v>
                </c:pt>
                <c:pt idx="273">
                  <c:v>10/07/22</c:v>
                </c:pt>
                <c:pt idx="274">
                  <c:v>10/10/22</c:v>
                </c:pt>
                <c:pt idx="275">
                  <c:v>10/11/22</c:v>
                </c:pt>
                <c:pt idx="276">
                  <c:v>10/12/22</c:v>
                </c:pt>
                <c:pt idx="277">
                  <c:v>13/10/2022</c:v>
                </c:pt>
                <c:pt idx="278">
                  <c:v>14/10/2022</c:v>
                </c:pt>
                <c:pt idx="279">
                  <c:v>17/10/2022</c:v>
                </c:pt>
                <c:pt idx="280">
                  <c:v>18/10/2022</c:v>
                </c:pt>
                <c:pt idx="281">
                  <c:v>19/10/2022</c:v>
                </c:pt>
                <c:pt idx="282">
                  <c:v>20/10/2022</c:v>
                </c:pt>
                <c:pt idx="283">
                  <c:v>21/10/2022</c:v>
                </c:pt>
                <c:pt idx="284">
                  <c:v>24/10/2022</c:v>
                </c:pt>
                <c:pt idx="285">
                  <c:v>25/10/2022</c:v>
                </c:pt>
                <c:pt idx="286">
                  <c:v>26/10/2022</c:v>
                </c:pt>
                <c:pt idx="287">
                  <c:v>27/10/2022</c:v>
                </c:pt>
                <c:pt idx="288">
                  <c:v>28/10/2022</c:v>
                </c:pt>
                <c:pt idx="289">
                  <c:v>31/10/2022</c:v>
                </c:pt>
                <c:pt idx="290">
                  <c:v>11/01/22</c:v>
                </c:pt>
                <c:pt idx="291">
                  <c:v>11/02/22</c:v>
                </c:pt>
                <c:pt idx="292">
                  <c:v>11/03/22</c:v>
                </c:pt>
                <c:pt idx="293">
                  <c:v>11/04/22</c:v>
                </c:pt>
                <c:pt idx="294">
                  <c:v>11/07/22</c:v>
                </c:pt>
                <c:pt idx="295">
                  <c:v>11/08/22</c:v>
                </c:pt>
                <c:pt idx="296">
                  <c:v>11/09/22</c:v>
                </c:pt>
                <c:pt idx="297">
                  <c:v>11/10/22</c:v>
                </c:pt>
                <c:pt idx="298">
                  <c:v>11/11/22</c:v>
                </c:pt>
                <c:pt idx="299">
                  <c:v>14/11/2022</c:v>
                </c:pt>
                <c:pt idx="300">
                  <c:v>15/11/2022</c:v>
                </c:pt>
                <c:pt idx="301">
                  <c:v>16/11/2022</c:v>
                </c:pt>
                <c:pt idx="302">
                  <c:v>17/11/2022</c:v>
                </c:pt>
                <c:pt idx="303">
                  <c:v>18/11/2022</c:v>
                </c:pt>
                <c:pt idx="304">
                  <c:v>21/11/2022</c:v>
                </c:pt>
                <c:pt idx="305">
                  <c:v>22/11/2022</c:v>
                </c:pt>
                <c:pt idx="306">
                  <c:v>23/11/2022</c:v>
                </c:pt>
                <c:pt idx="307">
                  <c:v>24/11/2022</c:v>
                </c:pt>
                <c:pt idx="308">
                  <c:v>25/11/2022</c:v>
                </c:pt>
                <c:pt idx="309">
                  <c:v>28/11/2022</c:v>
                </c:pt>
                <c:pt idx="310">
                  <c:v>29/11/2022</c:v>
                </c:pt>
                <c:pt idx="311">
                  <c:v>30/11/2022</c:v>
                </c:pt>
                <c:pt idx="312">
                  <c:v>12/01/22</c:v>
                </c:pt>
                <c:pt idx="313">
                  <c:v>12/02/22</c:v>
                </c:pt>
                <c:pt idx="314">
                  <c:v>12/05/22</c:v>
                </c:pt>
                <c:pt idx="315">
                  <c:v>12/06/22</c:v>
                </c:pt>
                <c:pt idx="316">
                  <c:v>12/07/22</c:v>
                </c:pt>
                <c:pt idx="317">
                  <c:v>12/08/22</c:v>
                </c:pt>
                <c:pt idx="318">
                  <c:v>12/09/22</c:v>
                </c:pt>
                <c:pt idx="319">
                  <c:v>12/12/22</c:v>
                </c:pt>
                <c:pt idx="320">
                  <c:v>13/12/2022</c:v>
                </c:pt>
                <c:pt idx="321">
                  <c:v>14/12/2022</c:v>
                </c:pt>
                <c:pt idx="322">
                  <c:v>15/12/2022</c:v>
                </c:pt>
                <c:pt idx="323">
                  <c:v>16/12/2022</c:v>
                </c:pt>
                <c:pt idx="324">
                  <c:v>19/12/2022</c:v>
                </c:pt>
                <c:pt idx="325">
                  <c:v>20/12/2022</c:v>
                </c:pt>
                <c:pt idx="326">
                  <c:v>21/12/2022</c:v>
                </c:pt>
                <c:pt idx="327">
                  <c:v>22/12/2022</c:v>
                </c:pt>
                <c:pt idx="328">
                  <c:v>23/12/2022</c:v>
                </c:pt>
                <c:pt idx="329">
                  <c:v>26/12/2022</c:v>
                </c:pt>
                <c:pt idx="330">
                  <c:v>27/12/2022</c:v>
                </c:pt>
                <c:pt idx="331">
                  <c:v>28/12/2022</c:v>
                </c:pt>
                <c:pt idx="332">
                  <c:v>29/12/2022</c:v>
                </c:pt>
                <c:pt idx="333">
                  <c:v>30/12/2022</c:v>
                </c:pt>
                <c:pt idx="334">
                  <c:v>01/02/23</c:v>
                </c:pt>
                <c:pt idx="335">
                  <c:v>01/03/23</c:v>
                </c:pt>
                <c:pt idx="336">
                  <c:v>01/04/23</c:v>
                </c:pt>
                <c:pt idx="337">
                  <c:v>01/05/23</c:v>
                </c:pt>
                <c:pt idx="338">
                  <c:v>01/06/23</c:v>
                </c:pt>
                <c:pt idx="339">
                  <c:v>01/09/23</c:v>
                </c:pt>
                <c:pt idx="340">
                  <c:v>01/10/23</c:v>
                </c:pt>
                <c:pt idx="341">
                  <c:v>01/11/23</c:v>
                </c:pt>
                <c:pt idx="342">
                  <c:v>01/12/23</c:v>
                </c:pt>
                <c:pt idx="343">
                  <c:v>13/01/2023</c:v>
                </c:pt>
                <c:pt idx="344">
                  <c:v>16/01/2023</c:v>
                </c:pt>
                <c:pt idx="345">
                  <c:v>17/01/2023</c:v>
                </c:pt>
                <c:pt idx="346">
                  <c:v>18/01/2023</c:v>
                </c:pt>
                <c:pt idx="347">
                  <c:v>19/01/2023</c:v>
                </c:pt>
                <c:pt idx="348">
                  <c:v>20/01/2023</c:v>
                </c:pt>
                <c:pt idx="349">
                  <c:v>23/01/2023</c:v>
                </c:pt>
                <c:pt idx="350">
                  <c:v>24/01/2023</c:v>
                </c:pt>
                <c:pt idx="351">
                  <c:v>25/01/2023</c:v>
                </c:pt>
                <c:pt idx="352">
                  <c:v>26/01/2023</c:v>
                </c:pt>
                <c:pt idx="353">
                  <c:v>27/01/2023</c:v>
                </c:pt>
                <c:pt idx="354">
                  <c:v>30/01/2023</c:v>
                </c:pt>
                <c:pt idx="355">
                  <c:v>31/01/2023</c:v>
                </c:pt>
                <c:pt idx="356">
                  <c:v>02/01/23</c:v>
                </c:pt>
                <c:pt idx="357">
                  <c:v>02/02/23</c:v>
                </c:pt>
                <c:pt idx="358">
                  <c:v>02/03/23</c:v>
                </c:pt>
                <c:pt idx="359">
                  <c:v>02/06/23</c:v>
                </c:pt>
                <c:pt idx="360">
                  <c:v>02/07/23</c:v>
                </c:pt>
                <c:pt idx="361">
                  <c:v>02/08/23</c:v>
                </c:pt>
                <c:pt idx="362">
                  <c:v>02/09/23</c:v>
                </c:pt>
                <c:pt idx="363">
                  <c:v>02/10/23</c:v>
                </c:pt>
                <c:pt idx="364">
                  <c:v>13/02/2023</c:v>
                </c:pt>
                <c:pt idx="365">
                  <c:v>14/02/2023</c:v>
                </c:pt>
                <c:pt idx="366">
                  <c:v>15/02/2023</c:v>
                </c:pt>
                <c:pt idx="367">
                  <c:v>16/02/2023</c:v>
                </c:pt>
                <c:pt idx="368">
                  <c:v>17/02/2023</c:v>
                </c:pt>
                <c:pt idx="369">
                  <c:v>20/02/2023</c:v>
                </c:pt>
                <c:pt idx="370">
                  <c:v>21/02/2023</c:v>
                </c:pt>
                <c:pt idx="371">
                  <c:v>22/02/2023</c:v>
                </c:pt>
                <c:pt idx="372">
                  <c:v>23/02/2023</c:v>
                </c:pt>
                <c:pt idx="373">
                  <c:v>24/02/2023</c:v>
                </c:pt>
                <c:pt idx="374">
                  <c:v>27/02/2023</c:v>
                </c:pt>
                <c:pt idx="375">
                  <c:v>28/02/2023</c:v>
                </c:pt>
                <c:pt idx="376">
                  <c:v>03/01/23</c:v>
                </c:pt>
                <c:pt idx="377">
                  <c:v>03/02/23</c:v>
                </c:pt>
                <c:pt idx="378">
                  <c:v>03/03/23</c:v>
                </c:pt>
                <c:pt idx="379">
                  <c:v>03/06/23</c:v>
                </c:pt>
                <c:pt idx="380">
                  <c:v>03/07/23</c:v>
                </c:pt>
                <c:pt idx="381">
                  <c:v>03/08/23</c:v>
                </c:pt>
                <c:pt idx="382">
                  <c:v>03/09/23</c:v>
                </c:pt>
                <c:pt idx="383">
                  <c:v>03/10/23</c:v>
                </c:pt>
                <c:pt idx="384">
                  <c:v>13/03/2023</c:v>
                </c:pt>
                <c:pt idx="385">
                  <c:v>14/03/2023</c:v>
                </c:pt>
                <c:pt idx="386">
                  <c:v>15/03/2023</c:v>
                </c:pt>
                <c:pt idx="387">
                  <c:v>16/03/2023</c:v>
                </c:pt>
                <c:pt idx="388">
                  <c:v>17/03/2023</c:v>
                </c:pt>
                <c:pt idx="389">
                  <c:v>20/03/2023</c:v>
                </c:pt>
                <c:pt idx="390">
                  <c:v>21/03/2023</c:v>
                </c:pt>
                <c:pt idx="391">
                  <c:v>22/03/2023</c:v>
                </c:pt>
                <c:pt idx="392">
                  <c:v>23/03/2023</c:v>
                </c:pt>
                <c:pt idx="393">
                  <c:v>24/03/2023</c:v>
                </c:pt>
                <c:pt idx="394">
                  <c:v>27/03/2023</c:v>
                </c:pt>
                <c:pt idx="395">
                  <c:v>28/03/2023</c:v>
                </c:pt>
                <c:pt idx="396">
                  <c:v>29/03/2023</c:v>
                </c:pt>
                <c:pt idx="397">
                  <c:v>30/03/2023</c:v>
                </c:pt>
                <c:pt idx="398">
                  <c:v>31/03/2023</c:v>
                </c:pt>
                <c:pt idx="399">
                  <c:v>04/03/23</c:v>
                </c:pt>
                <c:pt idx="400">
                  <c:v>04/04/23</c:v>
                </c:pt>
                <c:pt idx="401">
                  <c:v>04/05/23</c:v>
                </c:pt>
                <c:pt idx="402">
                  <c:v>04/06/23</c:v>
                </c:pt>
                <c:pt idx="403">
                  <c:v>04/07/23</c:v>
                </c:pt>
                <c:pt idx="404">
                  <c:v>04/10/23</c:v>
                </c:pt>
                <c:pt idx="405">
                  <c:v>04/11/23</c:v>
                </c:pt>
                <c:pt idx="406">
                  <c:v>04/12/23</c:v>
                </c:pt>
                <c:pt idx="407">
                  <c:v>13/04/2023</c:v>
                </c:pt>
                <c:pt idx="408">
                  <c:v>14/04/2023</c:v>
                </c:pt>
                <c:pt idx="409">
                  <c:v>17/04/2023</c:v>
                </c:pt>
                <c:pt idx="410">
                  <c:v>18/04/2023</c:v>
                </c:pt>
                <c:pt idx="411">
                  <c:v>19/04/2023</c:v>
                </c:pt>
                <c:pt idx="412">
                  <c:v>20/04/2023</c:v>
                </c:pt>
                <c:pt idx="413">
                  <c:v>21/04/2023</c:v>
                </c:pt>
                <c:pt idx="414">
                  <c:v>24/04/2023</c:v>
                </c:pt>
                <c:pt idx="415">
                  <c:v>25/04/2023</c:v>
                </c:pt>
                <c:pt idx="416">
                  <c:v>26/04/2023</c:v>
                </c:pt>
                <c:pt idx="417">
                  <c:v>27/04/2023</c:v>
                </c:pt>
                <c:pt idx="418">
                  <c:v>28/04/2023</c:v>
                </c:pt>
                <c:pt idx="419">
                  <c:v>05/01/23</c:v>
                </c:pt>
                <c:pt idx="420">
                  <c:v>05/02/23</c:v>
                </c:pt>
                <c:pt idx="421">
                  <c:v>05/03/23</c:v>
                </c:pt>
                <c:pt idx="422">
                  <c:v>05/04/23</c:v>
                </c:pt>
                <c:pt idx="423">
                  <c:v>05/05/23</c:v>
                </c:pt>
                <c:pt idx="424">
                  <c:v>05/08/23</c:v>
                </c:pt>
                <c:pt idx="425">
                  <c:v>05/09/23</c:v>
                </c:pt>
                <c:pt idx="426">
                  <c:v>05/10/23</c:v>
                </c:pt>
                <c:pt idx="427">
                  <c:v>05/11/23</c:v>
                </c:pt>
                <c:pt idx="428">
                  <c:v>05/12/23</c:v>
                </c:pt>
                <c:pt idx="429">
                  <c:v>15/05/2023</c:v>
                </c:pt>
                <c:pt idx="430">
                  <c:v>16/05/2023</c:v>
                </c:pt>
                <c:pt idx="431">
                  <c:v>17/05/2023</c:v>
                </c:pt>
                <c:pt idx="432">
                  <c:v>18/05/2023</c:v>
                </c:pt>
                <c:pt idx="433">
                  <c:v>19/05/2023</c:v>
                </c:pt>
                <c:pt idx="434">
                  <c:v>22/05/2023</c:v>
                </c:pt>
                <c:pt idx="435">
                  <c:v>23/05/2023</c:v>
                </c:pt>
                <c:pt idx="436">
                  <c:v>24/05/2023</c:v>
                </c:pt>
                <c:pt idx="437">
                  <c:v>25/05/2023</c:v>
                </c:pt>
                <c:pt idx="438">
                  <c:v>26/05/2023</c:v>
                </c:pt>
                <c:pt idx="439">
                  <c:v>29/05/2023</c:v>
                </c:pt>
                <c:pt idx="440">
                  <c:v>30/05/2023</c:v>
                </c:pt>
                <c:pt idx="441">
                  <c:v>31/05/2023</c:v>
                </c:pt>
                <c:pt idx="442">
                  <c:v>06/01/23</c:v>
                </c:pt>
                <c:pt idx="443">
                  <c:v>06/02/23</c:v>
                </c:pt>
                <c:pt idx="444">
                  <c:v>06/05/23</c:v>
                </c:pt>
                <c:pt idx="445">
                  <c:v>06/06/23</c:v>
                </c:pt>
                <c:pt idx="446">
                  <c:v>06/07/23</c:v>
                </c:pt>
                <c:pt idx="447">
                  <c:v>06/08/23</c:v>
                </c:pt>
                <c:pt idx="448">
                  <c:v>06/09/23</c:v>
                </c:pt>
                <c:pt idx="449">
                  <c:v>06/12/23</c:v>
                </c:pt>
                <c:pt idx="450">
                  <c:v>13/06/2023</c:v>
                </c:pt>
                <c:pt idx="451">
                  <c:v>14/06/2023</c:v>
                </c:pt>
                <c:pt idx="452">
                  <c:v>15/06/2023</c:v>
                </c:pt>
                <c:pt idx="453">
                  <c:v>16/06/2023</c:v>
                </c:pt>
                <c:pt idx="454">
                  <c:v>19/06/2023</c:v>
                </c:pt>
                <c:pt idx="455">
                  <c:v>20/06/2023</c:v>
                </c:pt>
                <c:pt idx="456">
                  <c:v>21/06/2023</c:v>
                </c:pt>
                <c:pt idx="457">
                  <c:v>22/06/2023</c:v>
                </c:pt>
                <c:pt idx="458">
                  <c:v>23/06/2023</c:v>
                </c:pt>
                <c:pt idx="459">
                  <c:v>26/06/2023</c:v>
                </c:pt>
                <c:pt idx="460">
                  <c:v>27/06/2023</c:v>
                </c:pt>
                <c:pt idx="461">
                  <c:v>28/06/2023</c:v>
                </c:pt>
                <c:pt idx="462">
                  <c:v>29/06/2023</c:v>
                </c:pt>
                <c:pt idx="463">
                  <c:v>30/06/2023</c:v>
                </c:pt>
                <c:pt idx="464">
                  <c:v>07/03/23</c:v>
                </c:pt>
                <c:pt idx="465">
                  <c:v>07/04/23</c:v>
                </c:pt>
                <c:pt idx="466">
                  <c:v>07/05/23</c:v>
                </c:pt>
                <c:pt idx="467">
                  <c:v>07/06/23</c:v>
                </c:pt>
                <c:pt idx="468">
                  <c:v>07/07/23</c:v>
                </c:pt>
                <c:pt idx="469">
                  <c:v>07/10/23</c:v>
                </c:pt>
                <c:pt idx="470">
                  <c:v>07/11/23</c:v>
                </c:pt>
                <c:pt idx="471">
                  <c:v>07/12/23</c:v>
                </c:pt>
                <c:pt idx="472">
                  <c:v>13/07/2023</c:v>
                </c:pt>
                <c:pt idx="473">
                  <c:v>14/07/2023</c:v>
                </c:pt>
                <c:pt idx="474">
                  <c:v>17/07/2023</c:v>
                </c:pt>
                <c:pt idx="475">
                  <c:v>18/07/2023</c:v>
                </c:pt>
                <c:pt idx="476">
                  <c:v>19/07/2023</c:v>
                </c:pt>
                <c:pt idx="477">
                  <c:v>20/07/2023</c:v>
                </c:pt>
                <c:pt idx="478">
                  <c:v>21/07/2023</c:v>
                </c:pt>
                <c:pt idx="479">
                  <c:v>24/07/2023</c:v>
                </c:pt>
                <c:pt idx="480">
                  <c:v>25/07/2023</c:v>
                </c:pt>
                <c:pt idx="481">
                  <c:v>26/07/2023</c:v>
                </c:pt>
                <c:pt idx="482">
                  <c:v>27/07/2023</c:v>
                </c:pt>
                <c:pt idx="483">
                  <c:v>28/07/2023</c:v>
                </c:pt>
                <c:pt idx="484">
                  <c:v>31/07/2023</c:v>
                </c:pt>
                <c:pt idx="485">
                  <c:v>08/01/23</c:v>
                </c:pt>
                <c:pt idx="486">
                  <c:v>08/02/23</c:v>
                </c:pt>
                <c:pt idx="487">
                  <c:v>08/03/23</c:v>
                </c:pt>
                <c:pt idx="488">
                  <c:v>08/04/23</c:v>
                </c:pt>
                <c:pt idx="489">
                  <c:v>08/07/23</c:v>
                </c:pt>
                <c:pt idx="490">
                  <c:v>08/08/23</c:v>
                </c:pt>
                <c:pt idx="491">
                  <c:v>08/09/23</c:v>
                </c:pt>
                <c:pt idx="492">
                  <c:v>08/10/23</c:v>
                </c:pt>
                <c:pt idx="493">
                  <c:v>08/11/23</c:v>
                </c:pt>
                <c:pt idx="494">
                  <c:v>14/08/2023</c:v>
                </c:pt>
                <c:pt idx="495">
                  <c:v>15/08/2023</c:v>
                </c:pt>
                <c:pt idx="496">
                  <c:v>16/08/2023</c:v>
                </c:pt>
                <c:pt idx="497">
                  <c:v>17/08/2023</c:v>
                </c:pt>
                <c:pt idx="498">
                  <c:v>18/08/2023</c:v>
                </c:pt>
                <c:pt idx="499">
                  <c:v>21/08/2023</c:v>
                </c:pt>
                <c:pt idx="500">
                  <c:v>22/08/2023</c:v>
                </c:pt>
                <c:pt idx="501">
                  <c:v>23/08/2023</c:v>
                </c:pt>
                <c:pt idx="502">
                  <c:v>24/08/2023</c:v>
                </c:pt>
                <c:pt idx="503">
                  <c:v>25/08/2023</c:v>
                </c:pt>
                <c:pt idx="504">
                  <c:v>28/08/2023</c:v>
                </c:pt>
                <c:pt idx="505">
                  <c:v>29/08/2023</c:v>
                </c:pt>
                <c:pt idx="506">
                  <c:v>30/08/2023</c:v>
                </c:pt>
                <c:pt idx="507">
                  <c:v>31/08/2023</c:v>
                </c:pt>
                <c:pt idx="508">
                  <c:v>09/01/23</c:v>
                </c:pt>
                <c:pt idx="509">
                  <c:v>09/04/23</c:v>
                </c:pt>
                <c:pt idx="510">
                  <c:v>09/05/23</c:v>
                </c:pt>
                <c:pt idx="511">
                  <c:v>09/06/23</c:v>
                </c:pt>
                <c:pt idx="512">
                  <c:v>09/07/23</c:v>
                </c:pt>
                <c:pt idx="513">
                  <c:v>09/08/23</c:v>
                </c:pt>
                <c:pt idx="514">
                  <c:v>09/11/23</c:v>
                </c:pt>
                <c:pt idx="515">
                  <c:v>09/12/23</c:v>
                </c:pt>
                <c:pt idx="516">
                  <c:v>13/09/2023</c:v>
                </c:pt>
                <c:pt idx="517">
                  <c:v>14/09/2023</c:v>
                </c:pt>
                <c:pt idx="518">
                  <c:v>15/09/2023</c:v>
                </c:pt>
                <c:pt idx="519">
                  <c:v>18/09/2023</c:v>
                </c:pt>
                <c:pt idx="520">
                  <c:v>19/09/2023</c:v>
                </c:pt>
                <c:pt idx="521">
                  <c:v>20/09/2023</c:v>
                </c:pt>
                <c:pt idx="522">
                  <c:v>21/09/2023</c:v>
                </c:pt>
                <c:pt idx="523">
                  <c:v>22/09/2023</c:v>
                </c:pt>
                <c:pt idx="524">
                  <c:v>25/09/2023</c:v>
                </c:pt>
                <c:pt idx="525">
                  <c:v>26/09/2023</c:v>
                </c:pt>
                <c:pt idx="526">
                  <c:v>27/09/2023</c:v>
                </c:pt>
                <c:pt idx="527">
                  <c:v>28/09/2023</c:v>
                </c:pt>
                <c:pt idx="528">
                  <c:v>29/09/2023</c:v>
                </c:pt>
                <c:pt idx="529">
                  <c:v>10/02/23</c:v>
                </c:pt>
                <c:pt idx="530">
                  <c:v>10/03/23</c:v>
                </c:pt>
                <c:pt idx="531">
                  <c:v>10/04/23</c:v>
                </c:pt>
                <c:pt idx="532">
                  <c:v>10/05/23</c:v>
                </c:pt>
                <c:pt idx="533">
                  <c:v>10/06/23</c:v>
                </c:pt>
                <c:pt idx="534">
                  <c:v>10/09/23</c:v>
                </c:pt>
                <c:pt idx="535">
                  <c:v>10/10/23</c:v>
                </c:pt>
                <c:pt idx="536">
                  <c:v>10/11/23</c:v>
                </c:pt>
                <c:pt idx="537">
                  <c:v>10/12/23</c:v>
                </c:pt>
                <c:pt idx="538">
                  <c:v>13/10/2023</c:v>
                </c:pt>
                <c:pt idx="539">
                  <c:v>16/10/2023</c:v>
                </c:pt>
                <c:pt idx="540">
                  <c:v>17/10/2023</c:v>
                </c:pt>
                <c:pt idx="541">
                  <c:v>18/10/2023</c:v>
                </c:pt>
                <c:pt idx="542">
                  <c:v>19/10/2023</c:v>
                </c:pt>
                <c:pt idx="543">
                  <c:v>20/10/2023</c:v>
                </c:pt>
                <c:pt idx="544">
                  <c:v>23/10/2023</c:v>
                </c:pt>
                <c:pt idx="545">
                  <c:v>24/10/2023</c:v>
                </c:pt>
                <c:pt idx="546">
                  <c:v>25/10/2023</c:v>
                </c:pt>
                <c:pt idx="547">
                  <c:v>26/10/2023</c:v>
                </c:pt>
                <c:pt idx="548">
                  <c:v>27/10/2023</c:v>
                </c:pt>
                <c:pt idx="549">
                  <c:v>30/10/2023</c:v>
                </c:pt>
                <c:pt idx="550">
                  <c:v>31/10/2023</c:v>
                </c:pt>
                <c:pt idx="551">
                  <c:v>11/01/23</c:v>
                </c:pt>
                <c:pt idx="552">
                  <c:v>11/02/23</c:v>
                </c:pt>
                <c:pt idx="553">
                  <c:v>11/03/23</c:v>
                </c:pt>
                <c:pt idx="554">
                  <c:v>11/06/23</c:v>
                </c:pt>
                <c:pt idx="555">
                  <c:v>11/07/23</c:v>
                </c:pt>
                <c:pt idx="556">
                  <c:v>11/08/23</c:v>
                </c:pt>
                <c:pt idx="557">
                  <c:v>11/09/23</c:v>
                </c:pt>
                <c:pt idx="558">
                  <c:v>11/10/23</c:v>
                </c:pt>
                <c:pt idx="559">
                  <c:v>13/11/2023</c:v>
                </c:pt>
                <c:pt idx="560">
                  <c:v>14/11/2023</c:v>
                </c:pt>
                <c:pt idx="561">
                  <c:v>15/11/2023</c:v>
                </c:pt>
                <c:pt idx="562">
                  <c:v>16/11/2023</c:v>
                </c:pt>
                <c:pt idx="563">
                  <c:v>17/11/2023</c:v>
                </c:pt>
                <c:pt idx="564">
                  <c:v>20/11/2023</c:v>
                </c:pt>
                <c:pt idx="565">
                  <c:v>21/11/2023</c:v>
                </c:pt>
                <c:pt idx="566">
                  <c:v>22/11/2023</c:v>
                </c:pt>
                <c:pt idx="567">
                  <c:v>23/11/2023</c:v>
                </c:pt>
                <c:pt idx="568">
                  <c:v>24/11/2023</c:v>
                </c:pt>
                <c:pt idx="569">
                  <c:v>27/11/2023</c:v>
                </c:pt>
                <c:pt idx="570">
                  <c:v>28/11/2023</c:v>
                </c:pt>
                <c:pt idx="571">
                  <c:v>29/11/2023</c:v>
                </c:pt>
                <c:pt idx="572">
                  <c:v>30/11/2023</c:v>
                </c:pt>
                <c:pt idx="573">
                  <c:v>12/01/23</c:v>
                </c:pt>
                <c:pt idx="574">
                  <c:v>12/02/23</c:v>
                </c:pt>
                <c:pt idx="575">
                  <c:v>12/03/23</c:v>
                </c:pt>
                <c:pt idx="576">
                  <c:v>12/04/23</c:v>
                </c:pt>
                <c:pt idx="577">
                  <c:v>12/05/23</c:v>
                </c:pt>
                <c:pt idx="578">
                  <c:v>12/06/23</c:v>
                </c:pt>
                <c:pt idx="579">
                  <c:v>12/07/23</c:v>
                </c:pt>
                <c:pt idx="580">
                  <c:v>12/08/23</c:v>
                </c:pt>
                <c:pt idx="581">
                  <c:v>12/09/23</c:v>
                </c:pt>
                <c:pt idx="582">
                  <c:v>12/10/23</c:v>
                </c:pt>
                <c:pt idx="583">
                  <c:v>12/11/23</c:v>
                </c:pt>
                <c:pt idx="584">
                  <c:v>12/12/23</c:v>
                </c:pt>
                <c:pt idx="585">
                  <c:v>13/12/2023</c:v>
                </c:pt>
                <c:pt idx="586">
                  <c:v>14/12/2023</c:v>
                </c:pt>
                <c:pt idx="587">
                  <c:v>15/12/2023</c:v>
                </c:pt>
                <c:pt idx="588">
                  <c:v>16/12/2023</c:v>
                </c:pt>
                <c:pt idx="589">
                  <c:v>17/12/2023</c:v>
                </c:pt>
                <c:pt idx="590">
                  <c:v>18/12/2023</c:v>
                </c:pt>
                <c:pt idx="591">
                  <c:v>19/12/2023</c:v>
                </c:pt>
                <c:pt idx="592">
                  <c:v>20/12/2023</c:v>
                </c:pt>
                <c:pt idx="593">
                  <c:v>21/12/2023</c:v>
                </c:pt>
                <c:pt idx="594">
                  <c:v>22/12/2023</c:v>
                </c:pt>
                <c:pt idx="595">
                  <c:v>23/12/2023</c:v>
                </c:pt>
                <c:pt idx="596">
                  <c:v>24/12/2023</c:v>
                </c:pt>
                <c:pt idx="597">
                  <c:v>25/12/2023</c:v>
                </c:pt>
                <c:pt idx="598">
                  <c:v>26/12/2023</c:v>
                </c:pt>
                <c:pt idx="599">
                  <c:v>27/12/2023</c:v>
                </c:pt>
                <c:pt idx="600">
                  <c:v>28/12/2023</c:v>
                </c:pt>
                <c:pt idx="601">
                  <c:v>29/12/2023</c:v>
                </c:pt>
                <c:pt idx="602">
                  <c:v>30/12/2023</c:v>
                </c:pt>
                <c:pt idx="603">
                  <c:v>31/12/2023</c:v>
                </c:pt>
                <c:pt idx="604">
                  <c:v>01/01/24</c:v>
                </c:pt>
                <c:pt idx="605">
                  <c:v>01/02/24</c:v>
                </c:pt>
                <c:pt idx="606">
                  <c:v>01/03/24</c:v>
                </c:pt>
                <c:pt idx="607">
                  <c:v>01/04/24</c:v>
                </c:pt>
                <c:pt idx="608">
                  <c:v>01/05/24</c:v>
                </c:pt>
                <c:pt idx="609">
                  <c:v>01/06/24</c:v>
                </c:pt>
                <c:pt idx="610">
                  <c:v>01/07/24</c:v>
                </c:pt>
                <c:pt idx="611">
                  <c:v>01/08/24</c:v>
                </c:pt>
                <c:pt idx="612">
                  <c:v>01/09/24</c:v>
                </c:pt>
                <c:pt idx="613">
                  <c:v>01/10/24</c:v>
                </c:pt>
                <c:pt idx="614">
                  <c:v>01/11/24</c:v>
                </c:pt>
                <c:pt idx="615">
                  <c:v>01/12/24</c:v>
                </c:pt>
                <c:pt idx="616">
                  <c:v>13/01/2024</c:v>
                </c:pt>
                <c:pt idx="617">
                  <c:v>14/01/2024</c:v>
                </c:pt>
                <c:pt idx="618">
                  <c:v>15/01/2024</c:v>
                </c:pt>
                <c:pt idx="619">
                  <c:v>16/01/2024</c:v>
                </c:pt>
                <c:pt idx="620">
                  <c:v>17/01/2024</c:v>
                </c:pt>
                <c:pt idx="621">
                  <c:v>18/01/2024</c:v>
                </c:pt>
                <c:pt idx="622">
                  <c:v>19/01/2024</c:v>
                </c:pt>
                <c:pt idx="623">
                  <c:v>20/01/2024</c:v>
                </c:pt>
                <c:pt idx="624">
                  <c:v>21/01/2024</c:v>
                </c:pt>
                <c:pt idx="625">
                  <c:v>22/01/2024</c:v>
                </c:pt>
                <c:pt idx="626">
                  <c:v>23/01/2024</c:v>
                </c:pt>
                <c:pt idx="627">
                  <c:v>24/01/2024</c:v>
                </c:pt>
                <c:pt idx="628">
                  <c:v>25/01/2024</c:v>
                </c:pt>
                <c:pt idx="629">
                  <c:v>26/01/2024</c:v>
                </c:pt>
                <c:pt idx="630">
                  <c:v>27/01/2024</c:v>
                </c:pt>
                <c:pt idx="631">
                  <c:v>28/01/2024</c:v>
                </c:pt>
                <c:pt idx="632">
                  <c:v>29/01/2024</c:v>
                </c:pt>
                <c:pt idx="633">
                  <c:v>30/01/2024</c:v>
                </c:pt>
                <c:pt idx="634">
                  <c:v>31/01/2024</c:v>
                </c:pt>
                <c:pt idx="635">
                  <c:v>02/01/24</c:v>
                </c:pt>
                <c:pt idx="636">
                  <c:v>02/02/24</c:v>
                </c:pt>
                <c:pt idx="637">
                  <c:v>02/03/24</c:v>
                </c:pt>
                <c:pt idx="638">
                  <c:v>02/04/24</c:v>
                </c:pt>
                <c:pt idx="639">
                  <c:v>02/05/24</c:v>
                </c:pt>
                <c:pt idx="640">
                  <c:v>02/06/24</c:v>
                </c:pt>
                <c:pt idx="641">
                  <c:v>02/07/24</c:v>
                </c:pt>
                <c:pt idx="642">
                  <c:v>02/08/24</c:v>
                </c:pt>
                <c:pt idx="643">
                  <c:v>02/09/24</c:v>
                </c:pt>
                <c:pt idx="644">
                  <c:v>02/10/24</c:v>
                </c:pt>
                <c:pt idx="645">
                  <c:v>02/11/24</c:v>
                </c:pt>
                <c:pt idx="646">
                  <c:v>02/12/24</c:v>
                </c:pt>
                <c:pt idx="647">
                  <c:v>13/02/2024</c:v>
                </c:pt>
                <c:pt idx="648">
                  <c:v>14/02/2024</c:v>
                </c:pt>
                <c:pt idx="649">
                  <c:v>15/02/2024</c:v>
                </c:pt>
                <c:pt idx="650">
                  <c:v>16/02/2024</c:v>
                </c:pt>
                <c:pt idx="651">
                  <c:v>17/02/2024</c:v>
                </c:pt>
                <c:pt idx="652">
                  <c:v>18/02/2024</c:v>
                </c:pt>
                <c:pt idx="653">
                  <c:v>19/02/2024</c:v>
                </c:pt>
                <c:pt idx="654">
                  <c:v>20/02/2024</c:v>
                </c:pt>
                <c:pt idx="655">
                  <c:v>21/02/2024</c:v>
                </c:pt>
                <c:pt idx="656">
                  <c:v>22/02/2024</c:v>
                </c:pt>
                <c:pt idx="657">
                  <c:v>23/02/2024</c:v>
                </c:pt>
                <c:pt idx="658">
                  <c:v>24/02/2024</c:v>
                </c:pt>
                <c:pt idx="659">
                  <c:v>25/02/2024</c:v>
                </c:pt>
                <c:pt idx="660">
                  <c:v>26/02/2024</c:v>
                </c:pt>
                <c:pt idx="661">
                  <c:v>27/02/2024</c:v>
                </c:pt>
                <c:pt idx="662">
                  <c:v>28/02/2024</c:v>
                </c:pt>
                <c:pt idx="663">
                  <c:v>29/02/2024</c:v>
                </c:pt>
                <c:pt idx="664">
                  <c:v>03/01/24</c:v>
                </c:pt>
                <c:pt idx="665">
                  <c:v>03/02/24</c:v>
                </c:pt>
                <c:pt idx="666">
                  <c:v>03/03/24</c:v>
                </c:pt>
                <c:pt idx="667">
                  <c:v>03/04/24</c:v>
                </c:pt>
                <c:pt idx="668">
                  <c:v>03/05/24</c:v>
                </c:pt>
                <c:pt idx="669">
                  <c:v>03/06/24</c:v>
                </c:pt>
                <c:pt idx="670">
                  <c:v>03/07/24</c:v>
                </c:pt>
                <c:pt idx="671">
                  <c:v>03/08/24</c:v>
                </c:pt>
                <c:pt idx="672">
                  <c:v>03/09/24</c:v>
                </c:pt>
                <c:pt idx="673">
                  <c:v>03/10/24</c:v>
                </c:pt>
                <c:pt idx="674">
                  <c:v>03/11/24</c:v>
                </c:pt>
                <c:pt idx="675">
                  <c:v>03/12/24</c:v>
                </c:pt>
                <c:pt idx="676">
                  <c:v>13/03/2024</c:v>
                </c:pt>
                <c:pt idx="677">
                  <c:v>14/03/2024</c:v>
                </c:pt>
                <c:pt idx="678">
                  <c:v>15/03/2024</c:v>
                </c:pt>
                <c:pt idx="679">
                  <c:v>16/03/2024</c:v>
                </c:pt>
                <c:pt idx="680">
                  <c:v>17/03/2024</c:v>
                </c:pt>
                <c:pt idx="681">
                  <c:v>18/03/2024</c:v>
                </c:pt>
                <c:pt idx="682">
                  <c:v>19/03/2024</c:v>
                </c:pt>
                <c:pt idx="683">
                  <c:v>20/03/2024</c:v>
                </c:pt>
                <c:pt idx="684">
                  <c:v>21/03/2024</c:v>
                </c:pt>
                <c:pt idx="685">
                  <c:v>22/03/2024</c:v>
                </c:pt>
                <c:pt idx="686">
                  <c:v>23/03/2024</c:v>
                </c:pt>
                <c:pt idx="687">
                  <c:v>24/03/2024</c:v>
                </c:pt>
                <c:pt idx="688">
                  <c:v>25/03/2024</c:v>
                </c:pt>
                <c:pt idx="689">
                  <c:v>26/03/2024</c:v>
                </c:pt>
                <c:pt idx="690">
                  <c:v>27/03/2024</c:v>
                </c:pt>
                <c:pt idx="691">
                  <c:v>28/03/2024</c:v>
                </c:pt>
                <c:pt idx="692">
                  <c:v>29/03/2024</c:v>
                </c:pt>
                <c:pt idx="693">
                  <c:v>30/03/2024</c:v>
                </c:pt>
                <c:pt idx="694">
                  <c:v>31/03/2024</c:v>
                </c:pt>
                <c:pt idx="695">
                  <c:v>04/01/24</c:v>
                </c:pt>
                <c:pt idx="696">
                  <c:v>04/02/24</c:v>
                </c:pt>
                <c:pt idx="697">
                  <c:v>04/03/24</c:v>
                </c:pt>
                <c:pt idx="698">
                  <c:v>04/04/24</c:v>
                </c:pt>
                <c:pt idx="699">
                  <c:v>04/05/24</c:v>
                </c:pt>
                <c:pt idx="700">
                  <c:v>04/06/24</c:v>
                </c:pt>
                <c:pt idx="701">
                  <c:v>04/07/24</c:v>
                </c:pt>
                <c:pt idx="702">
                  <c:v>04/08/24</c:v>
                </c:pt>
                <c:pt idx="703">
                  <c:v>04/09/24</c:v>
                </c:pt>
                <c:pt idx="704">
                  <c:v>04/10/24</c:v>
                </c:pt>
                <c:pt idx="705">
                  <c:v>04/11/24</c:v>
                </c:pt>
                <c:pt idx="706">
                  <c:v>04/12/24</c:v>
                </c:pt>
                <c:pt idx="707">
                  <c:v>13/04/2024</c:v>
                </c:pt>
                <c:pt idx="708">
                  <c:v>14/04/2024</c:v>
                </c:pt>
                <c:pt idx="709">
                  <c:v>15/04/2024</c:v>
                </c:pt>
                <c:pt idx="710">
                  <c:v>16/04/2024</c:v>
                </c:pt>
                <c:pt idx="711">
                  <c:v>17/04/2024</c:v>
                </c:pt>
                <c:pt idx="712">
                  <c:v>18/04/2024</c:v>
                </c:pt>
                <c:pt idx="713">
                  <c:v>19/04/2024</c:v>
                </c:pt>
                <c:pt idx="714">
                  <c:v>20/04/2024</c:v>
                </c:pt>
                <c:pt idx="715">
                  <c:v>21/04/2024</c:v>
                </c:pt>
                <c:pt idx="716">
                  <c:v>22/04/2024</c:v>
                </c:pt>
                <c:pt idx="717">
                  <c:v>23/04/2024</c:v>
                </c:pt>
                <c:pt idx="718">
                  <c:v>24/04/2024</c:v>
                </c:pt>
                <c:pt idx="719">
                  <c:v>25/04/2024</c:v>
                </c:pt>
                <c:pt idx="720">
                  <c:v>26/04/2024</c:v>
                </c:pt>
                <c:pt idx="721">
                  <c:v>27/04/2024</c:v>
                </c:pt>
                <c:pt idx="722">
                  <c:v>28/04/2024</c:v>
                </c:pt>
                <c:pt idx="723">
                  <c:v>29/04/2024</c:v>
                </c:pt>
                <c:pt idx="724">
                  <c:v>30/04/2024</c:v>
                </c:pt>
                <c:pt idx="725">
                  <c:v>05/01/24</c:v>
                </c:pt>
                <c:pt idx="726">
                  <c:v>05/02/24</c:v>
                </c:pt>
                <c:pt idx="727">
                  <c:v>05/03/24</c:v>
                </c:pt>
                <c:pt idx="728">
                  <c:v>05/06/24</c:v>
                </c:pt>
                <c:pt idx="729">
                  <c:v>05/07/24</c:v>
                </c:pt>
                <c:pt idx="730">
                  <c:v>05/08/24</c:v>
                </c:pt>
                <c:pt idx="731">
                  <c:v>05/09/24</c:v>
                </c:pt>
                <c:pt idx="732">
                  <c:v>05/10/24</c:v>
                </c:pt>
                <c:pt idx="733">
                  <c:v>13/05/2024</c:v>
                </c:pt>
                <c:pt idx="734">
                  <c:v>14/05/2024</c:v>
                </c:pt>
                <c:pt idx="735">
                  <c:v>15/05/2024</c:v>
                </c:pt>
                <c:pt idx="736">
                  <c:v>16/05/2024</c:v>
                </c:pt>
                <c:pt idx="737">
                  <c:v>17/05/2024</c:v>
                </c:pt>
                <c:pt idx="738">
                  <c:v>20/05/2024</c:v>
                </c:pt>
                <c:pt idx="739">
                  <c:v>21/05/2024</c:v>
                </c:pt>
                <c:pt idx="740">
                  <c:v>22/05/2024</c:v>
                </c:pt>
                <c:pt idx="741">
                  <c:v>23/05/2024</c:v>
                </c:pt>
                <c:pt idx="742">
                  <c:v>24/05/2024</c:v>
                </c:pt>
                <c:pt idx="743">
                  <c:v>27/05/2024</c:v>
                </c:pt>
                <c:pt idx="744">
                  <c:v>28/05/2024</c:v>
                </c:pt>
                <c:pt idx="745">
                  <c:v>29/05/2024</c:v>
                </c:pt>
                <c:pt idx="746">
                  <c:v>30/05/2024</c:v>
                </c:pt>
                <c:pt idx="747">
                  <c:v>31/05/2024</c:v>
                </c:pt>
                <c:pt idx="748">
                  <c:v>06/03/24</c:v>
                </c:pt>
                <c:pt idx="749">
                  <c:v>06/04/24</c:v>
                </c:pt>
                <c:pt idx="750">
                  <c:v>06/05/24</c:v>
                </c:pt>
                <c:pt idx="751">
                  <c:v>06/06/24</c:v>
                </c:pt>
                <c:pt idx="752">
                  <c:v>06/07/24</c:v>
                </c:pt>
                <c:pt idx="753">
                  <c:v>06/10/24</c:v>
                </c:pt>
                <c:pt idx="754">
                  <c:v>06/11/24</c:v>
                </c:pt>
                <c:pt idx="755">
                  <c:v>06/12/24</c:v>
                </c:pt>
                <c:pt idx="756">
                  <c:v>13/06/2024</c:v>
                </c:pt>
                <c:pt idx="757">
                  <c:v>14/06/2024</c:v>
                </c:pt>
                <c:pt idx="758">
                  <c:v>17/06/2024</c:v>
                </c:pt>
                <c:pt idx="759">
                  <c:v>18/06/2024</c:v>
                </c:pt>
                <c:pt idx="760">
                  <c:v>19/06/2024</c:v>
                </c:pt>
                <c:pt idx="761">
                  <c:v>20/06/2024</c:v>
                </c:pt>
                <c:pt idx="762">
                  <c:v>21/06/2024</c:v>
                </c:pt>
                <c:pt idx="763">
                  <c:v>24/06/2024</c:v>
                </c:pt>
                <c:pt idx="764">
                  <c:v>25/06/2024</c:v>
                </c:pt>
                <c:pt idx="765">
                  <c:v>26/06/2024</c:v>
                </c:pt>
                <c:pt idx="766">
                  <c:v>27/06/2024</c:v>
                </c:pt>
                <c:pt idx="767">
                  <c:v>28/06/2024</c:v>
                </c:pt>
                <c:pt idx="768">
                  <c:v>07/01/24</c:v>
                </c:pt>
                <c:pt idx="769">
                  <c:v>07/02/24</c:v>
                </c:pt>
                <c:pt idx="770">
                  <c:v>07/03/24</c:v>
                </c:pt>
                <c:pt idx="771">
                  <c:v>07/04/24</c:v>
                </c:pt>
                <c:pt idx="772">
                  <c:v>07/05/24</c:v>
                </c:pt>
                <c:pt idx="773">
                  <c:v>07/08/24</c:v>
                </c:pt>
                <c:pt idx="774">
                  <c:v>07/09/24</c:v>
                </c:pt>
                <c:pt idx="775">
                  <c:v>07/10/24</c:v>
                </c:pt>
                <c:pt idx="776">
                  <c:v>07/11/24</c:v>
                </c:pt>
                <c:pt idx="777">
                  <c:v>07/12/24</c:v>
                </c:pt>
                <c:pt idx="778">
                  <c:v>15/07/2024</c:v>
                </c:pt>
                <c:pt idx="779">
                  <c:v>16/07/2024</c:v>
                </c:pt>
                <c:pt idx="780">
                  <c:v>17/07/2024</c:v>
                </c:pt>
                <c:pt idx="781">
                  <c:v>18/07/2024</c:v>
                </c:pt>
                <c:pt idx="782">
                  <c:v>19/07/2024</c:v>
                </c:pt>
                <c:pt idx="783">
                  <c:v>22/07/2024</c:v>
                </c:pt>
                <c:pt idx="784">
                  <c:v>23/07/2024</c:v>
                </c:pt>
                <c:pt idx="785">
                  <c:v>24/07/2024</c:v>
                </c:pt>
                <c:pt idx="786">
                  <c:v>25/07/2024</c:v>
                </c:pt>
                <c:pt idx="787">
                  <c:v>26/07/2024</c:v>
                </c:pt>
                <c:pt idx="788">
                  <c:v>29/07/2024</c:v>
                </c:pt>
                <c:pt idx="789">
                  <c:v>30/07/2024</c:v>
                </c:pt>
                <c:pt idx="790">
                  <c:v>31/07/2024</c:v>
                </c:pt>
                <c:pt idx="791">
                  <c:v>08/01/24</c:v>
                </c:pt>
                <c:pt idx="792">
                  <c:v>08/02/24</c:v>
                </c:pt>
                <c:pt idx="793">
                  <c:v>08/05/24</c:v>
                </c:pt>
                <c:pt idx="794">
                  <c:v>08/06/24</c:v>
                </c:pt>
                <c:pt idx="795">
                  <c:v>08/07/24</c:v>
                </c:pt>
                <c:pt idx="796">
                  <c:v>08/08/24</c:v>
                </c:pt>
                <c:pt idx="797">
                  <c:v>08/09/24</c:v>
                </c:pt>
                <c:pt idx="798">
                  <c:v>08/12/24</c:v>
                </c:pt>
                <c:pt idx="799">
                  <c:v>13/08/2024</c:v>
                </c:pt>
                <c:pt idx="800">
                  <c:v>14/08/2024</c:v>
                </c:pt>
                <c:pt idx="801">
                  <c:v>15/08/2024</c:v>
                </c:pt>
                <c:pt idx="802">
                  <c:v>16/08/2024</c:v>
                </c:pt>
                <c:pt idx="803">
                  <c:v>19/08/2024</c:v>
                </c:pt>
                <c:pt idx="804">
                  <c:v>20/08/2024</c:v>
                </c:pt>
                <c:pt idx="805">
                  <c:v>21/08/2024</c:v>
                </c:pt>
                <c:pt idx="806">
                  <c:v>22/08/2024</c:v>
                </c:pt>
                <c:pt idx="807">
                  <c:v>23/08/2024</c:v>
                </c:pt>
                <c:pt idx="808">
                  <c:v>26/08/2024</c:v>
                </c:pt>
                <c:pt idx="809">
                  <c:v>27/08/2024</c:v>
                </c:pt>
                <c:pt idx="810">
                  <c:v>28/08/2024</c:v>
                </c:pt>
                <c:pt idx="811">
                  <c:v>29/08/2024</c:v>
                </c:pt>
                <c:pt idx="812">
                  <c:v>30/08/2024</c:v>
                </c:pt>
                <c:pt idx="813">
                  <c:v>09/02/24</c:v>
                </c:pt>
                <c:pt idx="814">
                  <c:v>09/03/24</c:v>
                </c:pt>
                <c:pt idx="815">
                  <c:v>09/04/24</c:v>
                </c:pt>
                <c:pt idx="816">
                  <c:v>09/05/24</c:v>
                </c:pt>
                <c:pt idx="817">
                  <c:v>09/06/24</c:v>
                </c:pt>
                <c:pt idx="818">
                  <c:v>09/09/24</c:v>
                </c:pt>
                <c:pt idx="819">
                  <c:v>09/10/24</c:v>
                </c:pt>
                <c:pt idx="820">
                  <c:v>09/11/24</c:v>
                </c:pt>
                <c:pt idx="821">
                  <c:v>09/12/24</c:v>
                </c:pt>
                <c:pt idx="822">
                  <c:v>13/09/2024</c:v>
                </c:pt>
                <c:pt idx="823">
                  <c:v>16/09/2024</c:v>
                </c:pt>
                <c:pt idx="824">
                  <c:v>17/09/2024</c:v>
                </c:pt>
                <c:pt idx="825">
                  <c:v>18/09/2024</c:v>
                </c:pt>
                <c:pt idx="826">
                  <c:v>19/09/2024</c:v>
                </c:pt>
                <c:pt idx="827">
                  <c:v>20/09/2024</c:v>
                </c:pt>
                <c:pt idx="828">
                  <c:v>23/09/2024</c:v>
                </c:pt>
                <c:pt idx="829">
                  <c:v>24/09/2024</c:v>
                </c:pt>
                <c:pt idx="830">
                  <c:v>25/09/2024</c:v>
                </c:pt>
                <c:pt idx="831">
                  <c:v>26/09/2024</c:v>
                </c:pt>
                <c:pt idx="832">
                  <c:v>27/09/2024</c:v>
                </c:pt>
                <c:pt idx="833">
                  <c:v>30/09/2024</c:v>
                </c:pt>
                <c:pt idx="834">
                  <c:v>10/01/24</c:v>
                </c:pt>
                <c:pt idx="835">
                  <c:v>10/02/24</c:v>
                </c:pt>
                <c:pt idx="836">
                  <c:v>10/03/24</c:v>
                </c:pt>
                <c:pt idx="837">
                  <c:v>10/04/24</c:v>
                </c:pt>
                <c:pt idx="838">
                  <c:v>10/07/24</c:v>
                </c:pt>
                <c:pt idx="839">
                  <c:v>10/08/24</c:v>
                </c:pt>
                <c:pt idx="840">
                  <c:v>10/09/24</c:v>
                </c:pt>
                <c:pt idx="841">
                  <c:v>10/10/24</c:v>
                </c:pt>
                <c:pt idx="842">
                  <c:v>10/11/24</c:v>
                </c:pt>
                <c:pt idx="843">
                  <c:v>14/10/2024</c:v>
                </c:pt>
                <c:pt idx="844">
                  <c:v>15/10/2024</c:v>
                </c:pt>
                <c:pt idx="845">
                  <c:v>16/10/2024</c:v>
                </c:pt>
                <c:pt idx="846">
                  <c:v>17/10/2024</c:v>
                </c:pt>
                <c:pt idx="847">
                  <c:v>18/10/2024</c:v>
                </c:pt>
                <c:pt idx="848">
                  <c:v>21/10/2024</c:v>
                </c:pt>
                <c:pt idx="849">
                  <c:v>22/10/2024</c:v>
                </c:pt>
                <c:pt idx="850">
                  <c:v>23/10/2024</c:v>
                </c:pt>
                <c:pt idx="851">
                  <c:v>24/10/2024</c:v>
                </c:pt>
                <c:pt idx="852">
                  <c:v>25/10/2024</c:v>
                </c:pt>
                <c:pt idx="853">
                  <c:v>28/10/2024</c:v>
                </c:pt>
                <c:pt idx="854">
                  <c:v>29/10/2024</c:v>
                </c:pt>
                <c:pt idx="855">
                  <c:v>30/10/2024</c:v>
                </c:pt>
                <c:pt idx="856">
                  <c:v>31/10/2024</c:v>
                </c:pt>
                <c:pt idx="857">
                  <c:v>11/01/24</c:v>
                </c:pt>
                <c:pt idx="858">
                  <c:v>11/04/24</c:v>
                </c:pt>
                <c:pt idx="859">
                  <c:v>11/05/24</c:v>
                </c:pt>
                <c:pt idx="860">
                  <c:v>11/06/24</c:v>
                </c:pt>
                <c:pt idx="861">
                  <c:v>11/07/24</c:v>
                </c:pt>
                <c:pt idx="862">
                  <c:v>11/08/24</c:v>
                </c:pt>
                <c:pt idx="863">
                  <c:v>11/11/24</c:v>
                </c:pt>
                <c:pt idx="864">
                  <c:v>11/12/24</c:v>
                </c:pt>
                <c:pt idx="865">
                  <c:v>13/11/2024</c:v>
                </c:pt>
                <c:pt idx="866">
                  <c:v>14/11/2024</c:v>
                </c:pt>
                <c:pt idx="867">
                  <c:v>15/11/2024</c:v>
                </c:pt>
                <c:pt idx="868">
                  <c:v>18/11/2024</c:v>
                </c:pt>
                <c:pt idx="869">
                  <c:v>19/11/2024</c:v>
                </c:pt>
                <c:pt idx="870">
                  <c:v>20/11/2024</c:v>
                </c:pt>
                <c:pt idx="871">
                  <c:v>21/11/2024</c:v>
                </c:pt>
                <c:pt idx="872">
                  <c:v>22/11/2024</c:v>
                </c:pt>
                <c:pt idx="873">
                  <c:v>25/11/2024</c:v>
                </c:pt>
                <c:pt idx="874">
                  <c:v>26/11/2024</c:v>
                </c:pt>
                <c:pt idx="875">
                  <c:v>27/11/2024</c:v>
                </c:pt>
                <c:pt idx="876">
                  <c:v>28/11/2024</c:v>
                </c:pt>
                <c:pt idx="877">
                  <c:v>29/11/2024</c:v>
                </c:pt>
                <c:pt idx="878">
                  <c:v>12/02/24</c:v>
                </c:pt>
                <c:pt idx="879">
                  <c:v>12/03/24</c:v>
                </c:pt>
                <c:pt idx="880">
                  <c:v>12/04/24</c:v>
                </c:pt>
                <c:pt idx="881">
                  <c:v>12/05/24</c:v>
                </c:pt>
                <c:pt idx="882">
                  <c:v>12/06/24</c:v>
                </c:pt>
                <c:pt idx="883">
                  <c:v>12/09/24</c:v>
                </c:pt>
                <c:pt idx="884">
                  <c:v>12/10/24</c:v>
                </c:pt>
                <c:pt idx="885">
                  <c:v>12/11/24</c:v>
                </c:pt>
                <c:pt idx="886">
                  <c:v>12/12/24</c:v>
                </c:pt>
                <c:pt idx="887">
                  <c:v>13/12/2024</c:v>
                </c:pt>
                <c:pt idx="888">
                  <c:v>16/12/2024</c:v>
                </c:pt>
                <c:pt idx="889">
                  <c:v>17/12/2024</c:v>
                </c:pt>
                <c:pt idx="890">
                  <c:v>18/12/2024</c:v>
                </c:pt>
                <c:pt idx="891">
                  <c:v>19/12/2024</c:v>
                </c:pt>
                <c:pt idx="892">
                  <c:v>20/12/2024</c:v>
                </c:pt>
                <c:pt idx="893">
                  <c:v>23/12/2024</c:v>
                </c:pt>
                <c:pt idx="894">
                  <c:v>24/12/2024</c:v>
                </c:pt>
                <c:pt idx="895">
                  <c:v>26/12/2024</c:v>
                </c:pt>
                <c:pt idx="896">
                  <c:v>27/12/2024</c:v>
                </c:pt>
                <c:pt idx="897">
                  <c:v>30/12/2024</c:v>
                </c:pt>
                <c:pt idx="898">
                  <c:v>31/12/2024</c:v>
                </c:pt>
                <c:pt idx="899">
                  <c:v>01/02/25</c:v>
                </c:pt>
                <c:pt idx="900">
                  <c:v>01/03/25</c:v>
                </c:pt>
                <c:pt idx="901">
                  <c:v>01/06/25</c:v>
                </c:pt>
                <c:pt idx="902">
                  <c:v>01/07/25</c:v>
                </c:pt>
                <c:pt idx="903">
                  <c:v>01/08/25</c:v>
                </c:pt>
                <c:pt idx="904">
                  <c:v>01/09/25</c:v>
                </c:pt>
                <c:pt idx="905">
                  <c:v>01/10/25</c:v>
                </c:pt>
                <c:pt idx="906">
                  <c:v>13/01/2025</c:v>
                </c:pt>
                <c:pt idx="907">
                  <c:v>14/01/2025</c:v>
                </c:pt>
                <c:pt idx="908">
                  <c:v>15/01/2025</c:v>
                </c:pt>
                <c:pt idx="909">
                  <c:v>16/01/2025</c:v>
                </c:pt>
                <c:pt idx="910">
                  <c:v>17/01/2025</c:v>
                </c:pt>
                <c:pt idx="911">
                  <c:v>20/01/2025</c:v>
                </c:pt>
                <c:pt idx="912">
                  <c:v>21/01/2025</c:v>
                </c:pt>
                <c:pt idx="913">
                  <c:v>22/01/2025</c:v>
                </c:pt>
                <c:pt idx="914">
                  <c:v>23/01/2025</c:v>
                </c:pt>
                <c:pt idx="915">
                  <c:v>24/01/2025</c:v>
                </c:pt>
                <c:pt idx="916">
                  <c:v>27/01/2025</c:v>
                </c:pt>
                <c:pt idx="917">
                  <c:v>28/01/2025</c:v>
                </c:pt>
                <c:pt idx="918">
                  <c:v>29/01/2025</c:v>
                </c:pt>
                <c:pt idx="919">
                  <c:v>30/01/2025</c:v>
                </c:pt>
                <c:pt idx="920">
                  <c:v>31/01/2025</c:v>
                </c:pt>
                <c:pt idx="921">
                  <c:v>02/03/25</c:v>
                </c:pt>
                <c:pt idx="922">
                  <c:v>02/04/25</c:v>
                </c:pt>
                <c:pt idx="923">
                  <c:v>02/05/25</c:v>
                </c:pt>
                <c:pt idx="924">
                  <c:v>02/06/25</c:v>
                </c:pt>
                <c:pt idx="925">
                  <c:v>02/07/25</c:v>
                </c:pt>
                <c:pt idx="926">
                  <c:v>02/10/25</c:v>
                </c:pt>
                <c:pt idx="927">
                  <c:v>02/11/25</c:v>
                </c:pt>
                <c:pt idx="928">
                  <c:v>02/12/25</c:v>
                </c:pt>
                <c:pt idx="929">
                  <c:v>13/02/2025</c:v>
                </c:pt>
                <c:pt idx="930">
                  <c:v>14/02/2025</c:v>
                </c:pt>
                <c:pt idx="931">
                  <c:v>17/02/2025</c:v>
                </c:pt>
                <c:pt idx="932">
                  <c:v>18/02/2025</c:v>
                </c:pt>
                <c:pt idx="933">
                  <c:v>19/02/2025</c:v>
                </c:pt>
                <c:pt idx="934">
                  <c:v>20/02/2025</c:v>
                </c:pt>
                <c:pt idx="935">
                  <c:v>21/02/2025</c:v>
                </c:pt>
                <c:pt idx="936">
                  <c:v>24/02/2025</c:v>
                </c:pt>
                <c:pt idx="937">
                  <c:v>25/02/2025</c:v>
                </c:pt>
                <c:pt idx="938">
                  <c:v>26/02/2025</c:v>
                </c:pt>
                <c:pt idx="939">
                  <c:v>27/02/2025</c:v>
                </c:pt>
                <c:pt idx="940">
                  <c:v>28/02/2025</c:v>
                </c:pt>
                <c:pt idx="941">
                  <c:v>03/03/25</c:v>
                </c:pt>
                <c:pt idx="942">
                  <c:v>03/04/25</c:v>
                </c:pt>
                <c:pt idx="943">
                  <c:v>03/05/25</c:v>
                </c:pt>
                <c:pt idx="944">
                  <c:v>03/06/25</c:v>
                </c:pt>
                <c:pt idx="945">
                  <c:v>03/07/25</c:v>
                </c:pt>
                <c:pt idx="946">
                  <c:v>03/10/25</c:v>
                </c:pt>
                <c:pt idx="947">
                  <c:v>03/11/25</c:v>
                </c:pt>
                <c:pt idx="948">
                  <c:v>03/12/25</c:v>
                </c:pt>
                <c:pt idx="949">
                  <c:v>13/03/2025</c:v>
                </c:pt>
                <c:pt idx="950">
                  <c:v>14/03/2025</c:v>
                </c:pt>
                <c:pt idx="951">
                  <c:v>17/03/2025</c:v>
                </c:pt>
                <c:pt idx="952">
                  <c:v>18/03/2025</c:v>
                </c:pt>
                <c:pt idx="953">
                  <c:v>19/03/2025</c:v>
                </c:pt>
                <c:pt idx="954">
                  <c:v>20/03/2025</c:v>
                </c:pt>
                <c:pt idx="955">
                  <c:v>21/03/2025</c:v>
                </c:pt>
                <c:pt idx="956">
                  <c:v>24/03/2025</c:v>
                </c:pt>
                <c:pt idx="957">
                  <c:v>25/03/2025</c:v>
                </c:pt>
                <c:pt idx="958">
                  <c:v>26/03/2025</c:v>
                </c:pt>
                <c:pt idx="959">
                  <c:v>27/03/2025</c:v>
                </c:pt>
                <c:pt idx="960">
                  <c:v>28/03/2025</c:v>
                </c:pt>
                <c:pt idx="961">
                  <c:v>31/03/2025</c:v>
                </c:pt>
                <c:pt idx="962">
                  <c:v>04/01/25</c:v>
                </c:pt>
                <c:pt idx="963">
                  <c:v>04/02/25</c:v>
                </c:pt>
                <c:pt idx="964">
                  <c:v>04/03/25</c:v>
                </c:pt>
                <c:pt idx="965">
                  <c:v>04/04/25</c:v>
                </c:pt>
                <c:pt idx="966">
                  <c:v>04/07/25</c:v>
                </c:pt>
                <c:pt idx="967">
                  <c:v>04/08/25</c:v>
                </c:pt>
                <c:pt idx="968">
                  <c:v>04/09/25</c:v>
                </c:pt>
                <c:pt idx="969">
                  <c:v>04/10/25</c:v>
                </c:pt>
                <c:pt idx="970">
                  <c:v>04/11/25</c:v>
                </c:pt>
                <c:pt idx="971">
                  <c:v>14/04/2025</c:v>
                </c:pt>
                <c:pt idx="972">
                  <c:v>15/04/2025</c:v>
                </c:pt>
                <c:pt idx="973">
                  <c:v>16/04/2025</c:v>
                </c:pt>
                <c:pt idx="974">
                  <c:v>17/04/2025</c:v>
                </c:pt>
                <c:pt idx="975">
                  <c:v>21/04/2025</c:v>
                </c:pt>
                <c:pt idx="976">
                  <c:v>22/04/2025</c:v>
                </c:pt>
                <c:pt idx="977">
                  <c:v>23/04/2025</c:v>
                </c:pt>
                <c:pt idx="978">
                  <c:v>24/04/2025</c:v>
                </c:pt>
                <c:pt idx="979">
                  <c:v>25/04/2025</c:v>
                </c:pt>
                <c:pt idx="980">
                  <c:v>28/04/2025</c:v>
                </c:pt>
                <c:pt idx="981">
                  <c:v>29/04/2025</c:v>
                </c:pt>
                <c:pt idx="982">
                  <c:v>30/04/2025</c:v>
                </c:pt>
                <c:pt idx="983">
                  <c:v>01/05/2025</c:v>
                </c:pt>
                <c:pt idx="984">
                  <c:v>02/05/2025</c:v>
                </c:pt>
                <c:pt idx="985">
                  <c:v>05/05/2025</c:v>
                </c:pt>
                <c:pt idx="986">
                  <c:v>06/05/2025</c:v>
                </c:pt>
                <c:pt idx="987">
                  <c:v>07/05/2025</c:v>
                </c:pt>
                <c:pt idx="988">
                  <c:v>08/05/2025</c:v>
                </c:pt>
                <c:pt idx="989">
                  <c:v>09/05/2025</c:v>
                </c:pt>
                <c:pt idx="990">
                  <c:v>12/05/2025</c:v>
                </c:pt>
                <c:pt idx="991">
                  <c:v>13/05/2025</c:v>
                </c:pt>
                <c:pt idx="992">
                  <c:v>14/05/2025</c:v>
                </c:pt>
                <c:pt idx="993">
                  <c:v>15/05/2025</c:v>
                </c:pt>
                <c:pt idx="994">
                  <c:v>16/05/2025</c:v>
                </c:pt>
                <c:pt idx="995">
                  <c:v>19/05/2025</c:v>
                </c:pt>
                <c:pt idx="996">
                  <c:v>20/05/2025</c:v>
                </c:pt>
                <c:pt idx="997">
                  <c:v>21/05/2025</c:v>
                </c:pt>
                <c:pt idx="998">
                  <c:v>22/05/2025</c:v>
                </c:pt>
                <c:pt idx="999">
                  <c:v>23/05/2025</c:v>
                </c:pt>
                <c:pt idx="1000">
                  <c:v>27/05/2025</c:v>
                </c:pt>
                <c:pt idx="1001">
                  <c:v>28/05/2025</c:v>
                </c:pt>
                <c:pt idx="1002">
                  <c:v>29/05/2025</c:v>
                </c:pt>
                <c:pt idx="1003">
                  <c:v>30/05/2025</c:v>
                </c:pt>
                <c:pt idx="1004">
                  <c:v>02/06/2025</c:v>
                </c:pt>
                <c:pt idx="1005">
                  <c:v>03/06/2025</c:v>
                </c:pt>
                <c:pt idx="1006">
                  <c:v>04/06/2025</c:v>
                </c:pt>
                <c:pt idx="1007">
                  <c:v>05/06/2025</c:v>
                </c:pt>
                <c:pt idx="1008">
                  <c:v>06/06/2025</c:v>
                </c:pt>
                <c:pt idx="1009">
                  <c:v>09/06/2025</c:v>
                </c:pt>
                <c:pt idx="1010">
                  <c:v>10/06/2025</c:v>
                </c:pt>
                <c:pt idx="1011">
                  <c:v>11/06/2025</c:v>
                </c:pt>
                <c:pt idx="1012">
                  <c:v>12/06/2025</c:v>
                </c:pt>
                <c:pt idx="1013">
                  <c:v>13/06/2025</c:v>
                </c:pt>
                <c:pt idx="1014">
                  <c:v>16/06/2025</c:v>
                </c:pt>
                <c:pt idx="1015">
                  <c:v>17/06/2025</c:v>
                </c:pt>
                <c:pt idx="1016">
                  <c:v>18/06/2025</c:v>
                </c:pt>
                <c:pt idx="1017">
                  <c:v>19/06/2025</c:v>
                </c:pt>
                <c:pt idx="1018">
                  <c:v>20/06/2025</c:v>
                </c:pt>
                <c:pt idx="1019">
                  <c:v>23/06/2025</c:v>
                </c:pt>
                <c:pt idx="1020">
                  <c:v>24/06/2025</c:v>
                </c:pt>
                <c:pt idx="1021">
                  <c:v>25/06/2025</c:v>
                </c:pt>
                <c:pt idx="1022">
                  <c:v>26/06/2025</c:v>
                </c:pt>
                <c:pt idx="1023">
                  <c:v>27/06/2025</c:v>
                </c:pt>
                <c:pt idx="1024">
                  <c:v>30/06/2025</c:v>
                </c:pt>
                <c:pt idx="1025">
                  <c:v>01/07/2025</c:v>
                </c:pt>
                <c:pt idx="1026">
                  <c:v>02/07/2025</c:v>
                </c:pt>
                <c:pt idx="1027">
                  <c:v>03/07/2025</c:v>
                </c:pt>
                <c:pt idx="1028">
                  <c:v>04/07/2025</c:v>
                </c:pt>
                <c:pt idx="1029">
                  <c:v>07/07/2025</c:v>
                </c:pt>
                <c:pt idx="1030">
                  <c:v>08/07/2025</c:v>
                </c:pt>
                <c:pt idx="1031">
                  <c:v>09/07/2025</c:v>
                </c:pt>
                <c:pt idx="1032">
                  <c:v>10/07/2025</c:v>
                </c:pt>
                <c:pt idx="1033">
                  <c:v>11/07/2025</c:v>
                </c:pt>
                <c:pt idx="1034">
                  <c:v>14/07/2025</c:v>
                </c:pt>
                <c:pt idx="1035">
                  <c:v>15/07/2025</c:v>
                </c:pt>
                <c:pt idx="1036">
                  <c:v>16/07/2025</c:v>
                </c:pt>
                <c:pt idx="1037">
                  <c:v>17/07/2025</c:v>
                </c:pt>
                <c:pt idx="1038">
                  <c:v>18/07/2025</c:v>
                </c:pt>
                <c:pt idx="1039">
                  <c:v>21/07/2025</c:v>
                </c:pt>
                <c:pt idx="1040">
                  <c:v>22/07/2025</c:v>
                </c:pt>
                <c:pt idx="1041">
                  <c:v>23/07/2025</c:v>
                </c:pt>
                <c:pt idx="1042">
                  <c:v>24/07/2025</c:v>
                </c:pt>
                <c:pt idx="1043">
                  <c:v>25/07/2025</c:v>
                </c:pt>
                <c:pt idx="1044">
                  <c:v>28/07/2025</c:v>
                </c:pt>
                <c:pt idx="1045">
                  <c:v>29/07/2025</c:v>
                </c:pt>
                <c:pt idx="1046">
                  <c:v>30/07/2025</c:v>
                </c:pt>
                <c:pt idx="1047">
                  <c:v>31/07/2025</c:v>
                </c:pt>
                <c:pt idx="1048">
                  <c:v>01/08/2025</c:v>
                </c:pt>
                <c:pt idx="1049">
                  <c:v>04/08/2025</c:v>
                </c:pt>
                <c:pt idx="1050">
                  <c:v>05/08/2025</c:v>
                </c:pt>
                <c:pt idx="1051">
                  <c:v>06/08/2025</c:v>
                </c:pt>
                <c:pt idx="1052">
                  <c:v>07/08/2025</c:v>
                </c:pt>
                <c:pt idx="1053">
                  <c:v>08/08/2025</c:v>
                </c:pt>
                <c:pt idx="1054">
                  <c:v>11/08/2025</c:v>
                </c:pt>
                <c:pt idx="1055">
                  <c:v>12/08/2025</c:v>
                </c:pt>
                <c:pt idx="1056">
                  <c:v>13/08/2025</c:v>
                </c:pt>
                <c:pt idx="1057">
                  <c:v>14/08/2025</c:v>
                </c:pt>
                <c:pt idx="1058">
                  <c:v>15/08/2025</c:v>
                </c:pt>
                <c:pt idx="1059">
                  <c:v>18/08/2025</c:v>
                </c:pt>
                <c:pt idx="1060">
                  <c:v>19/08/2025</c:v>
                </c:pt>
                <c:pt idx="1061">
                  <c:v>20/08/2025</c:v>
                </c:pt>
                <c:pt idx="1062">
                  <c:v>21/08/2025</c:v>
                </c:pt>
                <c:pt idx="1063">
                  <c:v>22/08/2025</c:v>
                </c:pt>
                <c:pt idx="1064">
                  <c:v>25/08/2025</c:v>
                </c:pt>
                <c:pt idx="1065">
                  <c:v>26/08/2025</c:v>
                </c:pt>
                <c:pt idx="1066">
                  <c:v>27/08/2025</c:v>
                </c:pt>
                <c:pt idx="1067">
                  <c:v>28/08/2025</c:v>
                </c:pt>
                <c:pt idx="1068">
                  <c:v>29/08/2025</c:v>
                </c:pt>
                <c:pt idx="1069">
                  <c:v>01/09/2025</c:v>
                </c:pt>
                <c:pt idx="1070">
                  <c:v>02/09/2025</c:v>
                </c:pt>
                <c:pt idx="1071">
                  <c:v>03/09/2025</c:v>
                </c:pt>
                <c:pt idx="1072">
                  <c:v>04/09/2025</c:v>
                </c:pt>
                <c:pt idx="1073">
                  <c:v>05/09/2025</c:v>
                </c:pt>
                <c:pt idx="1074">
                  <c:v>08/09/2025</c:v>
                </c:pt>
                <c:pt idx="1075">
                  <c:v>09/09/2025</c:v>
                </c:pt>
                <c:pt idx="1076">
                  <c:v>10/09/2025</c:v>
                </c:pt>
                <c:pt idx="1077">
                  <c:v>11/09/2025</c:v>
                </c:pt>
                <c:pt idx="1078">
                  <c:v>12/09/2025</c:v>
                </c:pt>
                <c:pt idx="1079">
                  <c:v>15/09/2025</c:v>
                </c:pt>
                <c:pt idx="1080">
                  <c:v>16/09/2025</c:v>
                </c:pt>
                <c:pt idx="1081">
                  <c:v>17/09/2025</c:v>
                </c:pt>
                <c:pt idx="1082">
                  <c:v>18/09/2025</c:v>
                </c:pt>
                <c:pt idx="1083">
                  <c:v>19/09/2025</c:v>
                </c:pt>
                <c:pt idx="1084">
                  <c:v>22/09/2025</c:v>
                </c:pt>
                <c:pt idx="1085">
                  <c:v>23/09/2025</c:v>
                </c:pt>
                <c:pt idx="1086">
                  <c:v>24/09/2025</c:v>
                </c:pt>
                <c:pt idx="1087">
                  <c:v>25/09/2025</c:v>
                </c:pt>
                <c:pt idx="1088">
                  <c:v>26/09/2025</c:v>
                </c:pt>
                <c:pt idx="1089">
                  <c:v>29/09/2025</c:v>
                </c:pt>
                <c:pt idx="1090">
                  <c:v>30/09/2025</c:v>
                </c:pt>
                <c:pt idx="1091">
                  <c:v>01/10/2025</c:v>
                </c:pt>
                <c:pt idx="1092">
                  <c:v>02/10/2025</c:v>
                </c:pt>
                <c:pt idx="1093">
                  <c:v>03/10/2025</c:v>
                </c:pt>
                <c:pt idx="1094">
                  <c:v>06/10/2025</c:v>
                </c:pt>
                <c:pt idx="1095">
                  <c:v>07/10/2025</c:v>
                </c:pt>
                <c:pt idx="1096">
                  <c:v>08/10/2025</c:v>
                </c:pt>
                <c:pt idx="1097">
                  <c:v>09/10/2025</c:v>
                </c:pt>
                <c:pt idx="1098">
                  <c:v>10/10/2025</c:v>
                </c:pt>
                <c:pt idx="1099">
                  <c:v>13/10/2025</c:v>
                </c:pt>
                <c:pt idx="1100">
                  <c:v>14/10/2025</c:v>
                </c:pt>
                <c:pt idx="1101">
                  <c:v>15/10/2025</c:v>
                </c:pt>
                <c:pt idx="1102">
                  <c:v>16/10/2025</c:v>
                </c:pt>
                <c:pt idx="1103">
                  <c:v>17/10/2025</c:v>
                </c:pt>
                <c:pt idx="1104">
                  <c:v>20/10/2025</c:v>
                </c:pt>
                <c:pt idx="1105">
                  <c:v>21/10/2025</c:v>
                </c:pt>
                <c:pt idx="1106">
                  <c:v>22/10/2025</c:v>
                </c:pt>
                <c:pt idx="1107">
                  <c:v>23/10/2025</c:v>
                </c:pt>
                <c:pt idx="1108">
                  <c:v>24/10/2025</c:v>
                </c:pt>
                <c:pt idx="1109">
                  <c:v>27/10/2025</c:v>
                </c:pt>
                <c:pt idx="1110">
                  <c:v>28/10/2025</c:v>
                </c:pt>
                <c:pt idx="1111">
                  <c:v>29/10/2025</c:v>
                </c:pt>
                <c:pt idx="1112">
                  <c:v>30/10/2025</c:v>
                </c:pt>
                <c:pt idx="1113">
                  <c:v>31/10/2025</c:v>
                </c:pt>
                <c:pt idx="1114">
                  <c:v>03/11/2025</c:v>
                </c:pt>
                <c:pt idx="1115">
                  <c:v>04/11/2025</c:v>
                </c:pt>
                <c:pt idx="1116">
                  <c:v>05/11/2025</c:v>
                </c:pt>
              </c:strCache>
            </c:strRef>
          </c:cat>
          <c:val>
            <c:numRef>
              <c:f>HISTORICAL!$B$3:$B$1119</c:f>
              <c:numCache>
                <c:formatCode>0.00</c:formatCode>
                <c:ptCount val="1117"/>
                <c:pt idx="0">
                  <c:v>1925.5</c:v>
                </c:pt>
                <c:pt idx="1">
                  <c:v>3226</c:v>
                </c:pt>
                <c:pt idx="2">
                  <c:v>2456.5</c:v>
                </c:pt>
                <c:pt idx="3">
                  <c:v>2186.8000000000002</c:v>
                </c:pt>
                <c:pt idx="4">
                  <c:v>616</c:v>
                </c:pt>
                <c:pt idx="5">
                  <c:v>616</c:v>
                </c:pt>
                <c:pt idx="6">
                  <c:v>616</c:v>
                </c:pt>
                <c:pt idx="7">
                  <c:v>770</c:v>
                </c:pt>
                <c:pt idx="8">
                  <c:v>904.8</c:v>
                </c:pt>
                <c:pt idx="9">
                  <c:v>2060.9</c:v>
                </c:pt>
                <c:pt idx="10">
                  <c:v>3344.1</c:v>
                </c:pt>
                <c:pt idx="11">
                  <c:v>5277</c:v>
                </c:pt>
                <c:pt idx="12">
                  <c:v>5277</c:v>
                </c:pt>
                <c:pt idx="13">
                  <c:v>5277</c:v>
                </c:pt>
                <c:pt idx="14">
                  <c:v>5813.7</c:v>
                </c:pt>
                <c:pt idx="15">
                  <c:v>4684.3</c:v>
                </c:pt>
                <c:pt idx="16">
                  <c:v>4400.8999999999996</c:v>
                </c:pt>
                <c:pt idx="17">
                  <c:v>5496.4</c:v>
                </c:pt>
                <c:pt idx="18">
                  <c:v>6844.2</c:v>
                </c:pt>
                <c:pt idx="19">
                  <c:v>6844.2</c:v>
                </c:pt>
                <c:pt idx="20">
                  <c:v>6844.2</c:v>
                </c:pt>
                <c:pt idx="21">
                  <c:v>6807.1</c:v>
                </c:pt>
                <c:pt idx="22">
                  <c:v>7446</c:v>
                </c:pt>
                <c:pt idx="23">
                  <c:v>7620.9</c:v>
                </c:pt>
                <c:pt idx="24">
                  <c:v>8680.4</c:v>
                </c:pt>
                <c:pt idx="25">
                  <c:v>7669</c:v>
                </c:pt>
                <c:pt idx="26">
                  <c:v>7669</c:v>
                </c:pt>
                <c:pt idx="27">
                  <c:v>7669</c:v>
                </c:pt>
                <c:pt idx="28">
                  <c:v>7754</c:v>
                </c:pt>
                <c:pt idx="29">
                  <c:v>7575.1</c:v>
                </c:pt>
                <c:pt idx="30">
                  <c:v>7382.5</c:v>
                </c:pt>
                <c:pt idx="31">
                  <c:v>7146.1</c:v>
                </c:pt>
                <c:pt idx="32">
                  <c:v>7112.5</c:v>
                </c:pt>
                <c:pt idx="33">
                  <c:v>7112.5</c:v>
                </c:pt>
                <c:pt idx="34">
                  <c:v>7112.5</c:v>
                </c:pt>
                <c:pt idx="35">
                  <c:v>7631.4</c:v>
                </c:pt>
                <c:pt idx="36">
                  <c:v>8039.8</c:v>
                </c:pt>
                <c:pt idx="37">
                  <c:v>8450.7999999999993</c:v>
                </c:pt>
                <c:pt idx="38">
                  <c:v>7637.1</c:v>
                </c:pt>
                <c:pt idx="39">
                  <c:v>7910.6</c:v>
                </c:pt>
                <c:pt idx="40">
                  <c:v>7910.6</c:v>
                </c:pt>
                <c:pt idx="41">
                  <c:v>7910.6</c:v>
                </c:pt>
                <c:pt idx="42">
                  <c:v>7375</c:v>
                </c:pt>
                <c:pt idx="43">
                  <c:v>10387.5</c:v>
                </c:pt>
                <c:pt idx="44">
                  <c:v>12155.9</c:v>
                </c:pt>
                <c:pt idx="45">
                  <c:v>13864.9</c:v>
                </c:pt>
                <c:pt idx="46">
                  <c:v>14753.3</c:v>
                </c:pt>
                <c:pt idx="47">
                  <c:v>14753.3</c:v>
                </c:pt>
                <c:pt idx="48">
                  <c:v>14753.3</c:v>
                </c:pt>
                <c:pt idx="49">
                  <c:v>16208.1</c:v>
                </c:pt>
                <c:pt idx="50">
                  <c:v>15575.8</c:v>
                </c:pt>
                <c:pt idx="51">
                  <c:v>15649.5</c:v>
                </c:pt>
                <c:pt idx="52">
                  <c:v>17204</c:v>
                </c:pt>
                <c:pt idx="53">
                  <c:v>17334.599999999999</c:v>
                </c:pt>
                <c:pt idx="54">
                  <c:v>17334.599999999999</c:v>
                </c:pt>
                <c:pt idx="55">
                  <c:v>17334.599999999999</c:v>
                </c:pt>
                <c:pt idx="56">
                  <c:v>17877.099999999999</c:v>
                </c:pt>
                <c:pt idx="57">
                  <c:v>18158.3</c:v>
                </c:pt>
                <c:pt idx="58">
                  <c:v>17674.400000000001</c:v>
                </c:pt>
                <c:pt idx="59">
                  <c:v>16534.900000000001</c:v>
                </c:pt>
                <c:pt idx="60">
                  <c:v>17722.5</c:v>
                </c:pt>
                <c:pt idx="61">
                  <c:v>17722.5</c:v>
                </c:pt>
                <c:pt idx="62">
                  <c:v>17722.5</c:v>
                </c:pt>
                <c:pt idx="63">
                  <c:v>18731.2</c:v>
                </c:pt>
                <c:pt idx="64">
                  <c:v>19610</c:v>
                </c:pt>
                <c:pt idx="65">
                  <c:v>19515.400000000001</c:v>
                </c:pt>
                <c:pt idx="66">
                  <c:v>19517.5</c:v>
                </c:pt>
                <c:pt idx="67">
                  <c:v>19624.2</c:v>
                </c:pt>
                <c:pt idx="68">
                  <c:v>19624.2</c:v>
                </c:pt>
                <c:pt idx="69">
                  <c:v>19624.2</c:v>
                </c:pt>
                <c:pt idx="70">
                  <c:v>17901.900000000001</c:v>
                </c:pt>
                <c:pt idx="71">
                  <c:v>17854.599999999999</c:v>
                </c:pt>
                <c:pt idx="72">
                  <c:v>19238.7</c:v>
                </c:pt>
                <c:pt idx="73">
                  <c:v>21107.7</c:v>
                </c:pt>
                <c:pt idx="74">
                  <c:v>20503.099999999999</c:v>
                </c:pt>
                <c:pt idx="75">
                  <c:v>20503.099999999999</c:v>
                </c:pt>
                <c:pt idx="76">
                  <c:v>20503.099999999999</c:v>
                </c:pt>
                <c:pt idx="77">
                  <c:v>20407</c:v>
                </c:pt>
                <c:pt idx="78">
                  <c:v>21603.1</c:v>
                </c:pt>
                <c:pt idx="79">
                  <c:v>20822.2</c:v>
                </c:pt>
                <c:pt idx="80">
                  <c:v>20839.5</c:v>
                </c:pt>
                <c:pt idx="81">
                  <c:v>21411.5</c:v>
                </c:pt>
                <c:pt idx="82">
                  <c:v>21411.5</c:v>
                </c:pt>
                <c:pt idx="83">
                  <c:v>21411.5</c:v>
                </c:pt>
                <c:pt idx="84">
                  <c:v>20475.7</c:v>
                </c:pt>
                <c:pt idx="85">
                  <c:v>20503.5</c:v>
                </c:pt>
                <c:pt idx="86">
                  <c:v>21015.3</c:v>
                </c:pt>
                <c:pt idx="87">
                  <c:v>21341.3</c:v>
                </c:pt>
                <c:pt idx="88">
                  <c:v>22435.1</c:v>
                </c:pt>
                <c:pt idx="89">
                  <c:v>22435.1</c:v>
                </c:pt>
                <c:pt idx="90">
                  <c:v>22435.1</c:v>
                </c:pt>
                <c:pt idx="91">
                  <c:v>22072</c:v>
                </c:pt>
                <c:pt idx="92">
                  <c:v>21477.7</c:v>
                </c:pt>
                <c:pt idx="93">
                  <c:v>21999.7</c:v>
                </c:pt>
                <c:pt idx="94">
                  <c:v>18700.2</c:v>
                </c:pt>
                <c:pt idx="95">
                  <c:v>20474.5</c:v>
                </c:pt>
                <c:pt idx="96">
                  <c:v>20474.5</c:v>
                </c:pt>
                <c:pt idx="97">
                  <c:v>20474.5</c:v>
                </c:pt>
                <c:pt idx="98">
                  <c:v>18004.099999999999</c:v>
                </c:pt>
                <c:pt idx="99">
                  <c:v>17664.400000000001</c:v>
                </c:pt>
                <c:pt idx="100">
                  <c:v>18752.7</c:v>
                </c:pt>
                <c:pt idx="101">
                  <c:v>19698.2</c:v>
                </c:pt>
                <c:pt idx="102">
                  <c:v>18861.7</c:v>
                </c:pt>
                <c:pt idx="103">
                  <c:v>18861.7</c:v>
                </c:pt>
                <c:pt idx="104">
                  <c:v>18861.7</c:v>
                </c:pt>
                <c:pt idx="105">
                  <c:v>17718</c:v>
                </c:pt>
                <c:pt idx="106">
                  <c:v>17766.7</c:v>
                </c:pt>
                <c:pt idx="107">
                  <c:v>18749.2</c:v>
                </c:pt>
                <c:pt idx="108">
                  <c:v>19253.599999999999</c:v>
                </c:pt>
                <c:pt idx="109">
                  <c:v>20388.099999999999</c:v>
                </c:pt>
                <c:pt idx="110">
                  <c:v>20388.099999999999</c:v>
                </c:pt>
                <c:pt idx="111">
                  <c:v>20388.099999999999</c:v>
                </c:pt>
                <c:pt idx="112">
                  <c:v>21869.3</c:v>
                </c:pt>
                <c:pt idx="113">
                  <c:v>22414.2</c:v>
                </c:pt>
                <c:pt idx="114">
                  <c:v>21805.5</c:v>
                </c:pt>
                <c:pt idx="115">
                  <c:v>21214</c:v>
                </c:pt>
                <c:pt idx="116">
                  <c:v>19916</c:v>
                </c:pt>
                <c:pt idx="117">
                  <c:v>19916</c:v>
                </c:pt>
                <c:pt idx="118">
                  <c:v>19916</c:v>
                </c:pt>
                <c:pt idx="119">
                  <c:v>20777.7</c:v>
                </c:pt>
                <c:pt idx="120">
                  <c:v>20323.3</c:v>
                </c:pt>
                <c:pt idx="121">
                  <c:v>20527.7</c:v>
                </c:pt>
                <c:pt idx="122">
                  <c:v>20151.900000000001</c:v>
                </c:pt>
                <c:pt idx="123">
                  <c:v>20746.400000000001</c:v>
                </c:pt>
                <c:pt idx="124">
                  <c:v>20746.400000000001</c:v>
                </c:pt>
                <c:pt idx="125">
                  <c:v>20746.400000000001</c:v>
                </c:pt>
                <c:pt idx="126">
                  <c:v>20394.3</c:v>
                </c:pt>
                <c:pt idx="127">
                  <c:v>20008.5</c:v>
                </c:pt>
                <c:pt idx="128">
                  <c:v>19561.3</c:v>
                </c:pt>
                <c:pt idx="129">
                  <c:v>18786.3</c:v>
                </c:pt>
                <c:pt idx="130">
                  <c:v>17844.7</c:v>
                </c:pt>
                <c:pt idx="131">
                  <c:v>17844.7</c:v>
                </c:pt>
                <c:pt idx="132">
                  <c:v>17844.7</c:v>
                </c:pt>
                <c:pt idx="133">
                  <c:v>17015.900000000001</c:v>
                </c:pt>
                <c:pt idx="134">
                  <c:v>17030.7</c:v>
                </c:pt>
                <c:pt idx="135">
                  <c:v>18521.3</c:v>
                </c:pt>
                <c:pt idx="136">
                  <c:v>18782.599999999999</c:v>
                </c:pt>
                <c:pt idx="137">
                  <c:v>20237.7</c:v>
                </c:pt>
                <c:pt idx="138">
                  <c:v>20237.7</c:v>
                </c:pt>
                <c:pt idx="139">
                  <c:v>20237.7</c:v>
                </c:pt>
                <c:pt idx="140">
                  <c:v>21326.5</c:v>
                </c:pt>
                <c:pt idx="141">
                  <c:v>21726.9</c:v>
                </c:pt>
                <c:pt idx="142">
                  <c:v>22177.8</c:v>
                </c:pt>
                <c:pt idx="143">
                  <c:v>22805.7</c:v>
                </c:pt>
                <c:pt idx="144">
                  <c:v>22805.7</c:v>
                </c:pt>
                <c:pt idx="145">
                  <c:v>22805.7</c:v>
                </c:pt>
                <c:pt idx="146">
                  <c:v>22805.7</c:v>
                </c:pt>
                <c:pt idx="147">
                  <c:v>23136.9</c:v>
                </c:pt>
                <c:pt idx="148">
                  <c:v>22337.4</c:v>
                </c:pt>
                <c:pt idx="149">
                  <c:v>24135.3</c:v>
                </c:pt>
                <c:pt idx="150">
                  <c:v>25140.6</c:v>
                </c:pt>
                <c:pt idx="151">
                  <c:v>24230.9</c:v>
                </c:pt>
                <c:pt idx="152">
                  <c:v>24230.9</c:v>
                </c:pt>
                <c:pt idx="153">
                  <c:v>24230.9</c:v>
                </c:pt>
                <c:pt idx="154">
                  <c:v>23705.7</c:v>
                </c:pt>
                <c:pt idx="155">
                  <c:v>24967.200000000001</c:v>
                </c:pt>
                <c:pt idx="156">
                  <c:v>25211.9</c:v>
                </c:pt>
                <c:pt idx="157">
                  <c:v>24562.1</c:v>
                </c:pt>
                <c:pt idx="158">
                  <c:v>24580.5</c:v>
                </c:pt>
                <c:pt idx="159">
                  <c:v>24786.5</c:v>
                </c:pt>
                <c:pt idx="160">
                  <c:v>25238.7</c:v>
                </c:pt>
                <c:pt idx="161">
                  <c:v>25365.7</c:v>
                </c:pt>
                <c:pt idx="162">
                  <c:v>26254.2</c:v>
                </c:pt>
                <c:pt idx="163">
                  <c:v>27086.400000000001</c:v>
                </c:pt>
                <c:pt idx="164">
                  <c:v>27997.200000000001</c:v>
                </c:pt>
                <c:pt idx="165">
                  <c:v>27843.200000000001</c:v>
                </c:pt>
                <c:pt idx="166">
                  <c:v>28172.400000000001</c:v>
                </c:pt>
                <c:pt idx="167">
                  <c:v>27968.2</c:v>
                </c:pt>
                <c:pt idx="168">
                  <c:v>27097.3</c:v>
                </c:pt>
                <c:pt idx="169">
                  <c:v>27956.400000000001</c:v>
                </c:pt>
                <c:pt idx="170">
                  <c:v>28102.7</c:v>
                </c:pt>
                <c:pt idx="171">
                  <c:v>28476.6</c:v>
                </c:pt>
                <c:pt idx="172">
                  <c:v>27476.6</c:v>
                </c:pt>
                <c:pt idx="173">
                  <c:v>27245.3</c:v>
                </c:pt>
                <c:pt idx="174">
                  <c:v>27442.3</c:v>
                </c:pt>
                <c:pt idx="175">
                  <c:v>28235.3</c:v>
                </c:pt>
                <c:pt idx="176">
                  <c:v>28399.7</c:v>
                </c:pt>
                <c:pt idx="177">
                  <c:v>27949.200000000001</c:v>
                </c:pt>
                <c:pt idx="178">
                  <c:v>27138.400000000001</c:v>
                </c:pt>
                <c:pt idx="179">
                  <c:v>26783</c:v>
                </c:pt>
                <c:pt idx="180">
                  <c:v>26796.1</c:v>
                </c:pt>
                <c:pt idx="181">
                  <c:v>27333.8</c:v>
                </c:pt>
                <c:pt idx="182">
                  <c:v>26334.3</c:v>
                </c:pt>
                <c:pt idx="183">
                  <c:v>26988.2</c:v>
                </c:pt>
                <c:pt idx="184">
                  <c:v>26761.1</c:v>
                </c:pt>
                <c:pt idx="185">
                  <c:v>26962.3</c:v>
                </c:pt>
                <c:pt idx="186">
                  <c:v>26563.9</c:v>
                </c:pt>
                <c:pt idx="187">
                  <c:v>27013.3</c:v>
                </c:pt>
                <c:pt idx="188">
                  <c:v>27297.4</c:v>
                </c:pt>
                <c:pt idx="189">
                  <c:v>28166.7</c:v>
                </c:pt>
                <c:pt idx="190">
                  <c:v>28780.5</c:v>
                </c:pt>
                <c:pt idx="191">
                  <c:v>28082.7</c:v>
                </c:pt>
                <c:pt idx="192">
                  <c:v>28224.2</c:v>
                </c:pt>
                <c:pt idx="193">
                  <c:v>27165.7</c:v>
                </c:pt>
                <c:pt idx="194">
                  <c:v>27150.400000000001</c:v>
                </c:pt>
                <c:pt idx="195">
                  <c:v>27205.8</c:v>
                </c:pt>
                <c:pt idx="196">
                  <c:v>26496.5</c:v>
                </c:pt>
                <c:pt idx="197">
                  <c:v>25881.599999999999</c:v>
                </c:pt>
                <c:pt idx="198">
                  <c:v>25632.400000000001</c:v>
                </c:pt>
                <c:pt idx="199">
                  <c:v>26167</c:v>
                </c:pt>
                <c:pt idx="200">
                  <c:v>27076.5</c:v>
                </c:pt>
                <c:pt idx="201">
                  <c:v>27214.5</c:v>
                </c:pt>
                <c:pt idx="202">
                  <c:v>27451.5</c:v>
                </c:pt>
                <c:pt idx="203">
                  <c:v>26738.400000000001</c:v>
                </c:pt>
                <c:pt idx="204">
                  <c:v>27032.799999999999</c:v>
                </c:pt>
                <c:pt idx="205">
                  <c:v>25967.3</c:v>
                </c:pt>
                <c:pt idx="206">
                  <c:v>25574.1</c:v>
                </c:pt>
                <c:pt idx="207">
                  <c:v>25504.799999999999</c:v>
                </c:pt>
                <c:pt idx="208">
                  <c:v>25595.7</c:v>
                </c:pt>
                <c:pt idx="209">
                  <c:v>26425.200000000001</c:v>
                </c:pt>
                <c:pt idx="210">
                  <c:v>26605</c:v>
                </c:pt>
                <c:pt idx="211">
                  <c:v>26788</c:v>
                </c:pt>
                <c:pt idx="212">
                  <c:v>26454.2</c:v>
                </c:pt>
                <c:pt idx="213">
                  <c:v>26298.3</c:v>
                </c:pt>
                <c:pt idx="214">
                  <c:v>26073.5</c:v>
                </c:pt>
                <c:pt idx="215">
                  <c:v>25872</c:v>
                </c:pt>
                <c:pt idx="216">
                  <c:v>25104.3</c:v>
                </c:pt>
                <c:pt idx="217">
                  <c:v>24439.1</c:v>
                </c:pt>
                <c:pt idx="218">
                  <c:v>24364.1</c:v>
                </c:pt>
                <c:pt idx="219">
                  <c:v>25076.3</c:v>
                </c:pt>
                <c:pt idx="220">
                  <c:v>25584.7</c:v>
                </c:pt>
                <c:pt idx="221">
                  <c:v>24743.4</c:v>
                </c:pt>
                <c:pt idx="222">
                  <c:v>23970.2</c:v>
                </c:pt>
                <c:pt idx="223">
                  <c:v>23608.400000000001</c:v>
                </c:pt>
                <c:pt idx="224">
                  <c:v>23415.3</c:v>
                </c:pt>
                <c:pt idx="225">
                  <c:v>23320.2</c:v>
                </c:pt>
                <c:pt idx="226">
                  <c:v>22466.7</c:v>
                </c:pt>
                <c:pt idx="227">
                  <c:v>22033.8</c:v>
                </c:pt>
                <c:pt idx="228">
                  <c:v>22774</c:v>
                </c:pt>
                <c:pt idx="229">
                  <c:v>22894.9</c:v>
                </c:pt>
                <c:pt idx="230">
                  <c:v>23542.1</c:v>
                </c:pt>
                <c:pt idx="231">
                  <c:v>22879.3</c:v>
                </c:pt>
                <c:pt idx="232">
                  <c:v>23356</c:v>
                </c:pt>
                <c:pt idx="233">
                  <c:v>23391.8</c:v>
                </c:pt>
                <c:pt idx="234">
                  <c:v>22940.7</c:v>
                </c:pt>
                <c:pt idx="235">
                  <c:v>23520.3</c:v>
                </c:pt>
                <c:pt idx="236">
                  <c:v>23672.7</c:v>
                </c:pt>
                <c:pt idx="237">
                  <c:v>24237.8</c:v>
                </c:pt>
                <c:pt idx="238">
                  <c:v>24922</c:v>
                </c:pt>
                <c:pt idx="239">
                  <c:v>25241.200000000001</c:v>
                </c:pt>
                <c:pt idx="240">
                  <c:v>25638.3</c:v>
                </c:pt>
                <c:pt idx="241">
                  <c:v>25146.5</c:v>
                </c:pt>
                <c:pt idx="242">
                  <c:v>25243.599999999999</c:v>
                </c:pt>
                <c:pt idx="243">
                  <c:v>25735.8</c:v>
                </c:pt>
                <c:pt idx="244">
                  <c:v>25992.3</c:v>
                </c:pt>
                <c:pt idx="245">
                  <c:v>25823.9</c:v>
                </c:pt>
                <c:pt idx="246">
                  <c:v>25778</c:v>
                </c:pt>
                <c:pt idx="247">
                  <c:v>26117.9</c:v>
                </c:pt>
                <c:pt idx="248">
                  <c:v>26225.9</c:v>
                </c:pt>
                <c:pt idx="249">
                  <c:v>26196.400000000001</c:v>
                </c:pt>
                <c:pt idx="250">
                  <c:v>26075.3</c:v>
                </c:pt>
                <c:pt idx="251">
                  <c:v>25508.1</c:v>
                </c:pt>
                <c:pt idx="252">
                  <c:v>25307.599999999999</c:v>
                </c:pt>
                <c:pt idx="253">
                  <c:v>25217.599999999999</c:v>
                </c:pt>
                <c:pt idx="254">
                  <c:v>25390.7</c:v>
                </c:pt>
                <c:pt idx="255">
                  <c:v>26101.200000000001</c:v>
                </c:pt>
                <c:pt idx="256">
                  <c:v>25755.599999999999</c:v>
                </c:pt>
                <c:pt idx="257">
                  <c:v>25902.799999999999</c:v>
                </c:pt>
                <c:pt idx="258">
                  <c:v>25999.9</c:v>
                </c:pt>
                <c:pt idx="259">
                  <c:v>26378.9</c:v>
                </c:pt>
                <c:pt idx="260">
                  <c:v>26402.5</c:v>
                </c:pt>
                <c:pt idx="261">
                  <c:v>26405.4</c:v>
                </c:pt>
                <c:pt idx="262">
                  <c:v>27397.7</c:v>
                </c:pt>
                <c:pt idx="263">
                  <c:v>27210.7</c:v>
                </c:pt>
                <c:pt idx="264">
                  <c:v>26828.2</c:v>
                </c:pt>
                <c:pt idx="265">
                  <c:v>26331.9</c:v>
                </c:pt>
                <c:pt idx="266">
                  <c:v>26065</c:v>
                </c:pt>
                <c:pt idx="267">
                  <c:v>26551</c:v>
                </c:pt>
                <c:pt idx="268">
                  <c:v>26660</c:v>
                </c:pt>
                <c:pt idx="269">
                  <c:v>27096.3</c:v>
                </c:pt>
                <c:pt idx="270">
                  <c:v>26817.3</c:v>
                </c:pt>
                <c:pt idx="271">
                  <c:v>27140</c:v>
                </c:pt>
                <c:pt idx="272">
                  <c:v>27064.3</c:v>
                </c:pt>
                <c:pt idx="273">
                  <c:v>27470.799999999999</c:v>
                </c:pt>
                <c:pt idx="274">
                  <c:v>27883.1</c:v>
                </c:pt>
                <c:pt idx="275">
                  <c:v>28184.2</c:v>
                </c:pt>
                <c:pt idx="276">
                  <c:v>28008.3</c:v>
                </c:pt>
                <c:pt idx="277">
                  <c:v>28383.599999999999</c:v>
                </c:pt>
                <c:pt idx="278">
                  <c:v>28269</c:v>
                </c:pt>
                <c:pt idx="279">
                  <c:v>27932.9</c:v>
                </c:pt>
                <c:pt idx="280">
                  <c:v>27733.3</c:v>
                </c:pt>
                <c:pt idx="281">
                  <c:v>27991.7</c:v>
                </c:pt>
                <c:pt idx="282">
                  <c:v>27687.3</c:v>
                </c:pt>
                <c:pt idx="283">
                  <c:v>27801.9</c:v>
                </c:pt>
                <c:pt idx="284">
                  <c:v>28237.200000000001</c:v>
                </c:pt>
                <c:pt idx="285">
                  <c:v>27390.6</c:v>
                </c:pt>
                <c:pt idx="286">
                  <c:v>27548.6</c:v>
                </c:pt>
                <c:pt idx="287">
                  <c:v>27522.2</c:v>
                </c:pt>
                <c:pt idx="288">
                  <c:v>27708.1</c:v>
                </c:pt>
                <c:pt idx="289">
                  <c:v>27668.3</c:v>
                </c:pt>
                <c:pt idx="290">
                  <c:v>27250.6</c:v>
                </c:pt>
                <c:pt idx="291">
                  <c:v>26999</c:v>
                </c:pt>
                <c:pt idx="292">
                  <c:v>27150.799999999999</c:v>
                </c:pt>
                <c:pt idx="293">
                  <c:v>27278.5</c:v>
                </c:pt>
                <c:pt idx="294">
                  <c:v>27133.599999999999</c:v>
                </c:pt>
                <c:pt idx="295">
                  <c:v>26719.599999999999</c:v>
                </c:pt>
                <c:pt idx="296">
                  <c:v>26643.1</c:v>
                </c:pt>
                <c:pt idx="297">
                  <c:v>25253.599999999999</c:v>
                </c:pt>
                <c:pt idx="298">
                  <c:v>24390.5</c:v>
                </c:pt>
                <c:pt idx="299">
                  <c:v>25080.400000000001</c:v>
                </c:pt>
                <c:pt idx="300">
                  <c:v>25262.5</c:v>
                </c:pt>
                <c:pt idx="301">
                  <c:v>25939.3</c:v>
                </c:pt>
                <c:pt idx="302">
                  <c:v>26331.3</c:v>
                </c:pt>
                <c:pt idx="303">
                  <c:v>26879.200000000001</c:v>
                </c:pt>
                <c:pt idx="304">
                  <c:v>27284.2</c:v>
                </c:pt>
                <c:pt idx="305">
                  <c:v>27464.799999999999</c:v>
                </c:pt>
                <c:pt idx="306">
                  <c:v>26989</c:v>
                </c:pt>
                <c:pt idx="307">
                  <c:v>26897.8</c:v>
                </c:pt>
                <c:pt idx="308">
                  <c:v>27044.799999999999</c:v>
                </c:pt>
                <c:pt idx="309">
                  <c:v>27041</c:v>
                </c:pt>
                <c:pt idx="310">
                  <c:v>27600.2</c:v>
                </c:pt>
                <c:pt idx="311">
                  <c:v>26657.599999999999</c:v>
                </c:pt>
                <c:pt idx="312">
                  <c:v>26657.599999999999</c:v>
                </c:pt>
                <c:pt idx="313">
                  <c:v>26788.799999999999</c:v>
                </c:pt>
                <c:pt idx="314">
                  <c:v>27170.400000000001</c:v>
                </c:pt>
                <c:pt idx="315">
                  <c:v>27580.400000000001</c:v>
                </c:pt>
                <c:pt idx="316">
                  <c:v>27712.799999999999</c:v>
                </c:pt>
                <c:pt idx="317">
                  <c:v>27391.9</c:v>
                </c:pt>
                <c:pt idx="318">
                  <c:v>27259.599999999999</c:v>
                </c:pt>
                <c:pt idx="319">
                  <c:v>27016.6</c:v>
                </c:pt>
                <c:pt idx="320">
                  <c:v>26700.3</c:v>
                </c:pt>
                <c:pt idx="321">
                  <c:v>26923.8</c:v>
                </c:pt>
                <c:pt idx="322">
                  <c:v>27391.9</c:v>
                </c:pt>
                <c:pt idx="323">
                  <c:v>27842.400000000001</c:v>
                </c:pt>
                <c:pt idx="324">
                  <c:v>28091.200000000001</c:v>
                </c:pt>
                <c:pt idx="325">
                  <c:v>28385.3</c:v>
                </c:pt>
                <c:pt idx="326">
                  <c:v>28413.5</c:v>
                </c:pt>
                <c:pt idx="327">
                  <c:v>28479.4</c:v>
                </c:pt>
                <c:pt idx="328">
                  <c:v>28546.3</c:v>
                </c:pt>
                <c:pt idx="329">
                  <c:v>28546.3</c:v>
                </c:pt>
                <c:pt idx="330">
                  <c:v>28657.1</c:v>
                </c:pt>
                <c:pt idx="331">
                  <c:v>28702.9</c:v>
                </c:pt>
                <c:pt idx="332">
                  <c:v>28100.3</c:v>
                </c:pt>
                <c:pt idx="333">
                  <c:v>28147.5</c:v>
                </c:pt>
                <c:pt idx="334">
                  <c:v>28090.799999999999</c:v>
                </c:pt>
                <c:pt idx="335">
                  <c:v>27639.4</c:v>
                </c:pt>
                <c:pt idx="336">
                  <c:v>26958</c:v>
                </c:pt>
                <c:pt idx="337">
                  <c:v>26997.1</c:v>
                </c:pt>
                <c:pt idx="338">
                  <c:v>26852.9</c:v>
                </c:pt>
                <c:pt idx="339">
                  <c:v>26351.9</c:v>
                </c:pt>
                <c:pt idx="340">
                  <c:v>25936.400000000001</c:v>
                </c:pt>
                <c:pt idx="341">
                  <c:v>25634.1</c:v>
                </c:pt>
                <c:pt idx="342">
                  <c:v>25727.5</c:v>
                </c:pt>
                <c:pt idx="343">
                  <c:v>25507.4</c:v>
                </c:pt>
                <c:pt idx="344">
                  <c:v>25512.2</c:v>
                </c:pt>
                <c:pt idx="345">
                  <c:v>25840.3</c:v>
                </c:pt>
                <c:pt idx="346">
                  <c:v>25904</c:v>
                </c:pt>
                <c:pt idx="347">
                  <c:v>26447.4</c:v>
                </c:pt>
                <c:pt idx="348">
                  <c:v>26082.1</c:v>
                </c:pt>
                <c:pt idx="349">
                  <c:v>25546</c:v>
                </c:pt>
                <c:pt idx="350">
                  <c:v>25680.9</c:v>
                </c:pt>
                <c:pt idx="351">
                  <c:v>26000.799999999999</c:v>
                </c:pt>
                <c:pt idx="352">
                  <c:v>26090.6</c:v>
                </c:pt>
                <c:pt idx="353">
                  <c:v>25827.1</c:v>
                </c:pt>
                <c:pt idx="354">
                  <c:v>26128.400000000001</c:v>
                </c:pt>
                <c:pt idx="355">
                  <c:v>25910.3</c:v>
                </c:pt>
                <c:pt idx="356">
                  <c:v>24914</c:v>
                </c:pt>
                <c:pt idx="357">
                  <c:v>23549.5</c:v>
                </c:pt>
                <c:pt idx="358">
                  <c:v>23920.5</c:v>
                </c:pt>
                <c:pt idx="359">
                  <c:v>24201.8</c:v>
                </c:pt>
                <c:pt idx="360">
                  <c:v>24067.8</c:v>
                </c:pt>
                <c:pt idx="361">
                  <c:v>24308.7</c:v>
                </c:pt>
                <c:pt idx="362">
                  <c:v>24859.8</c:v>
                </c:pt>
                <c:pt idx="363">
                  <c:v>25572.6</c:v>
                </c:pt>
                <c:pt idx="364">
                  <c:v>25395.1</c:v>
                </c:pt>
                <c:pt idx="365">
                  <c:v>25378.400000000001</c:v>
                </c:pt>
                <c:pt idx="366">
                  <c:v>24852.2</c:v>
                </c:pt>
                <c:pt idx="367">
                  <c:v>24733.1</c:v>
                </c:pt>
                <c:pt idx="368">
                  <c:v>25039</c:v>
                </c:pt>
                <c:pt idx="369">
                  <c:v>25078</c:v>
                </c:pt>
                <c:pt idx="370">
                  <c:v>25616.799999999999</c:v>
                </c:pt>
                <c:pt idx="371">
                  <c:v>25734.5</c:v>
                </c:pt>
                <c:pt idx="372">
                  <c:v>25814.3</c:v>
                </c:pt>
                <c:pt idx="373">
                  <c:v>26316.3</c:v>
                </c:pt>
                <c:pt idx="374">
                  <c:v>26169.7</c:v>
                </c:pt>
                <c:pt idx="375">
                  <c:v>26239.200000000001</c:v>
                </c:pt>
                <c:pt idx="376">
                  <c:v>26521.1</c:v>
                </c:pt>
                <c:pt idx="377">
                  <c:v>26718.5</c:v>
                </c:pt>
                <c:pt idx="378">
                  <c:v>26464.6</c:v>
                </c:pt>
                <c:pt idx="379">
                  <c:v>26679.200000000001</c:v>
                </c:pt>
                <c:pt idx="380">
                  <c:v>26957.8</c:v>
                </c:pt>
                <c:pt idx="381">
                  <c:v>27041.7</c:v>
                </c:pt>
                <c:pt idx="382">
                  <c:v>27193.9</c:v>
                </c:pt>
                <c:pt idx="383">
                  <c:v>27800.6</c:v>
                </c:pt>
                <c:pt idx="384">
                  <c:v>28013.3</c:v>
                </c:pt>
                <c:pt idx="385">
                  <c:v>27847.3</c:v>
                </c:pt>
                <c:pt idx="386">
                  <c:v>27892.400000000001</c:v>
                </c:pt>
                <c:pt idx="387">
                  <c:v>27864</c:v>
                </c:pt>
                <c:pt idx="388">
                  <c:v>28071.4</c:v>
                </c:pt>
                <c:pt idx="389">
                  <c:v>28337.1</c:v>
                </c:pt>
                <c:pt idx="390">
                  <c:v>27954.2</c:v>
                </c:pt>
                <c:pt idx="391">
                  <c:v>28306.5</c:v>
                </c:pt>
                <c:pt idx="392">
                  <c:v>27941.7</c:v>
                </c:pt>
                <c:pt idx="393">
                  <c:v>28260.2</c:v>
                </c:pt>
                <c:pt idx="394">
                  <c:v>28428.6</c:v>
                </c:pt>
                <c:pt idx="395">
                  <c:v>29187.3</c:v>
                </c:pt>
                <c:pt idx="396">
                  <c:v>28983.5</c:v>
                </c:pt>
                <c:pt idx="397">
                  <c:v>29022.2</c:v>
                </c:pt>
                <c:pt idx="398">
                  <c:v>28735.8</c:v>
                </c:pt>
                <c:pt idx="399">
                  <c:v>29221.7</c:v>
                </c:pt>
                <c:pt idx="400">
                  <c:v>29269.3</c:v>
                </c:pt>
                <c:pt idx="401">
                  <c:v>29713.5</c:v>
                </c:pt>
                <c:pt idx="402">
                  <c:v>29606.1</c:v>
                </c:pt>
                <c:pt idx="403">
                  <c:v>29606.1</c:v>
                </c:pt>
                <c:pt idx="404">
                  <c:v>29565.200000000001</c:v>
                </c:pt>
                <c:pt idx="405">
                  <c:v>29613.3</c:v>
                </c:pt>
                <c:pt idx="406">
                  <c:v>30116.799999999999</c:v>
                </c:pt>
                <c:pt idx="407">
                  <c:v>30158.400000000001</c:v>
                </c:pt>
                <c:pt idx="408">
                  <c:v>30320.3</c:v>
                </c:pt>
                <c:pt idx="409">
                  <c:v>30421.9</c:v>
                </c:pt>
                <c:pt idx="410">
                  <c:v>30475.5</c:v>
                </c:pt>
                <c:pt idx="411">
                  <c:v>30346.1</c:v>
                </c:pt>
                <c:pt idx="412">
                  <c:v>30566.5</c:v>
                </c:pt>
                <c:pt idx="413">
                  <c:v>30504.400000000001</c:v>
                </c:pt>
                <c:pt idx="414">
                  <c:v>30495.200000000001</c:v>
                </c:pt>
                <c:pt idx="415">
                  <c:v>30842.9</c:v>
                </c:pt>
                <c:pt idx="416">
                  <c:v>30639.7</c:v>
                </c:pt>
                <c:pt idx="417">
                  <c:v>30455.7</c:v>
                </c:pt>
                <c:pt idx="418">
                  <c:v>30417.1</c:v>
                </c:pt>
                <c:pt idx="419">
                  <c:v>30417.1</c:v>
                </c:pt>
                <c:pt idx="420">
                  <c:v>30482.9</c:v>
                </c:pt>
                <c:pt idx="421">
                  <c:v>31202.3</c:v>
                </c:pt>
                <c:pt idx="422">
                  <c:v>30968</c:v>
                </c:pt>
                <c:pt idx="423">
                  <c:v>30722</c:v>
                </c:pt>
                <c:pt idx="424">
                  <c:v>30124</c:v>
                </c:pt>
                <c:pt idx="425">
                  <c:v>30310.7</c:v>
                </c:pt>
                <c:pt idx="426">
                  <c:v>31031.8</c:v>
                </c:pt>
                <c:pt idx="427">
                  <c:v>30805.1</c:v>
                </c:pt>
                <c:pt idx="428">
                  <c:v>30637.1</c:v>
                </c:pt>
                <c:pt idx="429">
                  <c:v>31044</c:v>
                </c:pt>
                <c:pt idx="430">
                  <c:v>30702.7</c:v>
                </c:pt>
                <c:pt idx="431">
                  <c:v>31064.7</c:v>
                </c:pt>
                <c:pt idx="432">
                  <c:v>31025</c:v>
                </c:pt>
                <c:pt idx="433">
                  <c:v>31104.6</c:v>
                </c:pt>
                <c:pt idx="434">
                  <c:v>30916.2</c:v>
                </c:pt>
                <c:pt idx="435">
                  <c:v>30694.6</c:v>
                </c:pt>
                <c:pt idx="436">
                  <c:v>30746.1</c:v>
                </c:pt>
                <c:pt idx="437">
                  <c:v>31179.9</c:v>
                </c:pt>
                <c:pt idx="438">
                  <c:v>30565.5</c:v>
                </c:pt>
                <c:pt idx="439">
                  <c:v>30035.8</c:v>
                </c:pt>
                <c:pt idx="440">
                  <c:v>30364.400000000001</c:v>
                </c:pt>
                <c:pt idx="441">
                  <c:v>30029.7</c:v>
                </c:pt>
                <c:pt idx="442">
                  <c:v>30355</c:v>
                </c:pt>
                <c:pt idx="443">
                  <c:v>30240.1</c:v>
                </c:pt>
                <c:pt idx="444">
                  <c:v>30108</c:v>
                </c:pt>
                <c:pt idx="445">
                  <c:v>30128</c:v>
                </c:pt>
                <c:pt idx="446">
                  <c:v>29880.7</c:v>
                </c:pt>
                <c:pt idx="447">
                  <c:v>29963.200000000001</c:v>
                </c:pt>
                <c:pt idx="448">
                  <c:v>30226.9</c:v>
                </c:pt>
                <c:pt idx="449">
                  <c:v>30155.5</c:v>
                </c:pt>
                <c:pt idx="450">
                  <c:v>29976.1</c:v>
                </c:pt>
                <c:pt idx="451">
                  <c:v>29672.1</c:v>
                </c:pt>
                <c:pt idx="452">
                  <c:v>29465.200000000001</c:v>
                </c:pt>
                <c:pt idx="453">
                  <c:v>29558.6</c:v>
                </c:pt>
                <c:pt idx="454">
                  <c:v>29561.9</c:v>
                </c:pt>
                <c:pt idx="455">
                  <c:v>29876.1</c:v>
                </c:pt>
                <c:pt idx="456">
                  <c:v>29761.4</c:v>
                </c:pt>
                <c:pt idx="457">
                  <c:v>30138.799999999999</c:v>
                </c:pt>
                <c:pt idx="458">
                  <c:v>29720.6</c:v>
                </c:pt>
                <c:pt idx="459">
                  <c:v>29957.3</c:v>
                </c:pt>
                <c:pt idx="460">
                  <c:v>30424.1</c:v>
                </c:pt>
                <c:pt idx="461">
                  <c:v>30273.1</c:v>
                </c:pt>
                <c:pt idx="462">
                  <c:v>29789.9</c:v>
                </c:pt>
                <c:pt idx="463">
                  <c:v>30108</c:v>
                </c:pt>
                <c:pt idx="464">
                  <c:v>29957.5</c:v>
                </c:pt>
                <c:pt idx="465">
                  <c:v>29449</c:v>
                </c:pt>
                <c:pt idx="466">
                  <c:v>28897.9</c:v>
                </c:pt>
                <c:pt idx="467">
                  <c:v>29171.599999999999</c:v>
                </c:pt>
                <c:pt idx="468">
                  <c:v>29729.9</c:v>
                </c:pt>
                <c:pt idx="469">
                  <c:v>29509.3</c:v>
                </c:pt>
                <c:pt idx="470">
                  <c:v>29520.2</c:v>
                </c:pt>
                <c:pt idx="471">
                  <c:v>29139.5</c:v>
                </c:pt>
                <c:pt idx="472">
                  <c:v>28671.1</c:v>
                </c:pt>
                <c:pt idx="473">
                  <c:v>28196.7</c:v>
                </c:pt>
                <c:pt idx="474">
                  <c:v>28497.9</c:v>
                </c:pt>
                <c:pt idx="475">
                  <c:v>28635.7</c:v>
                </c:pt>
                <c:pt idx="476">
                  <c:v>27996.9</c:v>
                </c:pt>
                <c:pt idx="477">
                  <c:v>27225.5</c:v>
                </c:pt>
                <c:pt idx="478">
                  <c:v>28130</c:v>
                </c:pt>
                <c:pt idx="479">
                  <c:v>28100.400000000001</c:v>
                </c:pt>
                <c:pt idx="480">
                  <c:v>27372.400000000001</c:v>
                </c:pt>
                <c:pt idx="481">
                  <c:v>27312.3</c:v>
                </c:pt>
                <c:pt idx="482">
                  <c:v>26846.6</c:v>
                </c:pt>
                <c:pt idx="483">
                  <c:v>26955.1</c:v>
                </c:pt>
                <c:pt idx="484">
                  <c:v>26334.6</c:v>
                </c:pt>
                <c:pt idx="485">
                  <c:v>26349.8</c:v>
                </c:pt>
                <c:pt idx="486">
                  <c:v>27111.4</c:v>
                </c:pt>
                <c:pt idx="487">
                  <c:v>28346.400000000001</c:v>
                </c:pt>
                <c:pt idx="488">
                  <c:v>28517.200000000001</c:v>
                </c:pt>
                <c:pt idx="489">
                  <c:v>28502.799999999999</c:v>
                </c:pt>
                <c:pt idx="490">
                  <c:v>28920.7</c:v>
                </c:pt>
                <c:pt idx="491">
                  <c:v>29035.8</c:v>
                </c:pt>
                <c:pt idx="492">
                  <c:v>29408.9</c:v>
                </c:pt>
                <c:pt idx="493">
                  <c:v>29076.3</c:v>
                </c:pt>
                <c:pt idx="494">
                  <c:v>29706.5</c:v>
                </c:pt>
                <c:pt idx="495">
                  <c:v>29728.5</c:v>
                </c:pt>
                <c:pt idx="496">
                  <c:v>29937.5</c:v>
                </c:pt>
                <c:pt idx="497">
                  <c:v>30275.5</c:v>
                </c:pt>
                <c:pt idx="498">
                  <c:v>31078.7</c:v>
                </c:pt>
                <c:pt idx="499">
                  <c:v>31382.2</c:v>
                </c:pt>
                <c:pt idx="500">
                  <c:v>31451.1</c:v>
                </c:pt>
                <c:pt idx="501">
                  <c:v>31505.1</c:v>
                </c:pt>
                <c:pt idx="502">
                  <c:v>31169.5</c:v>
                </c:pt>
                <c:pt idx="503">
                  <c:v>31565.5</c:v>
                </c:pt>
                <c:pt idx="504">
                  <c:v>31848.3</c:v>
                </c:pt>
                <c:pt idx="505">
                  <c:v>31658.400000000001</c:v>
                </c:pt>
                <c:pt idx="506">
                  <c:v>31159.4</c:v>
                </c:pt>
                <c:pt idx="507">
                  <c:v>31343</c:v>
                </c:pt>
                <c:pt idx="508">
                  <c:v>30795.200000000001</c:v>
                </c:pt>
                <c:pt idx="509">
                  <c:v>31000.3</c:v>
                </c:pt>
                <c:pt idx="510">
                  <c:v>30895.4</c:v>
                </c:pt>
                <c:pt idx="511">
                  <c:v>30941.5</c:v>
                </c:pt>
                <c:pt idx="512">
                  <c:v>31249.599999999999</c:v>
                </c:pt>
                <c:pt idx="513">
                  <c:v>31620</c:v>
                </c:pt>
                <c:pt idx="514">
                  <c:v>31731.3</c:v>
                </c:pt>
                <c:pt idx="515">
                  <c:v>31586.6</c:v>
                </c:pt>
                <c:pt idx="516">
                  <c:v>31609.9</c:v>
                </c:pt>
                <c:pt idx="517">
                  <c:v>31491.9</c:v>
                </c:pt>
                <c:pt idx="518">
                  <c:v>31147</c:v>
                </c:pt>
                <c:pt idx="519">
                  <c:v>31450.3</c:v>
                </c:pt>
                <c:pt idx="520">
                  <c:v>31634.7</c:v>
                </c:pt>
                <c:pt idx="521">
                  <c:v>31331.4</c:v>
                </c:pt>
                <c:pt idx="522">
                  <c:v>31098.6</c:v>
                </c:pt>
                <c:pt idx="523">
                  <c:v>31923.9</c:v>
                </c:pt>
                <c:pt idx="524">
                  <c:v>31935.9</c:v>
                </c:pt>
                <c:pt idx="525">
                  <c:v>32071.4</c:v>
                </c:pt>
                <c:pt idx="526">
                  <c:v>32595.1</c:v>
                </c:pt>
                <c:pt idx="527">
                  <c:v>32735.7</c:v>
                </c:pt>
                <c:pt idx="528">
                  <c:v>32991.4</c:v>
                </c:pt>
                <c:pt idx="529">
                  <c:v>32283.1</c:v>
                </c:pt>
                <c:pt idx="530">
                  <c:v>32269.599999999999</c:v>
                </c:pt>
                <c:pt idx="531">
                  <c:v>32787.1</c:v>
                </c:pt>
                <c:pt idx="532">
                  <c:v>32548</c:v>
                </c:pt>
                <c:pt idx="533">
                  <c:v>32591.4</c:v>
                </c:pt>
                <c:pt idx="534">
                  <c:v>32605.1</c:v>
                </c:pt>
                <c:pt idx="535">
                  <c:v>32825.599999999999</c:v>
                </c:pt>
                <c:pt idx="536">
                  <c:v>32053</c:v>
                </c:pt>
                <c:pt idx="537">
                  <c:v>31909.9</c:v>
                </c:pt>
                <c:pt idx="538">
                  <c:v>32086.1</c:v>
                </c:pt>
                <c:pt idx="539">
                  <c:v>32677.599999999999</c:v>
                </c:pt>
                <c:pt idx="540">
                  <c:v>32495.200000000001</c:v>
                </c:pt>
                <c:pt idx="541">
                  <c:v>33037</c:v>
                </c:pt>
                <c:pt idx="542">
                  <c:v>33699.800000000003</c:v>
                </c:pt>
                <c:pt idx="543">
                  <c:v>33603.800000000003</c:v>
                </c:pt>
                <c:pt idx="544">
                  <c:v>33881.5</c:v>
                </c:pt>
                <c:pt idx="545">
                  <c:v>33955.9</c:v>
                </c:pt>
                <c:pt idx="546">
                  <c:v>33562.1</c:v>
                </c:pt>
                <c:pt idx="547">
                  <c:v>34506.400000000001</c:v>
                </c:pt>
                <c:pt idx="548">
                  <c:v>34850.800000000003</c:v>
                </c:pt>
                <c:pt idx="549">
                  <c:v>34423.699999999997</c:v>
                </c:pt>
                <c:pt idx="550">
                  <c:v>34698.6</c:v>
                </c:pt>
                <c:pt idx="551">
                  <c:v>34458.1</c:v>
                </c:pt>
                <c:pt idx="552">
                  <c:v>34221.300000000003</c:v>
                </c:pt>
                <c:pt idx="553">
                  <c:v>33315.199999999997</c:v>
                </c:pt>
                <c:pt idx="554">
                  <c:v>32541.4</c:v>
                </c:pt>
                <c:pt idx="555">
                  <c:v>33179.5</c:v>
                </c:pt>
                <c:pt idx="556">
                  <c:v>32959.9</c:v>
                </c:pt>
                <c:pt idx="557">
                  <c:v>32873.800000000003</c:v>
                </c:pt>
                <c:pt idx="558">
                  <c:v>32724.799999999999</c:v>
                </c:pt>
                <c:pt idx="559">
                  <c:v>33104.400000000001</c:v>
                </c:pt>
                <c:pt idx="560">
                  <c:v>33063.300000000003</c:v>
                </c:pt>
                <c:pt idx="561">
                  <c:v>31615.599999999999</c:v>
                </c:pt>
                <c:pt idx="562">
                  <c:v>31380.1</c:v>
                </c:pt>
                <c:pt idx="563">
                  <c:v>31478.3</c:v>
                </c:pt>
                <c:pt idx="564">
                  <c:v>31257.200000000001</c:v>
                </c:pt>
                <c:pt idx="565">
                  <c:v>30915.3</c:v>
                </c:pt>
                <c:pt idx="566">
                  <c:v>31215.9</c:v>
                </c:pt>
                <c:pt idx="567">
                  <c:v>31341.5</c:v>
                </c:pt>
                <c:pt idx="568">
                  <c:v>31375.200000000001</c:v>
                </c:pt>
                <c:pt idx="569">
                  <c:v>31338.1</c:v>
                </c:pt>
                <c:pt idx="570">
                  <c:v>31132.400000000001</c:v>
                </c:pt>
                <c:pt idx="571">
                  <c:v>31087.599999999999</c:v>
                </c:pt>
                <c:pt idx="572">
                  <c:v>30548.2</c:v>
                </c:pt>
                <c:pt idx="573">
                  <c:v>30969.4</c:v>
                </c:pt>
                <c:pt idx="574">
                  <c:v>30969.4</c:v>
                </c:pt>
                <c:pt idx="575">
                  <c:v>30969.4</c:v>
                </c:pt>
                <c:pt idx="576">
                  <c:v>30740.2</c:v>
                </c:pt>
                <c:pt idx="577">
                  <c:v>31022.7</c:v>
                </c:pt>
                <c:pt idx="578">
                  <c:v>30603.3</c:v>
                </c:pt>
                <c:pt idx="579">
                  <c:v>30598.2</c:v>
                </c:pt>
                <c:pt idx="580">
                  <c:v>30532.3</c:v>
                </c:pt>
                <c:pt idx="581">
                  <c:v>30532.3</c:v>
                </c:pt>
                <c:pt idx="582">
                  <c:v>30532.3</c:v>
                </c:pt>
                <c:pt idx="583">
                  <c:v>30993.7</c:v>
                </c:pt>
                <c:pt idx="584">
                  <c:v>31960.400000000001</c:v>
                </c:pt>
                <c:pt idx="585">
                  <c:v>31573.3</c:v>
                </c:pt>
                <c:pt idx="586">
                  <c:v>28632</c:v>
                </c:pt>
                <c:pt idx="587">
                  <c:v>28980.400000000001</c:v>
                </c:pt>
                <c:pt idx="588">
                  <c:v>28980.400000000001</c:v>
                </c:pt>
                <c:pt idx="589">
                  <c:v>28980.400000000001</c:v>
                </c:pt>
                <c:pt idx="590">
                  <c:v>29396.1</c:v>
                </c:pt>
                <c:pt idx="591">
                  <c:v>28221.8</c:v>
                </c:pt>
                <c:pt idx="592">
                  <c:v>28650.7</c:v>
                </c:pt>
                <c:pt idx="593">
                  <c:v>28450.1</c:v>
                </c:pt>
                <c:pt idx="594">
                  <c:v>28920</c:v>
                </c:pt>
                <c:pt idx="595">
                  <c:v>28920</c:v>
                </c:pt>
                <c:pt idx="596">
                  <c:v>28920</c:v>
                </c:pt>
                <c:pt idx="597">
                  <c:v>28919</c:v>
                </c:pt>
                <c:pt idx="598">
                  <c:v>28833.4</c:v>
                </c:pt>
                <c:pt idx="599">
                  <c:v>28503.200000000001</c:v>
                </c:pt>
                <c:pt idx="600">
                  <c:v>28462.400000000001</c:v>
                </c:pt>
                <c:pt idx="601">
                  <c:v>28760.1</c:v>
                </c:pt>
                <c:pt idx="602">
                  <c:v>28760.1</c:v>
                </c:pt>
                <c:pt idx="603">
                  <c:v>28760.1</c:v>
                </c:pt>
                <c:pt idx="604">
                  <c:v>28767.200000000001</c:v>
                </c:pt>
                <c:pt idx="605">
                  <c:v>29462.1</c:v>
                </c:pt>
                <c:pt idx="606">
                  <c:v>31006.400000000001</c:v>
                </c:pt>
                <c:pt idx="607">
                  <c:v>31532.400000000001</c:v>
                </c:pt>
                <c:pt idx="608">
                  <c:v>31393.599999999999</c:v>
                </c:pt>
                <c:pt idx="609">
                  <c:v>31393.599999999999</c:v>
                </c:pt>
                <c:pt idx="610">
                  <c:v>31393.599999999999</c:v>
                </c:pt>
                <c:pt idx="611">
                  <c:v>30733.599999999999</c:v>
                </c:pt>
                <c:pt idx="612">
                  <c:v>30961.5</c:v>
                </c:pt>
                <c:pt idx="613">
                  <c:v>31322.7</c:v>
                </c:pt>
                <c:pt idx="614">
                  <c:v>31928.6</c:v>
                </c:pt>
                <c:pt idx="615">
                  <c:v>32834.6</c:v>
                </c:pt>
                <c:pt idx="616">
                  <c:v>32834.6</c:v>
                </c:pt>
                <c:pt idx="617">
                  <c:v>32834.6</c:v>
                </c:pt>
                <c:pt idx="618">
                  <c:v>33186.1</c:v>
                </c:pt>
                <c:pt idx="619">
                  <c:v>33519.800000000003</c:v>
                </c:pt>
                <c:pt idx="620">
                  <c:v>34539</c:v>
                </c:pt>
                <c:pt idx="621">
                  <c:v>35125.199999999997</c:v>
                </c:pt>
                <c:pt idx="622">
                  <c:v>35374.199999999997</c:v>
                </c:pt>
                <c:pt idx="623">
                  <c:v>35374.199999999997</c:v>
                </c:pt>
                <c:pt idx="624">
                  <c:v>35374.199999999997</c:v>
                </c:pt>
                <c:pt idx="625">
                  <c:v>34930.5</c:v>
                </c:pt>
                <c:pt idx="626">
                  <c:v>34169</c:v>
                </c:pt>
                <c:pt idx="627">
                  <c:v>34145.1</c:v>
                </c:pt>
                <c:pt idx="628">
                  <c:v>34098.5</c:v>
                </c:pt>
                <c:pt idx="629">
                  <c:v>33985.800000000003</c:v>
                </c:pt>
                <c:pt idx="630">
                  <c:v>33985.800000000003</c:v>
                </c:pt>
                <c:pt idx="631">
                  <c:v>33985.800000000003</c:v>
                </c:pt>
                <c:pt idx="632">
                  <c:v>34011.199999999997</c:v>
                </c:pt>
                <c:pt idx="633">
                  <c:v>34774.199999999997</c:v>
                </c:pt>
                <c:pt idx="634">
                  <c:v>35215</c:v>
                </c:pt>
                <c:pt idx="635">
                  <c:v>35528.400000000001</c:v>
                </c:pt>
                <c:pt idx="636">
                  <c:v>35747</c:v>
                </c:pt>
                <c:pt idx="637">
                  <c:v>35747</c:v>
                </c:pt>
                <c:pt idx="638">
                  <c:v>35747</c:v>
                </c:pt>
                <c:pt idx="639">
                  <c:v>36136.800000000003</c:v>
                </c:pt>
                <c:pt idx="640">
                  <c:v>36304.6</c:v>
                </c:pt>
                <c:pt idx="641">
                  <c:v>36273.199999999997</c:v>
                </c:pt>
                <c:pt idx="642">
                  <c:v>35494.400000000001</c:v>
                </c:pt>
                <c:pt idx="643">
                  <c:v>35550.5</c:v>
                </c:pt>
                <c:pt idx="644">
                  <c:v>35550.5</c:v>
                </c:pt>
                <c:pt idx="645">
                  <c:v>35550.5</c:v>
                </c:pt>
                <c:pt idx="646">
                  <c:v>34450.300000000003</c:v>
                </c:pt>
                <c:pt idx="647">
                  <c:v>35599.9</c:v>
                </c:pt>
                <c:pt idx="648">
                  <c:v>34933.1</c:v>
                </c:pt>
                <c:pt idx="649">
                  <c:v>34488.1</c:v>
                </c:pt>
                <c:pt idx="650">
                  <c:v>34582.6</c:v>
                </c:pt>
                <c:pt idx="651">
                  <c:v>34582.6</c:v>
                </c:pt>
                <c:pt idx="652">
                  <c:v>34582.6</c:v>
                </c:pt>
                <c:pt idx="653">
                  <c:v>34669.800000000003</c:v>
                </c:pt>
                <c:pt idx="654">
                  <c:v>35208</c:v>
                </c:pt>
                <c:pt idx="655">
                  <c:v>35585.1</c:v>
                </c:pt>
                <c:pt idx="656">
                  <c:v>36161.599999999999</c:v>
                </c:pt>
                <c:pt idx="657">
                  <c:v>36426.800000000003</c:v>
                </c:pt>
                <c:pt idx="658">
                  <c:v>36426.800000000003</c:v>
                </c:pt>
                <c:pt idx="659">
                  <c:v>36426.800000000003</c:v>
                </c:pt>
                <c:pt idx="660">
                  <c:v>36910.5</c:v>
                </c:pt>
                <c:pt idx="661">
                  <c:v>35819.699999999997</c:v>
                </c:pt>
                <c:pt idx="662">
                  <c:v>36756.1</c:v>
                </c:pt>
                <c:pt idx="663">
                  <c:v>36167.599999999999</c:v>
                </c:pt>
                <c:pt idx="664">
                  <c:v>36109.300000000003</c:v>
                </c:pt>
                <c:pt idx="665">
                  <c:v>36109.300000000003</c:v>
                </c:pt>
                <c:pt idx="666">
                  <c:v>36109.300000000003</c:v>
                </c:pt>
                <c:pt idx="667">
                  <c:v>36938.5</c:v>
                </c:pt>
                <c:pt idx="668">
                  <c:v>36695.5</c:v>
                </c:pt>
                <c:pt idx="669">
                  <c:v>36498.800000000003</c:v>
                </c:pt>
                <c:pt idx="670">
                  <c:v>36411.1</c:v>
                </c:pt>
                <c:pt idx="671">
                  <c:v>36433.1</c:v>
                </c:pt>
                <c:pt idx="672">
                  <c:v>36433.1</c:v>
                </c:pt>
                <c:pt idx="673">
                  <c:v>36433.1</c:v>
                </c:pt>
                <c:pt idx="674">
                  <c:v>36459.800000000003</c:v>
                </c:pt>
                <c:pt idx="675">
                  <c:v>36887.199999999997</c:v>
                </c:pt>
                <c:pt idx="676">
                  <c:v>36937</c:v>
                </c:pt>
                <c:pt idx="677">
                  <c:v>37247.599999999999</c:v>
                </c:pt>
                <c:pt idx="678">
                  <c:v>37056</c:v>
                </c:pt>
                <c:pt idx="679">
                  <c:v>37056</c:v>
                </c:pt>
                <c:pt idx="680">
                  <c:v>37056</c:v>
                </c:pt>
                <c:pt idx="681">
                  <c:v>37434.9</c:v>
                </c:pt>
                <c:pt idx="682">
                  <c:v>37731</c:v>
                </c:pt>
                <c:pt idx="683">
                  <c:v>37439.9</c:v>
                </c:pt>
                <c:pt idx="684">
                  <c:v>36969.300000000003</c:v>
                </c:pt>
                <c:pt idx="685">
                  <c:v>36856.9</c:v>
                </c:pt>
                <c:pt idx="686">
                  <c:v>36856.9</c:v>
                </c:pt>
                <c:pt idx="687">
                  <c:v>36856.9</c:v>
                </c:pt>
                <c:pt idx="688">
                  <c:v>36964</c:v>
                </c:pt>
                <c:pt idx="689">
                  <c:v>36961.300000000003</c:v>
                </c:pt>
                <c:pt idx="690">
                  <c:v>36190.800000000003</c:v>
                </c:pt>
                <c:pt idx="691">
                  <c:v>35874.400000000001</c:v>
                </c:pt>
                <c:pt idx="692">
                  <c:v>35883.1</c:v>
                </c:pt>
                <c:pt idx="693">
                  <c:v>35883.1</c:v>
                </c:pt>
                <c:pt idx="694">
                  <c:v>35883.1</c:v>
                </c:pt>
                <c:pt idx="695">
                  <c:v>36115.1</c:v>
                </c:pt>
                <c:pt idx="696">
                  <c:v>36474.400000000001</c:v>
                </c:pt>
                <c:pt idx="697">
                  <c:v>36262</c:v>
                </c:pt>
                <c:pt idx="698">
                  <c:v>35770.199999999997</c:v>
                </c:pt>
                <c:pt idx="699">
                  <c:v>36263</c:v>
                </c:pt>
                <c:pt idx="700">
                  <c:v>36263</c:v>
                </c:pt>
                <c:pt idx="701">
                  <c:v>36263</c:v>
                </c:pt>
                <c:pt idx="702">
                  <c:v>35930.400000000001</c:v>
                </c:pt>
                <c:pt idx="703">
                  <c:v>34824.699999999997</c:v>
                </c:pt>
                <c:pt idx="704">
                  <c:v>35620.400000000001</c:v>
                </c:pt>
                <c:pt idx="705">
                  <c:v>35742.300000000003</c:v>
                </c:pt>
                <c:pt idx="706">
                  <c:v>36516</c:v>
                </c:pt>
                <c:pt idx="707">
                  <c:v>36516</c:v>
                </c:pt>
                <c:pt idx="708">
                  <c:v>36516</c:v>
                </c:pt>
                <c:pt idx="709">
                  <c:v>37027.1</c:v>
                </c:pt>
                <c:pt idx="710">
                  <c:v>37395.199999999997</c:v>
                </c:pt>
                <c:pt idx="711">
                  <c:v>37330.1</c:v>
                </c:pt>
                <c:pt idx="712">
                  <c:v>37525.699999999997</c:v>
                </c:pt>
                <c:pt idx="713">
                  <c:v>37507.4</c:v>
                </c:pt>
                <c:pt idx="714">
                  <c:v>37507.4</c:v>
                </c:pt>
                <c:pt idx="715">
                  <c:v>37507.4</c:v>
                </c:pt>
                <c:pt idx="716">
                  <c:v>37440.9</c:v>
                </c:pt>
                <c:pt idx="717">
                  <c:v>37185.9</c:v>
                </c:pt>
                <c:pt idx="718">
                  <c:v>37318.400000000001</c:v>
                </c:pt>
                <c:pt idx="719">
                  <c:v>37064.9</c:v>
                </c:pt>
                <c:pt idx="720">
                  <c:v>37198.300000000003</c:v>
                </c:pt>
                <c:pt idx="721">
                  <c:v>37198.300000000003</c:v>
                </c:pt>
                <c:pt idx="722">
                  <c:v>37198.300000000003</c:v>
                </c:pt>
                <c:pt idx="723">
                  <c:v>37007.300000000003</c:v>
                </c:pt>
                <c:pt idx="724">
                  <c:v>37126.9</c:v>
                </c:pt>
                <c:pt idx="725">
                  <c:v>36898.9</c:v>
                </c:pt>
                <c:pt idx="726">
                  <c:v>37437.9</c:v>
                </c:pt>
                <c:pt idx="727">
                  <c:v>37146.400000000001</c:v>
                </c:pt>
                <c:pt idx="728">
                  <c:v>36890.800000000003</c:v>
                </c:pt>
                <c:pt idx="729">
                  <c:v>37075.5</c:v>
                </c:pt>
                <c:pt idx="730">
                  <c:v>36938.1</c:v>
                </c:pt>
                <c:pt idx="731">
                  <c:v>36917.199999999997</c:v>
                </c:pt>
                <c:pt idx="732">
                  <c:v>36675.300000000003</c:v>
                </c:pt>
                <c:pt idx="733">
                  <c:v>36726.6</c:v>
                </c:pt>
                <c:pt idx="734">
                  <c:v>37147.699999999997</c:v>
                </c:pt>
                <c:pt idx="735">
                  <c:v>37162.800000000003</c:v>
                </c:pt>
                <c:pt idx="736">
                  <c:v>37501.5</c:v>
                </c:pt>
                <c:pt idx="737">
                  <c:v>37920.800000000003</c:v>
                </c:pt>
                <c:pt idx="738">
                  <c:v>37936.5</c:v>
                </c:pt>
                <c:pt idx="739">
                  <c:v>38077.199999999997</c:v>
                </c:pt>
                <c:pt idx="740">
                  <c:v>37985.800000000003</c:v>
                </c:pt>
                <c:pt idx="741">
                  <c:v>37706.800000000003</c:v>
                </c:pt>
                <c:pt idx="742">
                  <c:v>37836.699999999997</c:v>
                </c:pt>
                <c:pt idx="743">
                  <c:v>37773.4</c:v>
                </c:pt>
                <c:pt idx="744">
                  <c:v>37715.800000000003</c:v>
                </c:pt>
                <c:pt idx="745">
                  <c:v>37459.5</c:v>
                </c:pt>
                <c:pt idx="746">
                  <c:v>37812.5</c:v>
                </c:pt>
                <c:pt idx="747">
                  <c:v>38052.199999999997</c:v>
                </c:pt>
                <c:pt idx="748">
                  <c:v>38137.4</c:v>
                </c:pt>
                <c:pt idx="749">
                  <c:v>37781.199999999997</c:v>
                </c:pt>
                <c:pt idx="750">
                  <c:v>37530.800000000003</c:v>
                </c:pt>
                <c:pt idx="751">
                  <c:v>37558</c:v>
                </c:pt>
                <c:pt idx="752">
                  <c:v>37781.4</c:v>
                </c:pt>
                <c:pt idx="753">
                  <c:v>37866.5</c:v>
                </c:pt>
                <c:pt idx="754">
                  <c:v>37406.300000000003</c:v>
                </c:pt>
                <c:pt idx="755">
                  <c:v>36526.9</c:v>
                </c:pt>
                <c:pt idx="756">
                  <c:v>36716.6</c:v>
                </c:pt>
                <c:pt idx="757">
                  <c:v>37177.5</c:v>
                </c:pt>
                <c:pt idx="758">
                  <c:v>37373.300000000003</c:v>
                </c:pt>
                <c:pt idx="759">
                  <c:v>37306.1</c:v>
                </c:pt>
                <c:pt idx="760">
                  <c:v>37253.599999999999</c:v>
                </c:pt>
                <c:pt idx="761">
                  <c:v>37080.6</c:v>
                </c:pt>
                <c:pt idx="762">
                  <c:v>36781.300000000003</c:v>
                </c:pt>
                <c:pt idx="763">
                  <c:v>37160</c:v>
                </c:pt>
                <c:pt idx="764">
                  <c:v>37180.9</c:v>
                </c:pt>
                <c:pt idx="765">
                  <c:v>37370.9</c:v>
                </c:pt>
                <c:pt idx="766">
                  <c:v>36880.400000000001</c:v>
                </c:pt>
                <c:pt idx="767">
                  <c:v>36359.9</c:v>
                </c:pt>
                <c:pt idx="768">
                  <c:v>36489.599999999999</c:v>
                </c:pt>
                <c:pt idx="769">
                  <c:v>36079.9</c:v>
                </c:pt>
                <c:pt idx="770">
                  <c:v>36045.199999999997</c:v>
                </c:pt>
                <c:pt idx="771">
                  <c:v>36135.699999999997</c:v>
                </c:pt>
                <c:pt idx="772">
                  <c:v>36228</c:v>
                </c:pt>
                <c:pt idx="773">
                  <c:v>36544.5</c:v>
                </c:pt>
                <c:pt idx="774">
                  <c:v>36674.300000000003</c:v>
                </c:pt>
                <c:pt idx="775">
                  <c:v>36827.599999999999</c:v>
                </c:pt>
                <c:pt idx="776">
                  <c:v>36283.4</c:v>
                </c:pt>
                <c:pt idx="777">
                  <c:v>35977.800000000003</c:v>
                </c:pt>
                <c:pt idx="778">
                  <c:v>35856.5</c:v>
                </c:pt>
                <c:pt idx="779">
                  <c:v>35669.599999999999</c:v>
                </c:pt>
                <c:pt idx="780">
                  <c:v>36233.699999999997</c:v>
                </c:pt>
                <c:pt idx="781">
                  <c:v>36853.4</c:v>
                </c:pt>
                <c:pt idx="782">
                  <c:v>36817.599999999999</c:v>
                </c:pt>
                <c:pt idx="783">
                  <c:v>36784.6</c:v>
                </c:pt>
                <c:pt idx="784">
                  <c:v>36756.6</c:v>
                </c:pt>
                <c:pt idx="785">
                  <c:v>37316.199999999997</c:v>
                </c:pt>
                <c:pt idx="786">
                  <c:v>37768.6</c:v>
                </c:pt>
                <c:pt idx="787">
                  <c:v>38153.1</c:v>
                </c:pt>
                <c:pt idx="788">
                  <c:v>38069.4</c:v>
                </c:pt>
                <c:pt idx="789">
                  <c:v>37951</c:v>
                </c:pt>
                <c:pt idx="790">
                  <c:v>36870.9</c:v>
                </c:pt>
                <c:pt idx="791">
                  <c:v>37165.9</c:v>
                </c:pt>
                <c:pt idx="792">
                  <c:v>37795.599999999999</c:v>
                </c:pt>
                <c:pt idx="793">
                  <c:v>37481.300000000003</c:v>
                </c:pt>
                <c:pt idx="794">
                  <c:v>37723.1</c:v>
                </c:pt>
                <c:pt idx="795">
                  <c:v>37797.199999999997</c:v>
                </c:pt>
                <c:pt idx="796">
                  <c:v>37991.9</c:v>
                </c:pt>
                <c:pt idx="797">
                  <c:v>37819.1</c:v>
                </c:pt>
                <c:pt idx="798">
                  <c:v>38274.800000000003</c:v>
                </c:pt>
                <c:pt idx="799">
                  <c:v>37855.699999999997</c:v>
                </c:pt>
                <c:pt idx="800">
                  <c:v>37946.1</c:v>
                </c:pt>
                <c:pt idx="801">
                  <c:v>37738.1</c:v>
                </c:pt>
                <c:pt idx="802">
                  <c:v>37928.300000000003</c:v>
                </c:pt>
                <c:pt idx="803">
                  <c:v>37787.199999999997</c:v>
                </c:pt>
                <c:pt idx="804">
                  <c:v>37485.800000000003</c:v>
                </c:pt>
                <c:pt idx="805">
                  <c:v>37451.199999999997</c:v>
                </c:pt>
                <c:pt idx="806">
                  <c:v>37412.199999999997</c:v>
                </c:pt>
                <c:pt idx="807">
                  <c:v>37437</c:v>
                </c:pt>
                <c:pt idx="808">
                  <c:v>37421</c:v>
                </c:pt>
                <c:pt idx="809">
                  <c:v>37556.699999999997</c:v>
                </c:pt>
                <c:pt idx="810">
                  <c:v>37695.800000000003</c:v>
                </c:pt>
                <c:pt idx="811">
                  <c:v>37513.199999999997</c:v>
                </c:pt>
                <c:pt idx="812">
                  <c:v>37531.5</c:v>
                </c:pt>
                <c:pt idx="813">
                  <c:v>37686.800000000003</c:v>
                </c:pt>
                <c:pt idx="814">
                  <c:v>38081.5</c:v>
                </c:pt>
                <c:pt idx="815">
                  <c:v>38267.300000000003</c:v>
                </c:pt>
                <c:pt idx="816">
                  <c:v>38388.5</c:v>
                </c:pt>
                <c:pt idx="817">
                  <c:v>38546.5</c:v>
                </c:pt>
                <c:pt idx="818">
                  <c:v>38339.1</c:v>
                </c:pt>
                <c:pt idx="819">
                  <c:v>38341.4</c:v>
                </c:pt>
                <c:pt idx="820">
                  <c:v>37624.300000000003</c:v>
                </c:pt>
                <c:pt idx="821">
                  <c:v>37745.300000000003</c:v>
                </c:pt>
                <c:pt idx="822">
                  <c:v>37169.1</c:v>
                </c:pt>
                <c:pt idx="823">
                  <c:v>37039.9</c:v>
                </c:pt>
                <c:pt idx="824">
                  <c:v>36525.5</c:v>
                </c:pt>
                <c:pt idx="825">
                  <c:v>36416.199999999997</c:v>
                </c:pt>
                <c:pt idx="826">
                  <c:v>35962.699999999997</c:v>
                </c:pt>
                <c:pt idx="827">
                  <c:v>35729.4</c:v>
                </c:pt>
                <c:pt idx="828">
                  <c:v>35614.300000000003</c:v>
                </c:pt>
                <c:pt idx="829">
                  <c:v>35803.300000000003</c:v>
                </c:pt>
                <c:pt idx="830">
                  <c:v>35579.9</c:v>
                </c:pt>
                <c:pt idx="831">
                  <c:v>35531.699999999997</c:v>
                </c:pt>
                <c:pt idx="832">
                  <c:v>35054.6</c:v>
                </c:pt>
                <c:pt idx="833">
                  <c:v>35140.199999999997</c:v>
                </c:pt>
                <c:pt idx="834">
                  <c:v>35416.9</c:v>
                </c:pt>
                <c:pt idx="835">
                  <c:v>35454.300000000003</c:v>
                </c:pt>
                <c:pt idx="836">
                  <c:v>35427.199999999997</c:v>
                </c:pt>
                <c:pt idx="837">
                  <c:v>35623.5</c:v>
                </c:pt>
                <c:pt idx="838">
                  <c:v>35851.300000000003</c:v>
                </c:pt>
                <c:pt idx="839">
                  <c:v>35901.199999999997</c:v>
                </c:pt>
                <c:pt idx="840">
                  <c:v>35714.1</c:v>
                </c:pt>
                <c:pt idx="841">
                  <c:v>36061.599999999999</c:v>
                </c:pt>
                <c:pt idx="842">
                  <c:v>36136.9</c:v>
                </c:pt>
                <c:pt idx="843">
                  <c:v>36120.1</c:v>
                </c:pt>
                <c:pt idx="844">
                  <c:v>36290.199999999997</c:v>
                </c:pt>
                <c:pt idx="845">
                  <c:v>36465.800000000003</c:v>
                </c:pt>
                <c:pt idx="846">
                  <c:v>36768.800000000003</c:v>
                </c:pt>
                <c:pt idx="847">
                  <c:v>36918.300000000003</c:v>
                </c:pt>
                <c:pt idx="848">
                  <c:v>37055.300000000003</c:v>
                </c:pt>
                <c:pt idx="849">
                  <c:v>37431.800000000003</c:v>
                </c:pt>
                <c:pt idx="850">
                  <c:v>37377.300000000003</c:v>
                </c:pt>
                <c:pt idx="851">
                  <c:v>36884.9</c:v>
                </c:pt>
                <c:pt idx="852">
                  <c:v>36334.400000000001</c:v>
                </c:pt>
                <c:pt idx="853">
                  <c:v>36999.9</c:v>
                </c:pt>
                <c:pt idx="854">
                  <c:v>37378.5</c:v>
                </c:pt>
                <c:pt idx="855">
                  <c:v>37661.599999999999</c:v>
                </c:pt>
                <c:pt idx="856">
                  <c:v>38148.300000000003</c:v>
                </c:pt>
                <c:pt idx="857">
                  <c:v>38241</c:v>
                </c:pt>
                <c:pt idx="858">
                  <c:v>38498.9</c:v>
                </c:pt>
                <c:pt idx="859">
                  <c:v>38656.199999999997</c:v>
                </c:pt>
                <c:pt idx="860">
                  <c:v>38485.199999999997</c:v>
                </c:pt>
                <c:pt idx="861">
                  <c:v>38542.1</c:v>
                </c:pt>
                <c:pt idx="862">
                  <c:v>39163.9</c:v>
                </c:pt>
                <c:pt idx="863">
                  <c:v>39226.699999999997</c:v>
                </c:pt>
                <c:pt idx="864">
                  <c:v>39525</c:v>
                </c:pt>
                <c:pt idx="865">
                  <c:v>39494.6</c:v>
                </c:pt>
                <c:pt idx="866">
                  <c:v>39821.1</c:v>
                </c:pt>
                <c:pt idx="867">
                  <c:v>40027.699999999997</c:v>
                </c:pt>
                <c:pt idx="868">
                  <c:v>40435</c:v>
                </c:pt>
                <c:pt idx="869">
                  <c:v>40531.4</c:v>
                </c:pt>
                <c:pt idx="870">
                  <c:v>40746.699999999997</c:v>
                </c:pt>
                <c:pt idx="871">
                  <c:v>40796.400000000001</c:v>
                </c:pt>
                <c:pt idx="872">
                  <c:v>40289.199999999997</c:v>
                </c:pt>
                <c:pt idx="873">
                  <c:v>40006.080000000002</c:v>
                </c:pt>
                <c:pt idx="874">
                  <c:v>39796.92</c:v>
                </c:pt>
                <c:pt idx="875">
                  <c:v>39809.21</c:v>
                </c:pt>
                <c:pt idx="876">
                  <c:v>39787.86</c:v>
                </c:pt>
                <c:pt idx="877">
                  <c:v>39798.33</c:v>
                </c:pt>
                <c:pt idx="878">
                  <c:v>39623.58</c:v>
                </c:pt>
                <c:pt idx="879">
                  <c:v>39711.910000000003</c:v>
                </c:pt>
                <c:pt idx="880">
                  <c:v>39400.730000000003</c:v>
                </c:pt>
                <c:pt idx="881">
                  <c:v>40067.300000000003</c:v>
                </c:pt>
                <c:pt idx="882">
                  <c:v>39690.720000000001</c:v>
                </c:pt>
                <c:pt idx="883">
                  <c:v>39970.15</c:v>
                </c:pt>
                <c:pt idx="884">
                  <c:v>40246.120000000003</c:v>
                </c:pt>
                <c:pt idx="885">
                  <c:v>39958.97</c:v>
                </c:pt>
                <c:pt idx="886">
                  <c:v>39996.29</c:v>
                </c:pt>
                <c:pt idx="887">
                  <c:v>40142.400000000001</c:v>
                </c:pt>
                <c:pt idx="888">
                  <c:v>39929.65</c:v>
                </c:pt>
                <c:pt idx="889">
                  <c:v>39860.49</c:v>
                </c:pt>
                <c:pt idx="890">
                  <c:v>40199.410000000003</c:v>
                </c:pt>
                <c:pt idx="891">
                  <c:v>40511.24</c:v>
                </c:pt>
                <c:pt idx="892">
                  <c:v>40446.26</c:v>
                </c:pt>
                <c:pt idx="893">
                  <c:v>40738.36</c:v>
                </c:pt>
                <c:pt idx="894">
                  <c:v>40759.15</c:v>
                </c:pt>
                <c:pt idx="895">
                  <c:v>40397.03</c:v>
                </c:pt>
                <c:pt idx="896">
                  <c:v>40755.360000000001</c:v>
                </c:pt>
                <c:pt idx="897">
                  <c:v>40845.360000000001</c:v>
                </c:pt>
                <c:pt idx="898">
                  <c:v>41152.83</c:v>
                </c:pt>
                <c:pt idx="899">
                  <c:v>41007.769999999997</c:v>
                </c:pt>
                <c:pt idx="900">
                  <c:v>40850.269999999997</c:v>
                </c:pt>
                <c:pt idx="901">
                  <c:v>40801.94</c:v>
                </c:pt>
                <c:pt idx="902">
                  <c:v>40882.26</c:v>
                </c:pt>
                <c:pt idx="903">
                  <c:v>41025.19</c:v>
                </c:pt>
                <c:pt idx="904">
                  <c:v>41091.919999999998</c:v>
                </c:pt>
                <c:pt idx="905">
                  <c:v>42034.22</c:v>
                </c:pt>
                <c:pt idx="906">
                  <c:v>42140.91</c:v>
                </c:pt>
                <c:pt idx="907">
                  <c:v>42273.27</c:v>
                </c:pt>
                <c:pt idx="908">
                  <c:v>41783.480000000003</c:v>
                </c:pt>
                <c:pt idx="909">
                  <c:v>41582.449999999997</c:v>
                </c:pt>
                <c:pt idx="910">
                  <c:v>41122.53</c:v>
                </c:pt>
                <c:pt idx="911">
                  <c:v>40999.75</c:v>
                </c:pt>
                <c:pt idx="912">
                  <c:v>40907.78</c:v>
                </c:pt>
                <c:pt idx="913">
                  <c:v>40158.85</c:v>
                </c:pt>
                <c:pt idx="914">
                  <c:v>39900.559999999998</c:v>
                </c:pt>
                <c:pt idx="915">
                  <c:v>39950.26</c:v>
                </c:pt>
                <c:pt idx="916">
                  <c:v>40434.07</c:v>
                </c:pt>
                <c:pt idx="917">
                  <c:v>40062.46</c:v>
                </c:pt>
                <c:pt idx="918">
                  <c:v>40581.699999999997</c:v>
                </c:pt>
                <c:pt idx="919">
                  <c:v>40160.54</c:v>
                </c:pt>
                <c:pt idx="920">
                  <c:v>40043.480000000003</c:v>
                </c:pt>
                <c:pt idx="921">
                  <c:v>40074.99</c:v>
                </c:pt>
                <c:pt idx="922">
                  <c:v>40304.720000000001</c:v>
                </c:pt>
                <c:pt idx="923">
                  <c:v>40148.81</c:v>
                </c:pt>
                <c:pt idx="924">
                  <c:v>39487.86</c:v>
                </c:pt>
                <c:pt idx="925">
                  <c:v>39553.54</c:v>
                </c:pt>
                <c:pt idx="926">
                  <c:v>38837.480000000003</c:v>
                </c:pt>
                <c:pt idx="927">
                  <c:v>38614.449999999997</c:v>
                </c:pt>
                <c:pt idx="928">
                  <c:v>38875.730000000003</c:v>
                </c:pt>
                <c:pt idx="929">
                  <c:v>38132.870000000003</c:v>
                </c:pt>
                <c:pt idx="930">
                  <c:v>38433.69</c:v>
                </c:pt>
                <c:pt idx="931">
                  <c:v>39707.050000000003</c:v>
                </c:pt>
                <c:pt idx="932">
                  <c:v>39030.410000000003</c:v>
                </c:pt>
                <c:pt idx="933">
                  <c:v>39703.64</c:v>
                </c:pt>
                <c:pt idx="934">
                  <c:v>39238.870000000003</c:v>
                </c:pt>
                <c:pt idx="935">
                  <c:v>39107.230000000003</c:v>
                </c:pt>
                <c:pt idx="936">
                  <c:v>39610.92</c:v>
                </c:pt>
                <c:pt idx="937">
                  <c:v>39857.39</c:v>
                </c:pt>
                <c:pt idx="938">
                  <c:v>40060.78</c:v>
                </c:pt>
                <c:pt idx="939">
                  <c:v>40082.949999999997</c:v>
                </c:pt>
                <c:pt idx="940">
                  <c:v>40293.1</c:v>
                </c:pt>
                <c:pt idx="941">
                  <c:v>40910.28</c:v>
                </c:pt>
                <c:pt idx="942">
                  <c:v>40738.5</c:v>
                </c:pt>
                <c:pt idx="943">
                  <c:v>40903.21</c:v>
                </c:pt>
                <c:pt idx="944">
                  <c:v>41165.089999999997</c:v>
                </c:pt>
                <c:pt idx="945">
                  <c:v>40843.910000000003</c:v>
                </c:pt>
                <c:pt idx="946">
                  <c:v>40570.559999999998</c:v>
                </c:pt>
                <c:pt idx="947">
                  <c:v>40603.89</c:v>
                </c:pt>
                <c:pt idx="948">
                  <c:v>40366.75</c:v>
                </c:pt>
                <c:pt idx="949">
                  <c:v>40615.81</c:v>
                </c:pt>
                <c:pt idx="950">
                  <c:v>40577.96</c:v>
                </c:pt>
                <c:pt idx="951">
                  <c:v>40874.410000000003</c:v>
                </c:pt>
                <c:pt idx="952">
                  <c:v>41376.949999999997</c:v>
                </c:pt>
                <c:pt idx="953">
                  <c:v>41295.32</c:v>
                </c:pt>
                <c:pt idx="954">
                  <c:v>40993.03</c:v>
                </c:pt>
                <c:pt idx="955">
                  <c:v>40949.43</c:v>
                </c:pt>
                <c:pt idx="956">
                  <c:v>41003.64</c:v>
                </c:pt>
                <c:pt idx="957">
                  <c:v>40990.31</c:v>
                </c:pt>
                <c:pt idx="958">
                  <c:v>41135.64</c:v>
                </c:pt>
                <c:pt idx="959">
                  <c:v>41207.54</c:v>
                </c:pt>
                <c:pt idx="960">
                  <c:v>41169.32</c:v>
                </c:pt>
                <c:pt idx="961">
                  <c:v>41309.49</c:v>
                </c:pt>
                <c:pt idx="962">
                  <c:v>41277.839999999997</c:v>
                </c:pt>
                <c:pt idx="963">
                  <c:v>41144.36</c:v>
                </c:pt>
                <c:pt idx="964">
                  <c:v>41343.54</c:v>
                </c:pt>
                <c:pt idx="965">
                  <c:v>40375.379999999997</c:v>
                </c:pt>
                <c:pt idx="966">
                  <c:v>40809.519999999997</c:v>
                </c:pt>
                <c:pt idx="967">
                  <c:v>40384.639999999999</c:v>
                </c:pt>
                <c:pt idx="968">
                  <c:v>40412.050000000003</c:v>
                </c:pt>
                <c:pt idx="969">
                  <c:v>40197.11</c:v>
                </c:pt>
                <c:pt idx="970">
                  <c:v>40465.379999999997</c:v>
                </c:pt>
                <c:pt idx="971">
                  <c:v>40447.56</c:v>
                </c:pt>
                <c:pt idx="972">
                  <c:v>40405.35</c:v>
                </c:pt>
                <c:pt idx="973">
                  <c:v>40563.269999999997</c:v>
                </c:pt>
                <c:pt idx="974">
                  <c:v>40573.71</c:v>
                </c:pt>
                <c:pt idx="975">
                  <c:v>40901.800000000003</c:v>
                </c:pt>
                <c:pt idx="976">
                  <c:v>40627.35</c:v>
                </c:pt>
                <c:pt idx="977">
                  <c:v>40592.18</c:v>
                </c:pt>
                <c:pt idx="978">
                  <c:v>40403.699999999997</c:v>
                </c:pt>
                <c:pt idx="979">
                  <c:v>40438.519999999997</c:v>
                </c:pt>
                <c:pt idx="980">
                  <c:v>40438.519999999997</c:v>
                </c:pt>
                <c:pt idx="981">
                  <c:v>40352.946671553509</c:v>
                </c:pt>
                <c:pt idx="982">
                  <c:v>39737.494175810731</c:v>
                </c:pt>
                <c:pt idx="983">
                  <c:v>39677.749648598605</c:v>
                </c:pt>
                <c:pt idx="984">
                  <c:v>40110.112993399074</c:v>
                </c:pt>
                <c:pt idx="985">
                  <c:v>40279.996643507126</c:v>
                </c:pt>
                <c:pt idx="986">
                  <c:v>40189.056031283137</c:v>
                </c:pt>
                <c:pt idx="987">
                  <c:v>40043.112880468543</c:v>
                </c:pt>
                <c:pt idx="988">
                  <c:v>40148.763987512022</c:v>
                </c:pt>
                <c:pt idx="989">
                  <c:v>40610.957278204194</c:v>
                </c:pt>
                <c:pt idx="990">
                  <c:v>40334.366152764262</c:v>
                </c:pt>
                <c:pt idx="991">
                  <c:v>40614.219819285005</c:v>
                </c:pt>
                <c:pt idx="992">
                  <c:v>40869.754610655698</c:v>
                </c:pt>
                <c:pt idx="993">
                  <c:v>40805.450042140277</c:v>
                </c:pt>
                <c:pt idx="994">
                  <c:v>40845.117577501602</c:v>
                </c:pt>
                <c:pt idx="995">
                  <c:v>41126.088443487068</c:v>
                </c:pt>
                <c:pt idx="996">
                  <c:v>40818.293380068564</c:v>
                </c:pt>
                <c:pt idx="997">
                  <c:v>40900.926221202419</c:v>
                </c:pt>
                <c:pt idx="998">
                  <c:v>41239.162689114193</c:v>
                </c:pt>
                <c:pt idx="999">
                  <c:v>41320.414538083613</c:v>
                </c:pt>
                <c:pt idx="1000">
                  <c:v>41796.535349697369</c:v>
                </c:pt>
                <c:pt idx="1001">
                  <c:v>41990.652258208516</c:v>
                </c:pt>
                <c:pt idx="1002">
                  <c:v>41786.071674667633</c:v>
                </c:pt>
                <c:pt idx="1003">
                  <c:v>41795.765514123457</c:v>
                </c:pt>
                <c:pt idx="1004">
                  <c:v>42293.720279703222</c:v>
                </c:pt>
                <c:pt idx="1005">
                  <c:v>42368.710326414657</c:v>
                </c:pt>
                <c:pt idx="1006">
                  <c:v>41971.865405752542</c:v>
                </c:pt>
                <c:pt idx="1007">
                  <c:v>42446.131449626526</c:v>
                </c:pt>
                <c:pt idx="1008">
                  <c:v>42580.668212908509</c:v>
                </c:pt>
                <c:pt idx="1009">
                  <c:v>42418.13845428174</c:v>
                </c:pt>
                <c:pt idx="1010">
                  <c:v>41642.744757117638</c:v>
                </c:pt>
                <c:pt idx="1011">
                  <c:v>41828.927350142621</c:v>
                </c:pt>
                <c:pt idx="1012">
                  <c:v>41938.667168657281</c:v>
                </c:pt>
                <c:pt idx="1013">
                  <c:v>41996.561085137961</c:v>
                </c:pt>
                <c:pt idx="1014">
                  <c:v>42438.760751064183</c:v>
                </c:pt>
                <c:pt idx="1015">
                  <c:v>42236.263256696693</c:v>
                </c:pt>
                <c:pt idx="1016">
                  <c:v>42512.936441248647</c:v>
                </c:pt>
                <c:pt idx="1017">
                  <c:v>42302.098057882424</c:v>
                </c:pt>
                <c:pt idx="1018">
                  <c:v>42596.265483342868</c:v>
                </c:pt>
                <c:pt idx="1019">
                  <c:v>42149.762447494402</c:v>
                </c:pt>
                <c:pt idx="1020">
                  <c:v>42645.529018390662</c:v>
                </c:pt>
                <c:pt idx="1021">
                  <c:v>43043.342943176038</c:v>
                </c:pt>
                <c:pt idx="1022">
                  <c:v>43599.906794541384</c:v>
                </c:pt>
                <c:pt idx="1023">
                  <c:v>43674.684937519982</c:v>
                </c:pt>
                <c:pt idx="1024">
                  <c:v>44263.356564254129</c:v>
                </c:pt>
                <c:pt idx="1025">
                  <c:v>43101.405734783788</c:v>
                </c:pt>
                <c:pt idx="1026">
                  <c:v>43374.939629606357</c:v>
                </c:pt>
                <c:pt idx="1027">
                  <c:v>43677.89027987804</c:v>
                </c:pt>
                <c:pt idx="1028">
                  <c:v>43653.857495888762</c:v>
                </c:pt>
                <c:pt idx="1029">
                  <c:v>44127.771077635225</c:v>
                </c:pt>
                <c:pt idx="1030">
                  <c:v>44009.68256212597</c:v>
                </c:pt>
                <c:pt idx="1031">
                  <c:v>44180.691832120079</c:v>
                </c:pt>
                <c:pt idx="1032">
                  <c:v>43929.998089052911</c:v>
                </c:pt>
                <c:pt idx="1033">
                  <c:v>44026.541783832632</c:v>
                </c:pt>
                <c:pt idx="1034">
                  <c:v>44611.363650963191</c:v>
                </c:pt>
                <c:pt idx="1035">
                  <c:v>44649.924055474519</c:v>
                </c:pt>
                <c:pt idx="1036">
                  <c:v>44628.107709823249</c:v>
                </c:pt>
                <c:pt idx="1037">
                  <c:v>45071.039962257266</c:v>
                </c:pt>
                <c:pt idx="1038">
                  <c:v>45204.202089034443</c:v>
                </c:pt>
                <c:pt idx="1039">
                  <c:v>45023.025150819674</c:v>
                </c:pt>
                <c:pt idx="1040">
                  <c:v>44841.930661155311</c:v>
                </c:pt>
                <c:pt idx="1041">
                  <c:v>45150.118589668644</c:v>
                </c:pt>
                <c:pt idx="1042">
                  <c:v>45514.941679417025</c:v>
                </c:pt>
                <c:pt idx="1043">
                  <c:v>45684.350252852666</c:v>
                </c:pt>
                <c:pt idx="1044">
                  <c:v>45838.794309709498</c:v>
                </c:pt>
                <c:pt idx="1045">
                  <c:v>46294.773584530536</c:v>
                </c:pt>
                <c:pt idx="1046">
                  <c:v>46736.034685197199</c:v>
                </c:pt>
                <c:pt idx="1047">
                  <c:v>46586.428393185757</c:v>
                </c:pt>
                <c:pt idx="1048">
                  <c:v>46463.528641832017</c:v>
                </c:pt>
                <c:pt idx="1049">
                  <c:v>46229.531505750478</c:v>
                </c:pt>
                <c:pt idx="1050">
                  <c:v>45984.53910648459</c:v>
                </c:pt>
                <c:pt idx="1051">
                  <c:v>46280.794683864966</c:v>
                </c:pt>
                <c:pt idx="1052">
                  <c:v>46331.992974081266</c:v>
                </c:pt>
                <c:pt idx="1053">
                  <c:v>46198.480513998933</c:v>
                </c:pt>
                <c:pt idx="1054">
                  <c:v>47034.900507090657</c:v>
                </c:pt>
                <c:pt idx="1055">
                  <c:v>47453.950967606659</c:v>
                </c:pt>
                <c:pt idx="1056">
                  <c:v>47000.930053995304</c:v>
                </c:pt>
                <c:pt idx="1057">
                  <c:v>47345.006904979513</c:v>
                </c:pt>
                <c:pt idx="1058">
                  <c:v>47249.219423912204</c:v>
                </c:pt>
                <c:pt idx="1059">
                  <c:v>47604.128740586879</c:v>
                </c:pt>
                <c:pt idx="1060">
                  <c:v>47072.985472633067</c:v>
                </c:pt>
                <c:pt idx="1061">
                  <c:v>46718.288841163812</c:v>
                </c:pt>
                <c:pt idx="1062">
                  <c:v>47016.758016553591</c:v>
                </c:pt>
                <c:pt idx="1063">
                  <c:v>46770.24041878037</c:v>
                </c:pt>
                <c:pt idx="1064">
                  <c:v>46912.909533710932</c:v>
                </c:pt>
                <c:pt idx="1065">
                  <c:v>47423.788167207051</c:v>
                </c:pt>
                <c:pt idx="1066">
                  <c:v>46974.224806633196</c:v>
                </c:pt>
                <c:pt idx="1067">
                  <c:v>47094.841930417853</c:v>
                </c:pt>
                <c:pt idx="1068">
                  <c:v>47142.19148993132</c:v>
                </c:pt>
                <c:pt idx="1069">
                  <c:v>47381.870347742122</c:v>
                </c:pt>
                <c:pt idx="1070">
                  <c:v>47236.895424564849</c:v>
                </c:pt>
                <c:pt idx="1071">
                  <c:v>47286.031363287868</c:v>
                </c:pt>
                <c:pt idx="1072">
                  <c:v>47318.946693035803</c:v>
                </c:pt>
                <c:pt idx="1073">
                  <c:v>46908.220734016606</c:v>
                </c:pt>
                <c:pt idx="1074">
                  <c:v>47056.409750300969</c:v>
                </c:pt>
                <c:pt idx="1075">
                  <c:v>47346.537776243014</c:v>
                </c:pt>
                <c:pt idx="1076">
                  <c:v>48572.178094033981</c:v>
                </c:pt>
                <c:pt idx="1077">
                  <c:v>48654.670170258731</c:v>
                </c:pt>
                <c:pt idx="1078">
                  <c:v>48912.724992770032</c:v>
                </c:pt>
                <c:pt idx="1079">
                  <c:v>49134.942715648896</c:v>
                </c:pt>
                <c:pt idx="1080">
                  <c:v>48593.179167464987</c:v>
                </c:pt>
                <c:pt idx="1081">
                  <c:v>48122.813429229485</c:v>
                </c:pt>
                <c:pt idx="1082">
                  <c:v>48087.639360324683</c:v>
                </c:pt>
                <c:pt idx="1083">
                  <c:v>48407.637540282878</c:v>
                </c:pt>
                <c:pt idx="1084">
                  <c:v>48431.47965223722</c:v>
                </c:pt>
                <c:pt idx="1085">
                  <c:v>48472.384371728011</c:v>
                </c:pt>
                <c:pt idx="1086">
                  <c:v>48899.949467155297</c:v>
                </c:pt>
                <c:pt idx="1087">
                  <c:v>48772.674591421412</c:v>
                </c:pt>
                <c:pt idx="1088">
                  <c:v>49142.143034558219</c:v>
                </c:pt>
                <c:pt idx="1089">
                  <c:v>48767.628535246346</c:v>
                </c:pt>
                <c:pt idx="1090">
                  <c:v>48863.615634327303</c:v>
                </c:pt>
                <c:pt idx="1091">
                  <c:v>49106.644387124485</c:v>
                </c:pt>
                <c:pt idx="1092">
                  <c:v>49212.353793740156</c:v>
                </c:pt>
                <c:pt idx="1093">
                  <c:v>49048.784930256013</c:v>
                </c:pt>
                <c:pt idx="1094">
                  <c:v>49262.224574832057</c:v>
                </c:pt>
                <c:pt idx="1095">
                  <c:v>49012.862105713895</c:v>
                </c:pt>
                <c:pt idx="1096">
                  <c:v>49292.016464111017</c:v>
                </c:pt>
                <c:pt idx="1097">
                  <c:v>49437.374426647162</c:v>
                </c:pt>
                <c:pt idx="1098">
                  <c:v>49108.129595779683</c:v>
                </c:pt>
                <c:pt idx="1099">
                  <c:v>49137.798431597104</c:v>
                </c:pt>
                <c:pt idx="1100">
                  <c:v>49246.240294461633</c:v>
                </c:pt>
                <c:pt idx="1101">
                  <c:v>48905.006455463896</c:v>
                </c:pt>
                <c:pt idx="1102">
                  <c:v>48479.819694840349</c:v>
                </c:pt>
                <c:pt idx="1103">
                  <c:v>47620.813629010561</c:v>
                </c:pt>
                <c:pt idx="1104">
                  <c:v>48386.956286024229</c:v>
                </c:pt>
                <c:pt idx="1105">
                  <c:v>48089.69805406758</c:v>
                </c:pt>
                <c:pt idx="1106">
                  <c:v>47564.724580643167</c:v>
                </c:pt>
                <c:pt idx="1107">
                  <c:v>47263.138505728064</c:v>
                </c:pt>
                <c:pt idx="1108">
                  <c:v>47415.908938309396</c:v>
                </c:pt>
                <c:pt idx="1109">
                  <c:v>47800.522928752631</c:v>
                </c:pt>
                <c:pt idx="1110">
                  <c:v>47667.55677073347</c:v>
                </c:pt>
                <c:pt idx="1111">
                  <c:v>48289.783267598861</c:v>
                </c:pt>
                <c:pt idx="1112">
                  <c:v>48637.269032884142</c:v>
                </c:pt>
                <c:pt idx="1113">
                  <c:v>49221.269420561774</c:v>
                </c:pt>
                <c:pt idx="1114">
                  <c:v>49749.156430734482</c:v>
                </c:pt>
                <c:pt idx="1115">
                  <c:v>48897.829810954558</c:v>
                </c:pt>
                <c:pt idx="1116">
                  <c:v>48588.552366154938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84-4424-BA06-9FA9DB80C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310624"/>
        <c:axId val="1371508047"/>
      </c:lineChart>
      <c:dateAx>
        <c:axId val="1166310624"/>
        <c:scaling>
          <c:orientation val="minMax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371508047"/>
        <c:crosses val="autoZero"/>
        <c:auto val="0"/>
        <c:lblOffset val="100"/>
        <c:baseTimeUnit val="days"/>
        <c:majorUnit val="30"/>
        <c:majorTimeUnit val="months"/>
      </c:dateAx>
      <c:valAx>
        <c:axId val="13715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16631062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'TOTAL DAILY'!$J$1</c:f>
              <c:strCache>
                <c:ptCount val="1"/>
                <c:pt idx="0">
                  <c:v>Performance (EUR)</c:v>
                </c:pt>
              </c:strCache>
            </c:strRef>
          </c:tx>
          <c:spPr>
            <a:ln w="28575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'TOTAL DAILY'!$I$2:$I$150</c:f>
              <c:numCache>
                <c:formatCode>m/d/yy</c:formatCode>
                <c:ptCount val="149"/>
                <c:pt idx="0">
                  <c:v>45775</c:v>
                </c:pt>
                <c:pt idx="1">
                  <c:v>45776</c:v>
                </c:pt>
                <c:pt idx="2">
                  <c:v>45777</c:v>
                </c:pt>
                <c:pt idx="3">
                  <c:v>45778</c:v>
                </c:pt>
                <c:pt idx="4">
                  <c:v>45779</c:v>
                </c:pt>
                <c:pt idx="5">
                  <c:v>45782</c:v>
                </c:pt>
                <c:pt idx="6">
                  <c:v>45783</c:v>
                </c:pt>
                <c:pt idx="7">
                  <c:v>45784</c:v>
                </c:pt>
                <c:pt idx="8">
                  <c:v>45785</c:v>
                </c:pt>
                <c:pt idx="9">
                  <c:v>45786</c:v>
                </c:pt>
                <c:pt idx="10">
                  <c:v>45789</c:v>
                </c:pt>
                <c:pt idx="11">
                  <c:v>45790</c:v>
                </c:pt>
                <c:pt idx="12">
                  <c:v>45791</c:v>
                </c:pt>
                <c:pt idx="13">
                  <c:v>45792</c:v>
                </c:pt>
                <c:pt idx="14">
                  <c:v>45793</c:v>
                </c:pt>
                <c:pt idx="15">
                  <c:v>45796</c:v>
                </c:pt>
                <c:pt idx="16">
                  <c:v>45797</c:v>
                </c:pt>
                <c:pt idx="17">
                  <c:v>45798</c:v>
                </c:pt>
                <c:pt idx="18">
                  <c:v>45799</c:v>
                </c:pt>
                <c:pt idx="19">
                  <c:v>45800</c:v>
                </c:pt>
                <c:pt idx="20">
                  <c:v>45804</c:v>
                </c:pt>
                <c:pt idx="21">
                  <c:v>45805</c:v>
                </c:pt>
                <c:pt idx="22">
                  <c:v>45806</c:v>
                </c:pt>
                <c:pt idx="23">
                  <c:v>45807</c:v>
                </c:pt>
                <c:pt idx="24">
                  <c:v>45810</c:v>
                </c:pt>
                <c:pt idx="25">
                  <c:v>45811</c:v>
                </c:pt>
                <c:pt idx="26">
                  <c:v>45812</c:v>
                </c:pt>
                <c:pt idx="27">
                  <c:v>45813</c:v>
                </c:pt>
                <c:pt idx="28">
                  <c:v>45814</c:v>
                </c:pt>
                <c:pt idx="29">
                  <c:v>45817</c:v>
                </c:pt>
                <c:pt idx="30">
                  <c:v>45818</c:v>
                </c:pt>
                <c:pt idx="31">
                  <c:v>45819</c:v>
                </c:pt>
                <c:pt idx="32">
                  <c:v>45820</c:v>
                </c:pt>
                <c:pt idx="33">
                  <c:v>45821</c:v>
                </c:pt>
                <c:pt idx="34">
                  <c:v>45824</c:v>
                </c:pt>
                <c:pt idx="35">
                  <c:v>45825</c:v>
                </c:pt>
                <c:pt idx="36">
                  <c:v>45826</c:v>
                </c:pt>
                <c:pt idx="37">
                  <c:v>45827</c:v>
                </c:pt>
                <c:pt idx="38">
                  <c:v>45828</c:v>
                </c:pt>
                <c:pt idx="39">
                  <c:v>45831</c:v>
                </c:pt>
                <c:pt idx="40">
                  <c:v>45832</c:v>
                </c:pt>
                <c:pt idx="41">
                  <c:v>45833</c:v>
                </c:pt>
                <c:pt idx="42">
                  <c:v>45834</c:v>
                </c:pt>
                <c:pt idx="43">
                  <c:v>45835</c:v>
                </c:pt>
                <c:pt idx="44">
                  <c:v>45838</c:v>
                </c:pt>
                <c:pt idx="45">
                  <c:v>45839</c:v>
                </c:pt>
                <c:pt idx="46">
                  <c:v>45840</c:v>
                </c:pt>
                <c:pt idx="47">
                  <c:v>45841</c:v>
                </c:pt>
                <c:pt idx="48">
                  <c:v>45842</c:v>
                </c:pt>
                <c:pt idx="49">
                  <c:v>45845</c:v>
                </c:pt>
                <c:pt idx="50">
                  <c:v>45846</c:v>
                </c:pt>
                <c:pt idx="51">
                  <c:v>45847</c:v>
                </c:pt>
                <c:pt idx="52">
                  <c:v>45848</c:v>
                </c:pt>
                <c:pt idx="53">
                  <c:v>45849</c:v>
                </c:pt>
                <c:pt idx="54">
                  <c:v>45852</c:v>
                </c:pt>
                <c:pt idx="55">
                  <c:v>45853</c:v>
                </c:pt>
                <c:pt idx="56">
                  <c:v>45854</c:v>
                </c:pt>
                <c:pt idx="57">
                  <c:v>45855</c:v>
                </c:pt>
                <c:pt idx="58">
                  <c:v>45856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45866</c:v>
                </c:pt>
                <c:pt idx="65">
                  <c:v>45867</c:v>
                </c:pt>
                <c:pt idx="66">
                  <c:v>45868</c:v>
                </c:pt>
                <c:pt idx="67">
                  <c:v>45869</c:v>
                </c:pt>
                <c:pt idx="68">
                  <c:v>45870</c:v>
                </c:pt>
                <c:pt idx="69">
                  <c:v>45873</c:v>
                </c:pt>
                <c:pt idx="70">
                  <c:v>45874</c:v>
                </c:pt>
                <c:pt idx="71">
                  <c:v>45875</c:v>
                </c:pt>
                <c:pt idx="72">
                  <c:v>45876</c:v>
                </c:pt>
                <c:pt idx="73">
                  <c:v>45877</c:v>
                </c:pt>
                <c:pt idx="74">
                  <c:v>45880</c:v>
                </c:pt>
                <c:pt idx="75">
                  <c:v>45881</c:v>
                </c:pt>
                <c:pt idx="76">
                  <c:v>45882</c:v>
                </c:pt>
                <c:pt idx="77">
                  <c:v>45883</c:v>
                </c:pt>
                <c:pt idx="78">
                  <c:v>45884</c:v>
                </c:pt>
                <c:pt idx="79">
                  <c:v>45887</c:v>
                </c:pt>
                <c:pt idx="80">
                  <c:v>45888</c:v>
                </c:pt>
                <c:pt idx="81">
                  <c:v>45889</c:v>
                </c:pt>
                <c:pt idx="82">
                  <c:v>45890</c:v>
                </c:pt>
                <c:pt idx="83">
                  <c:v>45891</c:v>
                </c:pt>
                <c:pt idx="84">
                  <c:v>45894</c:v>
                </c:pt>
                <c:pt idx="85">
                  <c:v>45895</c:v>
                </c:pt>
                <c:pt idx="86">
                  <c:v>45896</c:v>
                </c:pt>
                <c:pt idx="87">
                  <c:v>45897</c:v>
                </c:pt>
                <c:pt idx="88">
                  <c:v>45898</c:v>
                </c:pt>
                <c:pt idx="89">
                  <c:v>45901</c:v>
                </c:pt>
                <c:pt idx="90">
                  <c:v>45902</c:v>
                </c:pt>
                <c:pt idx="91">
                  <c:v>45903</c:v>
                </c:pt>
                <c:pt idx="92">
                  <c:v>45904</c:v>
                </c:pt>
                <c:pt idx="93">
                  <c:v>45905</c:v>
                </c:pt>
                <c:pt idx="94">
                  <c:v>45908</c:v>
                </c:pt>
                <c:pt idx="95">
                  <c:v>45909</c:v>
                </c:pt>
                <c:pt idx="96">
                  <c:v>45910</c:v>
                </c:pt>
                <c:pt idx="97">
                  <c:v>45911</c:v>
                </c:pt>
                <c:pt idx="98">
                  <c:v>45912</c:v>
                </c:pt>
                <c:pt idx="99">
                  <c:v>45915</c:v>
                </c:pt>
                <c:pt idx="100">
                  <c:v>45916</c:v>
                </c:pt>
                <c:pt idx="101">
                  <c:v>45917</c:v>
                </c:pt>
                <c:pt idx="102">
                  <c:v>45918</c:v>
                </c:pt>
                <c:pt idx="103">
                  <c:v>45919</c:v>
                </c:pt>
                <c:pt idx="104">
                  <c:v>45922</c:v>
                </c:pt>
                <c:pt idx="105">
                  <c:v>45923</c:v>
                </c:pt>
                <c:pt idx="106">
                  <c:v>45924</c:v>
                </c:pt>
                <c:pt idx="107">
                  <c:v>45925</c:v>
                </c:pt>
                <c:pt idx="108">
                  <c:v>45926</c:v>
                </c:pt>
                <c:pt idx="109">
                  <c:v>45929</c:v>
                </c:pt>
                <c:pt idx="110">
                  <c:v>45930</c:v>
                </c:pt>
                <c:pt idx="111">
                  <c:v>45931</c:v>
                </c:pt>
                <c:pt idx="112">
                  <c:v>45932</c:v>
                </c:pt>
                <c:pt idx="113">
                  <c:v>45933</c:v>
                </c:pt>
                <c:pt idx="114">
                  <c:v>45936</c:v>
                </c:pt>
                <c:pt idx="115">
                  <c:v>45937</c:v>
                </c:pt>
                <c:pt idx="116">
                  <c:v>45938</c:v>
                </c:pt>
                <c:pt idx="117">
                  <c:v>45939</c:v>
                </c:pt>
                <c:pt idx="118">
                  <c:v>45940</c:v>
                </c:pt>
                <c:pt idx="119">
                  <c:v>45943</c:v>
                </c:pt>
                <c:pt idx="120">
                  <c:v>45944</c:v>
                </c:pt>
                <c:pt idx="121">
                  <c:v>45945</c:v>
                </c:pt>
                <c:pt idx="122">
                  <c:v>45946</c:v>
                </c:pt>
                <c:pt idx="123">
                  <c:v>45947</c:v>
                </c:pt>
                <c:pt idx="124">
                  <c:v>45950</c:v>
                </c:pt>
                <c:pt idx="125">
                  <c:v>45951</c:v>
                </c:pt>
                <c:pt idx="126">
                  <c:v>45952</c:v>
                </c:pt>
                <c:pt idx="127">
                  <c:v>45953</c:v>
                </c:pt>
                <c:pt idx="128">
                  <c:v>45954</c:v>
                </c:pt>
                <c:pt idx="129">
                  <c:v>45957</c:v>
                </c:pt>
                <c:pt idx="130">
                  <c:v>45958</c:v>
                </c:pt>
                <c:pt idx="131">
                  <c:v>45959</c:v>
                </c:pt>
                <c:pt idx="132">
                  <c:v>45960</c:v>
                </c:pt>
                <c:pt idx="133">
                  <c:v>45961</c:v>
                </c:pt>
                <c:pt idx="134">
                  <c:v>45964</c:v>
                </c:pt>
                <c:pt idx="135">
                  <c:v>45965</c:v>
                </c:pt>
                <c:pt idx="136">
                  <c:v>45966</c:v>
                </c:pt>
                <c:pt idx="137">
                  <c:v>45967</c:v>
                </c:pt>
                <c:pt idx="138">
                  <c:v>45968</c:v>
                </c:pt>
                <c:pt idx="139">
                  <c:v>45971</c:v>
                </c:pt>
                <c:pt idx="140">
                  <c:v>45972</c:v>
                </c:pt>
                <c:pt idx="141">
                  <c:v>45973</c:v>
                </c:pt>
                <c:pt idx="142">
                  <c:v>45974</c:v>
                </c:pt>
                <c:pt idx="143">
                  <c:v>45975</c:v>
                </c:pt>
                <c:pt idx="144">
                  <c:v>45978</c:v>
                </c:pt>
                <c:pt idx="145">
                  <c:v>45979</c:v>
                </c:pt>
                <c:pt idx="146">
                  <c:v>45980</c:v>
                </c:pt>
                <c:pt idx="147">
                  <c:v>45981</c:v>
                </c:pt>
                <c:pt idx="148">
                  <c:v>45982</c:v>
                </c:pt>
              </c:numCache>
            </c:numRef>
          </c:cat>
          <c:val>
            <c:numRef>
              <c:f>'TOTAL DAILY'!$J$2:$J$150</c:f>
              <c:numCache>
                <c:formatCode>General</c:formatCode>
                <c:ptCount val="149"/>
                <c:pt idx="0">
                  <c:v>0</c:v>
                </c:pt>
                <c:pt idx="1">
                  <c:v>-85.573328446487722</c:v>
                </c:pt>
                <c:pt idx="2">
                  <c:v>-701.02582418926613</c:v>
                </c:pt>
                <c:pt idx="3">
                  <c:v>-760.77035140139196</c:v>
                </c:pt>
                <c:pt idx="4">
                  <c:v>-328.40700660092261</c:v>
                </c:pt>
                <c:pt idx="5">
                  <c:v>-158.52335649287124</c:v>
                </c:pt>
                <c:pt idx="6">
                  <c:v>-249.46396871686011</c:v>
                </c:pt>
                <c:pt idx="7">
                  <c:v>-395.40711953145365</c:v>
                </c:pt>
                <c:pt idx="8">
                  <c:v>-289.75601248797466</c:v>
                </c:pt>
                <c:pt idx="9">
                  <c:v>172.43727820419736</c:v>
                </c:pt>
                <c:pt idx="10">
                  <c:v>-104.15384723573516</c:v>
                </c:pt>
                <c:pt idx="11">
                  <c:v>175.69981928500783</c:v>
                </c:pt>
                <c:pt idx="12">
                  <c:v>431.23461065570154</c:v>
                </c:pt>
                <c:pt idx="13">
                  <c:v>366.93004214028042</c:v>
                </c:pt>
                <c:pt idx="14">
                  <c:v>406.59757750160497</c:v>
                </c:pt>
                <c:pt idx="15">
                  <c:v>687.56844348707091</c:v>
                </c:pt>
                <c:pt idx="16">
                  <c:v>379.77338006856735</c:v>
                </c:pt>
                <c:pt idx="17">
                  <c:v>462.40622120242188</c:v>
                </c:pt>
                <c:pt idx="18">
                  <c:v>800.6426891141964</c:v>
                </c:pt>
                <c:pt idx="19">
                  <c:v>881.89453808361577</c:v>
                </c:pt>
                <c:pt idx="20">
                  <c:v>1358.0153496973726</c:v>
                </c:pt>
                <c:pt idx="21">
                  <c:v>1552.1322582085195</c:v>
                </c:pt>
                <c:pt idx="22">
                  <c:v>1347.5516746676367</c:v>
                </c:pt>
                <c:pt idx="23">
                  <c:v>1357.2455141234605</c:v>
                </c:pt>
                <c:pt idx="24">
                  <c:v>1855.2002797032255</c:v>
                </c:pt>
                <c:pt idx="25">
                  <c:v>1930.1903264146604</c:v>
                </c:pt>
                <c:pt idx="26">
                  <c:v>1533.345405752545</c:v>
                </c:pt>
                <c:pt idx="27">
                  <c:v>2007.6114496265291</c:v>
                </c:pt>
                <c:pt idx="28">
                  <c:v>2142.1482129085125</c:v>
                </c:pt>
                <c:pt idx="29">
                  <c:v>1979.6184542817427</c:v>
                </c:pt>
                <c:pt idx="30">
                  <c:v>1204.2247571176413</c:v>
                </c:pt>
                <c:pt idx="31">
                  <c:v>1390.4073501426246</c:v>
                </c:pt>
                <c:pt idx="32">
                  <c:v>1500.1471686572841</c:v>
                </c:pt>
                <c:pt idx="33">
                  <c:v>1558.0410851379638</c:v>
                </c:pt>
                <c:pt idx="34">
                  <c:v>2000.240751064186</c:v>
                </c:pt>
                <c:pt idx="35">
                  <c:v>1797.7432566966963</c:v>
                </c:pt>
                <c:pt idx="36">
                  <c:v>2074.4164412486498</c:v>
                </c:pt>
                <c:pt idx="37">
                  <c:v>1863.5780578824269</c:v>
                </c:pt>
                <c:pt idx="38">
                  <c:v>2157.745483342871</c:v>
                </c:pt>
                <c:pt idx="39">
                  <c:v>1711.2424474944055</c:v>
                </c:pt>
                <c:pt idx="40">
                  <c:v>2207.009018390665</c:v>
                </c:pt>
                <c:pt idx="41">
                  <c:v>2604.822943176041</c:v>
                </c:pt>
                <c:pt idx="42">
                  <c:v>3161.3867945413876</c:v>
                </c:pt>
                <c:pt idx="43">
                  <c:v>3236.164937519985</c:v>
                </c:pt>
                <c:pt idx="44">
                  <c:v>3824.8365642541321</c:v>
                </c:pt>
                <c:pt idx="45">
                  <c:v>2662.8857347837911</c:v>
                </c:pt>
                <c:pt idx="46">
                  <c:v>2936.4196296063601</c:v>
                </c:pt>
                <c:pt idx="47">
                  <c:v>3239.3702798780432</c:v>
                </c:pt>
                <c:pt idx="48">
                  <c:v>3215.3374958887653</c:v>
                </c:pt>
                <c:pt idx="49">
                  <c:v>3689.2510776352283</c:v>
                </c:pt>
                <c:pt idx="50">
                  <c:v>3571.1625621259736</c:v>
                </c:pt>
                <c:pt idx="51">
                  <c:v>3742.1718321200824</c:v>
                </c:pt>
                <c:pt idx="52">
                  <c:v>3491.4780890529146</c:v>
                </c:pt>
                <c:pt idx="53">
                  <c:v>3588.0217838326353</c:v>
                </c:pt>
                <c:pt idx="54">
                  <c:v>4172.8436509631938</c:v>
                </c:pt>
                <c:pt idx="55">
                  <c:v>4211.4040554745225</c:v>
                </c:pt>
                <c:pt idx="56">
                  <c:v>4189.5877098232522</c:v>
                </c:pt>
                <c:pt idx="57">
                  <c:v>4632.5199622572691</c:v>
                </c:pt>
                <c:pt idx="58">
                  <c:v>4765.6820890344461</c:v>
                </c:pt>
                <c:pt idx="59">
                  <c:v>4584.5051508196775</c:v>
                </c:pt>
                <c:pt idx="60">
                  <c:v>4403.4106611553143</c:v>
                </c:pt>
                <c:pt idx="61">
                  <c:v>4711.598589668647</c:v>
                </c:pt>
                <c:pt idx="62">
                  <c:v>5076.4216794170279</c:v>
                </c:pt>
                <c:pt idx="63">
                  <c:v>5245.8302528526692</c:v>
                </c:pt>
                <c:pt idx="64">
                  <c:v>5400.2743097095008</c:v>
                </c:pt>
                <c:pt idx="65">
                  <c:v>5856.2535845305392</c:v>
                </c:pt>
                <c:pt idx="66">
                  <c:v>6297.5146851972022</c:v>
                </c:pt>
                <c:pt idx="67">
                  <c:v>6147.9083931857604</c:v>
                </c:pt>
                <c:pt idx="68">
                  <c:v>6025.0086418320207</c:v>
                </c:pt>
                <c:pt idx="69">
                  <c:v>5791.0115057504809</c:v>
                </c:pt>
                <c:pt idx="70">
                  <c:v>5546.0191064845931</c:v>
                </c:pt>
                <c:pt idx="71">
                  <c:v>5842.2746838649691</c:v>
                </c:pt>
                <c:pt idx="72">
                  <c:v>5893.4729740812691</c:v>
                </c:pt>
                <c:pt idx="73">
                  <c:v>5759.9605139989362</c:v>
                </c:pt>
                <c:pt idx="74">
                  <c:v>6596.3805070906601</c:v>
                </c:pt>
                <c:pt idx="75">
                  <c:v>7015.4309676066623</c:v>
                </c:pt>
                <c:pt idx="76">
                  <c:v>6562.410053995307</c:v>
                </c:pt>
                <c:pt idx="77">
                  <c:v>6906.4869049795161</c:v>
                </c:pt>
                <c:pt idx="78">
                  <c:v>6810.6994239122068</c:v>
                </c:pt>
                <c:pt idx="79">
                  <c:v>7165.608740586882</c:v>
                </c:pt>
                <c:pt idx="80">
                  <c:v>6634.46547263307</c:v>
                </c:pt>
                <c:pt idx="81">
                  <c:v>6279.7688411638155</c:v>
                </c:pt>
                <c:pt idx="82">
                  <c:v>6578.2380165535942</c:v>
                </c:pt>
                <c:pt idx="83">
                  <c:v>6331.7204187803727</c:v>
                </c:pt>
                <c:pt idx="84">
                  <c:v>6474.3895337109352</c:v>
                </c:pt>
                <c:pt idx="85">
                  <c:v>6985.2681672070539</c:v>
                </c:pt>
                <c:pt idx="86">
                  <c:v>6535.704806633199</c:v>
                </c:pt>
                <c:pt idx="87">
                  <c:v>6656.3219304178565</c:v>
                </c:pt>
                <c:pt idx="88">
                  <c:v>6703.6714899313229</c:v>
                </c:pt>
                <c:pt idx="89">
                  <c:v>6943.3503477421255</c:v>
                </c:pt>
                <c:pt idx="90">
                  <c:v>6798.3754245648524</c:v>
                </c:pt>
                <c:pt idx="91">
                  <c:v>6847.5113632878711</c:v>
                </c:pt>
                <c:pt idx="92">
                  <c:v>6880.4266930358062</c:v>
                </c:pt>
                <c:pt idx="93">
                  <c:v>6469.7007340166092</c:v>
                </c:pt>
                <c:pt idx="94">
                  <c:v>6617.8897503009721</c:v>
                </c:pt>
                <c:pt idx="95">
                  <c:v>6908.0177762430176</c:v>
                </c:pt>
                <c:pt idx="96">
                  <c:v>8133.6580940339845</c:v>
                </c:pt>
                <c:pt idx="97">
                  <c:v>8216.1501702587339</c:v>
                </c:pt>
                <c:pt idx="98">
                  <c:v>8474.2049927700355</c:v>
                </c:pt>
                <c:pt idx="99">
                  <c:v>8696.4227156488996</c:v>
                </c:pt>
                <c:pt idx="100">
                  <c:v>8154.6591674649899</c:v>
                </c:pt>
                <c:pt idx="101">
                  <c:v>7684.2934292294885</c:v>
                </c:pt>
                <c:pt idx="102">
                  <c:v>7649.1193603246866</c:v>
                </c:pt>
                <c:pt idx="103">
                  <c:v>7969.1175402828812</c:v>
                </c:pt>
                <c:pt idx="104">
                  <c:v>7992.9596522372231</c:v>
                </c:pt>
                <c:pt idx="105">
                  <c:v>8033.8643717280138</c:v>
                </c:pt>
                <c:pt idx="106">
                  <c:v>8461.4294671552998</c:v>
                </c:pt>
                <c:pt idx="107">
                  <c:v>8334.1545914214148</c:v>
                </c:pt>
                <c:pt idx="108">
                  <c:v>8703.6230345582226</c:v>
                </c:pt>
                <c:pt idx="109">
                  <c:v>8329.1085352463488</c:v>
                </c:pt>
                <c:pt idx="110">
                  <c:v>8425.0956343273065</c:v>
                </c:pt>
                <c:pt idx="111">
                  <c:v>8668.1243871244878</c:v>
                </c:pt>
                <c:pt idx="112">
                  <c:v>8773.8337937401593</c:v>
                </c:pt>
                <c:pt idx="113">
                  <c:v>8610.2649302560167</c:v>
                </c:pt>
                <c:pt idx="114">
                  <c:v>8823.7045748320597</c:v>
                </c:pt>
                <c:pt idx="115">
                  <c:v>8574.3421057138985</c:v>
                </c:pt>
                <c:pt idx="116">
                  <c:v>8853.49646411102</c:v>
                </c:pt>
                <c:pt idx="117">
                  <c:v>8998.8544266471654</c:v>
                </c:pt>
                <c:pt idx="118">
                  <c:v>8669.6095957796861</c:v>
                </c:pt>
                <c:pt idx="119">
                  <c:v>8699.2784315971076</c:v>
                </c:pt>
                <c:pt idx="120">
                  <c:v>8807.7202944616365</c:v>
                </c:pt>
                <c:pt idx="121">
                  <c:v>8466.4864554638989</c:v>
                </c:pt>
                <c:pt idx="122">
                  <c:v>8041.2996948403525</c:v>
                </c:pt>
                <c:pt idx="123">
                  <c:v>7182.2936290105645</c:v>
                </c:pt>
                <c:pt idx="124">
                  <c:v>7948.4362860242327</c:v>
                </c:pt>
                <c:pt idx="125">
                  <c:v>7651.1780540675827</c:v>
                </c:pt>
                <c:pt idx="126">
                  <c:v>7126.2045806431706</c:v>
                </c:pt>
                <c:pt idx="127">
                  <c:v>6824.6185057280672</c:v>
                </c:pt>
                <c:pt idx="128">
                  <c:v>6977.3889383093992</c:v>
                </c:pt>
                <c:pt idx="129">
                  <c:v>7362.002928752634</c:v>
                </c:pt>
                <c:pt idx="130">
                  <c:v>7229.0367707334735</c:v>
                </c:pt>
                <c:pt idx="131">
                  <c:v>7851.2632675988643</c:v>
                </c:pt>
                <c:pt idx="132">
                  <c:v>8198.749032884145</c:v>
                </c:pt>
                <c:pt idx="133">
                  <c:v>8782.7494205617768</c:v>
                </c:pt>
                <c:pt idx="134">
                  <c:v>9310.6364307344847</c:v>
                </c:pt>
                <c:pt idx="135">
                  <c:v>8459.3098109545608</c:v>
                </c:pt>
                <c:pt idx="136">
                  <c:v>8150.032366154941</c:v>
                </c:pt>
                <c:pt idx="137">
                  <c:v>8450.7389342372189</c:v>
                </c:pt>
                <c:pt idx="138">
                  <c:v>8548.1789447829142</c:v>
                </c:pt>
                <c:pt idx="139">
                  <c:v>9139.5483500946357</c:v>
                </c:pt>
                <c:pt idx="140">
                  <c:v>9078.7188596006526</c:v>
                </c:pt>
                <c:pt idx="141">
                  <c:v>9124.4114908803967</c:v>
                </c:pt>
                <c:pt idx="142">
                  <c:v>8454.4712344110958</c:v>
                </c:pt>
                <c:pt idx="143">
                  <c:v>8899.734208965252</c:v>
                </c:pt>
                <c:pt idx="144">
                  <c:v>8940.2691608494933</c:v>
                </c:pt>
                <c:pt idx="145">
                  <c:v>8782.7463404432128</c:v>
                </c:pt>
                <c:pt idx="146">
                  <c:v>9209.8287228689369</c:v>
                </c:pt>
                <c:pt idx="147">
                  <c:v>8728.3526901093501</c:v>
                </c:pt>
                <c:pt idx="148">
                  <c:v>7856.0996731340783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1E-43CF-831B-B236BDA3B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310624"/>
        <c:axId val="1371508047"/>
      </c:lineChart>
      <c:dateAx>
        <c:axId val="1166310624"/>
        <c:scaling>
          <c:orientation val="minMax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371508047"/>
        <c:crosses val="autoZero"/>
        <c:auto val="0"/>
        <c:lblOffset val="100"/>
        <c:baseTimeUnit val="days"/>
      </c:dateAx>
      <c:valAx>
        <c:axId val="13715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16631062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914400</xdr:colOff>
      <xdr:row>153</xdr:row>
      <xdr:rowOff>11430</xdr:rowOff>
    </xdr:from>
    <xdr:to>
      <xdr:col>12</xdr:col>
      <xdr:colOff>563880</xdr:colOff>
      <xdr:row>168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F67C46-353A-4879-7F6B-0A60CC766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16C010-C481-4E4B-A0B6-6B399B97C4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D11E4-1514-471D-BE8C-196BC045A9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8EE9C2-80FD-4EAF-A796-E9458D6E8AA8}">
  <we:reference id="wa200000565" version="1.0.0.79" store="it-IT" storeType="OMEX"/>
  <we:alternateReferences>
    <we:reference id="WA200000565" version="1.0.0.79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CDB7-288F-4FA5-999C-213A9C5F2DC4}">
  <dimension ref="A1:AQ392"/>
  <sheetViews>
    <sheetView topLeftCell="A360" zoomScale="85" zoomScaleNormal="85" workbookViewId="0">
      <selection activeCell="C247" sqref="C247:C392"/>
    </sheetView>
  </sheetViews>
  <sheetFormatPr baseColWidth="10" defaultColWidth="8.83203125" defaultRowHeight="15" x14ac:dyDescent="0.2"/>
  <cols>
    <col min="2" max="2" width="13.1640625" customWidth="1"/>
    <col min="23" max="23" width="14.1640625" customWidth="1"/>
  </cols>
  <sheetData>
    <row r="1" spans="1:43" x14ac:dyDescent="0.2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  <c r="U1" s="2" t="s">
        <v>72</v>
      </c>
      <c r="V1" s="2" t="s">
        <v>73</v>
      </c>
      <c r="W1" s="2" t="s">
        <v>74</v>
      </c>
      <c r="X1" s="2" t="s">
        <v>75</v>
      </c>
      <c r="Y1" s="2" t="s">
        <v>76</v>
      </c>
      <c r="Z1" s="2" t="s">
        <v>77</v>
      </c>
      <c r="AA1" s="2" t="s">
        <v>78</v>
      </c>
      <c r="AB1" s="2" t="s">
        <v>79</v>
      </c>
      <c r="AC1" s="2" t="s">
        <v>80</v>
      </c>
      <c r="AD1" s="2" t="s">
        <v>81</v>
      </c>
      <c r="AE1" s="2" t="s">
        <v>82</v>
      </c>
      <c r="AF1" s="2" t="s">
        <v>83</v>
      </c>
      <c r="AG1" s="2" t="s">
        <v>84</v>
      </c>
      <c r="AH1" s="2" t="s">
        <v>85</v>
      </c>
      <c r="AI1" s="2" t="s">
        <v>86</v>
      </c>
      <c r="AJ1" s="2" t="s">
        <v>87</v>
      </c>
      <c r="AK1" s="2" t="s">
        <v>88</v>
      </c>
      <c r="AL1" s="2" t="s">
        <v>89</v>
      </c>
      <c r="AM1" s="2" t="s">
        <v>90</v>
      </c>
      <c r="AN1" s="2" t="s">
        <v>91</v>
      </c>
    </row>
    <row r="3" spans="1:43" x14ac:dyDescent="0.2">
      <c r="A3" t="e">
        <f>_xll.RDP.Data($A$1:$T$1,"TR.PriceClose","SDate=2025-04-28 EDate=2025-11-21 Curn=EUR CH=IN RH=date",B4)</f>
        <v>#N/A</v>
      </c>
      <c r="V3" s="2" t="e">
        <f>_xll.RDP.Data($U$1:$AN$1,"TR.PriceClose","SDate=2025-04-28 EDate=2025-11-21 Curn=EUR CH=IN RH=date",W4)</f>
        <v>#N/A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3" x14ac:dyDescent="0.2"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  <c r="M4" s="2" t="s">
        <v>62</v>
      </c>
      <c r="N4" s="2" t="s">
        <v>63</v>
      </c>
      <c r="O4" s="2" t="s">
        <v>64</v>
      </c>
      <c r="P4" s="2" t="s">
        <v>65</v>
      </c>
      <c r="Q4" s="2" t="s">
        <v>66</v>
      </c>
      <c r="R4" s="2" t="s">
        <v>67</v>
      </c>
      <c r="S4" s="2" t="s">
        <v>68</v>
      </c>
      <c r="T4" s="2" t="s">
        <v>69</v>
      </c>
      <c r="U4" s="2" t="s">
        <v>70</v>
      </c>
      <c r="V4" s="2" t="s">
        <v>71</v>
      </c>
      <c r="X4" s="2" t="s">
        <v>72</v>
      </c>
      <c r="Y4" s="2" t="s">
        <v>73</v>
      </c>
      <c r="Z4" s="2" t="s">
        <v>74</v>
      </c>
      <c r="AA4" s="2" t="s">
        <v>75</v>
      </c>
      <c r="AB4" s="2" t="s">
        <v>76</v>
      </c>
      <c r="AC4" s="2" t="s">
        <v>77</v>
      </c>
      <c r="AD4" s="2" t="s">
        <v>78</v>
      </c>
      <c r="AE4" s="2" t="s">
        <v>79</v>
      </c>
      <c r="AF4" s="2" t="s">
        <v>80</v>
      </c>
      <c r="AG4" s="2" t="s">
        <v>81</v>
      </c>
      <c r="AH4" s="2" t="s">
        <v>82</v>
      </c>
      <c r="AI4" s="2" t="s">
        <v>83</v>
      </c>
      <c r="AJ4" s="2" t="s">
        <v>84</v>
      </c>
      <c r="AK4" s="2" t="s">
        <v>85</v>
      </c>
      <c r="AL4" s="2" t="s">
        <v>86</v>
      </c>
      <c r="AM4" s="2" t="s">
        <v>87</v>
      </c>
      <c r="AN4" s="2" t="s">
        <v>88</v>
      </c>
      <c r="AO4" s="2" t="s">
        <v>89</v>
      </c>
      <c r="AP4" s="2" t="s">
        <v>90</v>
      </c>
      <c r="AQ4" s="2" t="s">
        <v>91</v>
      </c>
    </row>
    <row r="5" spans="1:43" x14ac:dyDescent="0.2">
      <c r="B5" s="3">
        <v>45775</v>
      </c>
      <c r="C5">
        <v>119.385333</v>
      </c>
      <c r="D5">
        <v>59.977229999999999</v>
      </c>
      <c r="E5">
        <v>189.3967098</v>
      </c>
      <c r="F5">
        <v>68.584181400000006</v>
      </c>
      <c r="G5">
        <v>32.6328666</v>
      </c>
      <c r="H5">
        <v>138.78818580000001</v>
      </c>
      <c r="I5">
        <v>47.3426106</v>
      </c>
      <c r="J5">
        <v>227.2305216</v>
      </c>
      <c r="K5">
        <v>20.2346538</v>
      </c>
      <c r="L5">
        <v>45.311264999999999</v>
      </c>
      <c r="M5">
        <v>60.2749272</v>
      </c>
      <c r="N5">
        <v>15.1300224</v>
      </c>
      <c r="O5">
        <v>80.614650600000004</v>
      </c>
      <c r="P5">
        <v>69.731191199999998</v>
      </c>
      <c r="Q5">
        <v>16.513438799999999</v>
      </c>
      <c r="R5">
        <v>32.606599199999998</v>
      </c>
      <c r="S5">
        <v>36.739336799999997</v>
      </c>
      <c r="T5">
        <v>15.270115199999999</v>
      </c>
      <c r="U5">
        <v>70.204004400000002</v>
      </c>
      <c r="V5">
        <v>24.043426799999999</v>
      </c>
      <c r="W5" s="3">
        <v>45775</v>
      </c>
      <c r="X5">
        <v>29.778475799999999</v>
      </c>
      <c r="Y5">
        <v>856.79005319999999</v>
      </c>
      <c r="Z5">
        <v>149.1375414</v>
      </c>
      <c r="AA5">
        <v>51.781801199999997</v>
      </c>
      <c r="AB5">
        <v>120.7687494</v>
      </c>
      <c r="AC5">
        <v>800.05246920000002</v>
      </c>
      <c r="AD5">
        <v>193.0303668</v>
      </c>
      <c r="AE5">
        <v>126.2236128</v>
      </c>
      <c r="AF5">
        <v>278.43444</v>
      </c>
      <c r="AG5">
        <v>198.31011419999999</v>
      </c>
      <c r="AH5">
        <v>739.5849144</v>
      </c>
      <c r="AI5">
        <v>126.0309852</v>
      </c>
      <c r="AJ5">
        <v>90.464925600000001</v>
      </c>
      <c r="AK5">
        <v>210.2442696</v>
      </c>
      <c r="AL5">
        <v>312.51201359999999</v>
      </c>
      <c r="AM5">
        <v>512.3981718</v>
      </c>
      <c r="AN5">
        <v>255.0827214</v>
      </c>
      <c r="AO5">
        <v>215.8654932</v>
      </c>
      <c r="AP5">
        <v>77.690213400000005</v>
      </c>
      <c r="AQ5">
        <v>49.277642399999998</v>
      </c>
    </row>
    <row r="6" spans="1:43" x14ac:dyDescent="0.2">
      <c r="B6" s="3">
        <v>45776</v>
      </c>
      <c r="C6">
        <v>120.77312499999999</v>
      </c>
      <c r="D6">
        <v>60.729118999999997</v>
      </c>
      <c r="E6">
        <v>190.23304300000001</v>
      </c>
      <c r="F6">
        <v>69.758556999999996</v>
      </c>
      <c r="G6">
        <v>31.6206</v>
      </c>
      <c r="H6">
        <v>137.72528</v>
      </c>
      <c r="I6">
        <v>46.517415999999997</v>
      </c>
      <c r="J6">
        <v>220.70300449999999</v>
      </c>
      <c r="K6">
        <v>20.535823000000001</v>
      </c>
      <c r="L6">
        <v>45.832303000000003</v>
      </c>
      <c r="M6">
        <v>60.544665500000001</v>
      </c>
      <c r="N6">
        <v>15.2393725</v>
      </c>
      <c r="O6">
        <v>81.765601500000002</v>
      </c>
      <c r="P6">
        <v>70.083546499999997</v>
      </c>
      <c r="Q6">
        <v>16.4339285</v>
      </c>
      <c r="R6">
        <v>32.648269499999998</v>
      </c>
      <c r="S6">
        <v>36.960968000000001</v>
      </c>
      <c r="T6">
        <v>15.265722999999999</v>
      </c>
      <c r="U6">
        <v>71.128782999999999</v>
      </c>
      <c r="V6">
        <v>24.435697000000001</v>
      </c>
      <c r="W6" s="3">
        <v>45776</v>
      </c>
      <c r="X6">
        <v>29.5564775</v>
      </c>
      <c r="Y6">
        <v>871.05969500000003</v>
      </c>
      <c r="Z6">
        <v>149.51273699999999</v>
      </c>
      <c r="AA6">
        <v>52.3408765</v>
      </c>
      <c r="AB6">
        <v>121.54607300000001</v>
      </c>
      <c r="AC6">
        <v>808.53874199999996</v>
      </c>
      <c r="AD6">
        <v>194.99369999999999</v>
      </c>
      <c r="AE6">
        <v>128.59922349999999</v>
      </c>
      <c r="AF6">
        <v>280.91389700000002</v>
      </c>
      <c r="AG6">
        <v>200.75567599999999</v>
      </c>
      <c r="AH6">
        <v>748.04677749999996</v>
      </c>
      <c r="AI6">
        <v>126.9654925</v>
      </c>
      <c r="AJ6">
        <v>90.557884999999999</v>
      </c>
      <c r="AK6">
        <v>212.34111250000001</v>
      </c>
      <c r="AL6">
        <v>315.32765000000001</v>
      </c>
      <c r="AM6">
        <v>515.36307899999997</v>
      </c>
      <c r="AN6">
        <v>258.147065</v>
      </c>
      <c r="AO6">
        <v>217.52337750000001</v>
      </c>
      <c r="AP6">
        <v>78.050180999999995</v>
      </c>
      <c r="AQ6">
        <v>50.636877499999997</v>
      </c>
    </row>
    <row r="7" spans="1:43" x14ac:dyDescent="0.2">
      <c r="B7" s="3">
        <v>45777</v>
      </c>
      <c r="C7">
        <v>122.345353</v>
      </c>
      <c r="D7">
        <v>61.870128000000001</v>
      </c>
      <c r="E7">
        <v>189.7332935</v>
      </c>
      <c r="F7">
        <v>71.519678499999998</v>
      </c>
      <c r="G7">
        <v>28.127600999999999</v>
      </c>
      <c r="H7">
        <v>138.94293300000001</v>
      </c>
      <c r="I7">
        <v>46.508538000000001</v>
      </c>
      <c r="J7">
        <v>222.73422650000001</v>
      </c>
      <c r="K7">
        <v>20.835260000000002</v>
      </c>
      <c r="L7">
        <v>46.6233085</v>
      </c>
      <c r="M7">
        <v>60.757736999999999</v>
      </c>
      <c r="N7">
        <v>14.584682000000001</v>
      </c>
      <c r="O7">
        <v>84.665315000000007</v>
      </c>
      <c r="P7">
        <v>69.188954499999994</v>
      </c>
      <c r="Q7">
        <v>16.191469000000001</v>
      </c>
      <c r="R7">
        <v>31.809085499999998</v>
      </c>
      <c r="S7">
        <v>36.753045499999999</v>
      </c>
      <c r="T7">
        <v>14.1520855</v>
      </c>
      <c r="U7">
        <v>71.140052999999995</v>
      </c>
      <c r="V7">
        <v>25.196539000000001</v>
      </c>
      <c r="W7" s="3">
        <v>45777</v>
      </c>
      <c r="X7">
        <v>30.184641500000001</v>
      </c>
      <c r="Y7">
        <v>877.994325</v>
      </c>
      <c r="Z7">
        <v>150.65835250000001</v>
      </c>
      <c r="AA7">
        <v>52.935685999999997</v>
      </c>
      <c r="AB7">
        <v>122.63669350000001</v>
      </c>
      <c r="AC7">
        <v>807.15444100000002</v>
      </c>
      <c r="AD7">
        <v>199.05618949999999</v>
      </c>
      <c r="AE7">
        <v>129.88489200000001</v>
      </c>
      <c r="AF7">
        <v>284.17175800000001</v>
      </c>
      <c r="AG7">
        <v>199.86841150000001</v>
      </c>
      <c r="AH7">
        <v>759.91313749999995</v>
      </c>
      <c r="AI7">
        <v>128.36639</v>
      </c>
      <c r="AJ7">
        <v>90.227270000000004</v>
      </c>
      <c r="AK7">
        <v>211.80454349999999</v>
      </c>
      <c r="AL7">
        <v>318.25859650000001</v>
      </c>
      <c r="AM7">
        <v>523.618335</v>
      </c>
      <c r="AN7">
        <v>258.79864900000001</v>
      </c>
      <c r="AO7">
        <v>218.664288</v>
      </c>
      <c r="AP7">
        <v>78.176367499999998</v>
      </c>
      <c r="AQ7">
        <v>50.375421000000003</v>
      </c>
    </row>
    <row r="8" spans="1:43" x14ac:dyDescent="0.2">
      <c r="B8" s="3">
        <v>45778</v>
      </c>
      <c r="C8">
        <v>131.10424979999999</v>
      </c>
      <c r="D8">
        <v>58.046156400000001</v>
      </c>
      <c r="E8">
        <v>195.5271582</v>
      </c>
      <c r="F8">
        <v>71.641037400000002</v>
      </c>
      <c r="G8">
        <v>28.987651799999998</v>
      </c>
      <c r="H8">
        <v>140.70480420000001</v>
      </c>
      <c r="I8">
        <v>45.602633400000002</v>
      </c>
      <c r="J8">
        <v>221.636415</v>
      </c>
      <c r="K8">
        <v>21.220413600000001</v>
      </c>
      <c r="L8">
        <v>46.151742599999999</v>
      </c>
      <c r="M8">
        <v>61.252245600000002</v>
      </c>
      <c r="N8">
        <v>14.7639522</v>
      </c>
      <c r="O8">
        <v>83.438028599999996</v>
      </c>
      <c r="P8">
        <v>70.516249200000004</v>
      </c>
      <c r="Q8">
        <v>16.499845799999999</v>
      </c>
      <c r="R8">
        <v>32.246880599999997</v>
      </c>
      <c r="S8">
        <v>36.754890000000003</v>
      </c>
      <c r="T8">
        <v>14.4008316</v>
      </c>
      <c r="U8">
        <v>71.835882600000005</v>
      </c>
      <c r="V8">
        <v>23.939389800000001</v>
      </c>
      <c r="W8" s="3">
        <v>45778</v>
      </c>
      <c r="X8">
        <v>31.095522599999999</v>
      </c>
      <c r="Y8">
        <v>884.80976639999994</v>
      </c>
      <c r="Z8">
        <v>150.39392459999999</v>
      </c>
      <c r="AA8">
        <v>52.156517399999998</v>
      </c>
      <c r="AB8">
        <v>122.132514</v>
      </c>
      <c r="AC8">
        <v>811.38855239999998</v>
      </c>
      <c r="AD8">
        <v>198.38784000000001</v>
      </c>
      <c r="AE8">
        <v>129.84661259999999</v>
      </c>
      <c r="AF8">
        <v>283.17207180000003</v>
      </c>
      <c r="AG8">
        <v>201.133386</v>
      </c>
      <c r="AH8">
        <v>763.41235019999999</v>
      </c>
      <c r="AI8">
        <v>128.8989564</v>
      </c>
      <c r="AJ8">
        <v>91.293832800000004</v>
      </c>
      <c r="AK8">
        <v>211.88529840000001</v>
      </c>
      <c r="AL8">
        <v>317.33197799999999</v>
      </c>
      <c r="AM8">
        <v>532.83962580000002</v>
      </c>
      <c r="AN8">
        <v>262.46534100000002</v>
      </c>
      <c r="AO8">
        <v>220.68875879999999</v>
      </c>
      <c r="AP8">
        <v>78.044359200000002</v>
      </c>
      <c r="AQ8">
        <v>50.447193599999999</v>
      </c>
    </row>
    <row r="9" spans="1:43" x14ac:dyDescent="0.2">
      <c r="B9" s="3">
        <v>45779</v>
      </c>
      <c r="C9">
        <v>136.40587450000001</v>
      </c>
      <c r="D9">
        <v>58.928896000000002</v>
      </c>
      <c r="E9">
        <v>203.58623249999999</v>
      </c>
      <c r="F9">
        <v>74.617298000000005</v>
      </c>
      <c r="G9">
        <v>29.845148500000001</v>
      </c>
      <c r="H9">
        <v>143.22306950000001</v>
      </c>
      <c r="I9">
        <v>45.622085499999997</v>
      </c>
      <c r="J9">
        <v>227.5438035</v>
      </c>
      <c r="K9">
        <v>21.230692999999999</v>
      </c>
      <c r="L9">
        <v>45.595525000000002</v>
      </c>
      <c r="M9">
        <v>65.577874499999993</v>
      </c>
      <c r="N9">
        <v>14.9889755</v>
      </c>
      <c r="O9">
        <v>84.577485499999995</v>
      </c>
      <c r="P9">
        <v>71.359210000000004</v>
      </c>
      <c r="Q9">
        <v>17.326299500000001</v>
      </c>
      <c r="R9">
        <v>33.289160000000003</v>
      </c>
      <c r="S9">
        <v>39.132469999999998</v>
      </c>
      <c r="T9">
        <v>15.378529500000001</v>
      </c>
      <c r="U9">
        <v>73.076789000000005</v>
      </c>
      <c r="V9">
        <v>24.444513499999999</v>
      </c>
      <c r="W9" s="3">
        <v>45779</v>
      </c>
      <c r="X9">
        <v>31.403364499999999</v>
      </c>
      <c r="Y9">
        <v>892.69840499999998</v>
      </c>
      <c r="Z9">
        <v>153.93580449999999</v>
      </c>
      <c r="AA9">
        <v>52.5809365</v>
      </c>
      <c r="AB9">
        <v>125.79052799999999</v>
      </c>
      <c r="AC9">
        <v>822.66722000000004</v>
      </c>
      <c r="AD9">
        <v>201.2312015</v>
      </c>
      <c r="AE9">
        <v>132.63428350000001</v>
      </c>
      <c r="AF9">
        <v>291.06766599999997</v>
      </c>
      <c r="AG9">
        <v>201.3020295</v>
      </c>
      <c r="AH9">
        <v>775.43379749999997</v>
      </c>
      <c r="AI9">
        <v>131.49218200000001</v>
      </c>
      <c r="AJ9">
        <v>93.324743499999997</v>
      </c>
      <c r="AK9">
        <v>214.53801200000001</v>
      </c>
      <c r="AL9">
        <v>322.72778199999999</v>
      </c>
      <c r="AM9">
        <v>563.87056150000001</v>
      </c>
      <c r="AN9">
        <v>271.52799149999998</v>
      </c>
      <c r="AO9">
        <v>224.5690275</v>
      </c>
      <c r="AP9">
        <v>81.142327499999993</v>
      </c>
      <c r="AQ9">
        <v>52.209089499999997</v>
      </c>
    </row>
    <row r="10" spans="1:43" x14ac:dyDescent="0.2">
      <c r="B10" s="3">
        <v>45782</v>
      </c>
      <c r="C10">
        <v>136.4149524</v>
      </c>
      <c r="D10">
        <v>58.882753200000003</v>
      </c>
      <c r="E10">
        <v>202.182975</v>
      </c>
      <c r="F10">
        <v>75.508159800000001</v>
      </c>
      <c r="G10">
        <v>28.433776200000001</v>
      </c>
      <c r="H10">
        <v>142.17771959999999</v>
      </c>
      <c r="I10">
        <v>46.879934400000003</v>
      </c>
      <c r="J10">
        <v>228.7341294</v>
      </c>
      <c r="K10">
        <v>20.8944504</v>
      </c>
      <c r="L10">
        <v>45.333179399999999</v>
      </c>
      <c r="M10">
        <v>66.165759600000001</v>
      </c>
      <c r="N10">
        <v>14.9549112</v>
      </c>
      <c r="O10">
        <v>84.576563399999998</v>
      </c>
      <c r="P10">
        <v>71.521951200000004</v>
      </c>
      <c r="Q10">
        <v>17.2883016</v>
      </c>
      <c r="R10">
        <v>33.012171000000002</v>
      </c>
      <c r="S10">
        <v>40.224468600000002</v>
      </c>
      <c r="T10">
        <v>15.352648200000001</v>
      </c>
      <c r="U10">
        <v>73.448766000000006</v>
      </c>
      <c r="V10">
        <v>24.606662400000001</v>
      </c>
      <c r="W10" s="3">
        <v>45782</v>
      </c>
      <c r="X10">
        <v>30.926261400000001</v>
      </c>
      <c r="Y10">
        <v>897.02067539999996</v>
      </c>
      <c r="Z10">
        <v>152.92545720000001</v>
      </c>
      <c r="AA10">
        <v>50.998722000000001</v>
      </c>
      <c r="AB10">
        <v>124.44748800000001</v>
      </c>
      <c r="AC10">
        <v>813.61964579999994</v>
      </c>
      <c r="AD10">
        <v>200.25616020000001</v>
      </c>
      <c r="AE10">
        <v>132.09287699999999</v>
      </c>
      <c r="AF10">
        <v>287.1572754</v>
      </c>
      <c r="AG10">
        <v>200.88370080000001</v>
      </c>
      <c r="AH10">
        <v>780.63399059999995</v>
      </c>
      <c r="AI10">
        <v>130.18373940000001</v>
      </c>
      <c r="AJ10">
        <v>93.096973800000001</v>
      </c>
      <c r="AK10">
        <v>212.8953582</v>
      </c>
      <c r="AL10">
        <v>319.71867780000002</v>
      </c>
      <c r="AM10">
        <v>554.53376400000002</v>
      </c>
      <c r="AN10">
        <v>270.67328639999999</v>
      </c>
      <c r="AO10">
        <v>224.35902239999999</v>
      </c>
      <c r="AP10">
        <v>80.811319800000007</v>
      </c>
      <c r="AQ10">
        <v>51.953290799999998</v>
      </c>
    </row>
    <row r="11" spans="1:43" x14ac:dyDescent="0.2">
      <c r="B11" s="3">
        <v>45783</v>
      </c>
      <c r="C11">
        <v>137.051028</v>
      </c>
      <c r="D11">
        <v>57.908017800000003</v>
      </c>
      <c r="E11">
        <v>198.4424994</v>
      </c>
      <c r="F11">
        <v>75.501217800000006</v>
      </c>
      <c r="G11">
        <v>28.9760004</v>
      </c>
      <c r="H11">
        <v>140.89514220000001</v>
      </c>
      <c r="I11">
        <v>48.038232600000001</v>
      </c>
      <c r="J11">
        <v>227.7175842</v>
      </c>
      <c r="K11">
        <v>20.733586200000001</v>
      </c>
      <c r="L11">
        <v>45.047388599999998</v>
      </c>
      <c r="M11">
        <v>64.672603199999998</v>
      </c>
      <c r="N11">
        <v>14.9894064</v>
      </c>
      <c r="O11">
        <v>83.884377599999993</v>
      </c>
      <c r="P11">
        <v>72.114526799999993</v>
      </c>
      <c r="Q11">
        <v>17.179759799999999</v>
      </c>
      <c r="R11">
        <v>33.356707200000002</v>
      </c>
      <c r="S11">
        <v>39.417564599999999</v>
      </c>
      <c r="T11">
        <v>15.1917282</v>
      </c>
      <c r="U11">
        <v>72.897424200000003</v>
      </c>
      <c r="V11">
        <v>21.4900938</v>
      </c>
      <c r="W11" s="3">
        <v>45783</v>
      </c>
      <c r="X11">
        <v>30.700133999999998</v>
      </c>
      <c r="Y11">
        <v>888.89643000000001</v>
      </c>
      <c r="Z11">
        <v>150.16675860000001</v>
      </c>
      <c r="AA11">
        <v>51.486499799999997</v>
      </c>
      <c r="AB11">
        <v>121.41067320000001</v>
      </c>
      <c r="AC11">
        <v>804.86251019999997</v>
      </c>
      <c r="AD11">
        <v>199.41892200000001</v>
      </c>
      <c r="AE11">
        <v>131.0869332</v>
      </c>
      <c r="AF11">
        <v>283.76951939999998</v>
      </c>
      <c r="AG11">
        <v>200.37775139999999</v>
      </c>
      <c r="AH11">
        <v>770.0367708</v>
      </c>
      <c r="AI11">
        <v>128.90537639999999</v>
      </c>
      <c r="AJ11">
        <v>91.924469999999999</v>
      </c>
      <c r="AK11">
        <v>211.00404420000001</v>
      </c>
      <c r="AL11">
        <v>316.1322108</v>
      </c>
      <c r="AM11">
        <v>548.01938340000004</v>
      </c>
      <c r="AN11">
        <v>259.79878439999999</v>
      </c>
      <c r="AO11">
        <v>222.59796299999999</v>
      </c>
      <c r="AP11">
        <v>79.310145599999998</v>
      </c>
      <c r="AQ11">
        <v>51.187415399999999</v>
      </c>
    </row>
    <row r="12" spans="1:43" x14ac:dyDescent="0.2">
      <c r="B12" s="3">
        <v>45784</v>
      </c>
      <c r="C12">
        <v>139.0559136</v>
      </c>
      <c r="D12">
        <v>58.473932099999999</v>
      </c>
      <c r="E12">
        <v>201.79569029999999</v>
      </c>
      <c r="F12">
        <v>74.032759499999997</v>
      </c>
      <c r="G12">
        <v>28.745774399999998</v>
      </c>
      <c r="H12">
        <v>142.90579410000001</v>
      </c>
      <c r="I12">
        <v>47.782769700000003</v>
      </c>
      <c r="J12">
        <v>233.92227930000001</v>
      </c>
      <c r="K12">
        <v>20.453043300000001</v>
      </c>
      <c r="L12">
        <v>44.994925199999997</v>
      </c>
      <c r="M12">
        <v>66.6870105</v>
      </c>
      <c r="N12">
        <v>15.222516000000001</v>
      </c>
      <c r="O12">
        <v>85.042532699999995</v>
      </c>
      <c r="P12">
        <v>71.413070700000006</v>
      </c>
      <c r="Q12">
        <v>17.426240700000001</v>
      </c>
      <c r="R12">
        <v>32.763810599999999</v>
      </c>
      <c r="S12">
        <v>40.091858999999999</v>
      </c>
      <c r="T12">
        <v>15.319869300000001</v>
      </c>
      <c r="U12">
        <v>73.333585799999994</v>
      </c>
      <c r="V12">
        <v>21.2938218</v>
      </c>
      <c r="W12" s="3">
        <v>45784</v>
      </c>
      <c r="X12">
        <v>30.887547000000001</v>
      </c>
      <c r="Y12">
        <v>891.35796449999998</v>
      </c>
      <c r="Z12">
        <v>151.74724380000001</v>
      </c>
      <c r="AA12">
        <v>52.446877800000003</v>
      </c>
      <c r="AB12">
        <v>122.7005592</v>
      </c>
      <c r="AC12">
        <v>814.54621080000004</v>
      </c>
      <c r="AD12">
        <v>201.70718729999999</v>
      </c>
      <c r="AE12">
        <v>133.0377096</v>
      </c>
      <c r="AF12">
        <v>288.51978000000003</v>
      </c>
      <c r="AG12">
        <v>202.37981009999999</v>
      </c>
      <c r="AH12">
        <v>772.17097439999998</v>
      </c>
      <c r="AI12">
        <v>132.35623649999999</v>
      </c>
      <c r="AJ12">
        <v>92.963551199999998</v>
      </c>
      <c r="AK12">
        <v>212.6815593</v>
      </c>
      <c r="AL12">
        <v>321.04463249999998</v>
      </c>
      <c r="AM12">
        <v>563.50745129999996</v>
      </c>
      <c r="AN12">
        <v>261.7830237</v>
      </c>
      <c r="AO12">
        <v>250.6139451</v>
      </c>
      <c r="AP12">
        <v>80.909442600000006</v>
      </c>
      <c r="AQ12">
        <v>52.145967599999999</v>
      </c>
    </row>
    <row r="13" spans="1:43" x14ac:dyDescent="0.2">
      <c r="B13" s="3">
        <v>45785</v>
      </c>
      <c r="C13">
        <v>140.28682499999999</v>
      </c>
      <c r="D13">
        <v>58.412761799999998</v>
      </c>
      <c r="E13">
        <v>207.39291639999999</v>
      </c>
      <c r="F13">
        <v>73.305432999999994</v>
      </c>
      <c r="G13">
        <v>28.600698099999999</v>
      </c>
      <c r="H13">
        <v>145.19463709999999</v>
      </c>
      <c r="I13">
        <v>47.056209299999999</v>
      </c>
      <c r="J13">
        <v>228.91247000000001</v>
      </c>
      <c r="K13">
        <v>21.430482600000001</v>
      </c>
      <c r="L13">
        <v>45.835936599999997</v>
      </c>
      <c r="M13">
        <v>70.731281100000004</v>
      </c>
      <c r="N13">
        <v>15.3023978</v>
      </c>
      <c r="O13">
        <v>86.648268799999997</v>
      </c>
      <c r="P13">
        <v>72.432537199999999</v>
      </c>
      <c r="Q13">
        <v>18.036877499999999</v>
      </c>
      <c r="R13">
        <v>33.383810799999999</v>
      </c>
      <c r="S13">
        <v>43.235063400000001</v>
      </c>
      <c r="T13">
        <v>15.9258948</v>
      </c>
      <c r="U13">
        <v>76.102262400000001</v>
      </c>
      <c r="V13">
        <v>21.7155098</v>
      </c>
      <c r="W13" s="3">
        <v>45785</v>
      </c>
      <c r="X13">
        <v>30.791844699999999</v>
      </c>
      <c r="Y13">
        <v>897.57737410000004</v>
      </c>
      <c r="Z13">
        <v>155.58922279999999</v>
      </c>
      <c r="AA13">
        <v>54.547080399999999</v>
      </c>
      <c r="AB13">
        <v>125.6969952</v>
      </c>
      <c r="AC13">
        <v>827.14893440000003</v>
      </c>
      <c r="AD13">
        <v>203.46488529999999</v>
      </c>
      <c r="AE13">
        <v>134.79114430000001</v>
      </c>
      <c r="AF13">
        <v>297.89795950000001</v>
      </c>
      <c r="AG13">
        <v>222.09853849999999</v>
      </c>
      <c r="AH13">
        <v>766.89240289999998</v>
      </c>
      <c r="AI13">
        <v>135.6016904</v>
      </c>
      <c r="AJ13">
        <v>93.960997899999995</v>
      </c>
      <c r="AK13">
        <v>216.52269390000001</v>
      </c>
      <c r="AL13">
        <v>324.9844506</v>
      </c>
      <c r="AM13">
        <v>569.99205029999996</v>
      </c>
      <c r="AN13">
        <v>268.67376439999998</v>
      </c>
      <c r="AO13">
        <v>259.41038040000001</v>
      </c>
      <c r="AP13">
        <v>82.533188600000003</v>
      </c>
      <c r="AQ13">
        <v>54.431288100000003</v>
      </c>
    </row>
    <row r="14" spans="1:43" x14ac:dyDescent="0.2">
      <c r="B14" s="3">
        <v>45786</v>
      </c>
      <c r="C14">
        <v>139.95795330000001</v>
      </c>
      <c r="D14">
        <v>58.691471300000003</v>
      </c>
      <c r="E14">
        <v>207.3984638</v>
      </c>
      <c r="F14">
        <v>73.628855299999998</v>
      </c>
      <c r="G14">
        <v>28.443268700000001</v>
      </c>
      <c r="H14">
        <v>145.09712469999999</v>
      </c>
      <c r="I14">
        <v>47.995237400000001</v>
      </c>
      <c r="J14">
        <v>276.22601709999998</v>
      </c>
      <c r="K14">
        <v>21.730337200000001</v>
      </c>
      <c r="L14">
        <v>45.194477900000003</v>
      </c>
      <c r="M14">
        <v>68.703075100000007</v>
      </c>
      <c r="N14">
        <v>15.2307969</v>
      </c>
      <c r="O14">
        <v>86.298957799999997</v>
      </c>
      <c r="P14">
        <v>73.273203300000006</v>
      </c>
      <c r="Q14">
        <v>17.9515347</v>
      </c>
      <c r="R14">
        <v>33.662461800000003</v>
      </c>
      <c r="S14">
        <v>42.980544199999997</v>
      </c>
      <c r="T14">
        <v>15.737601</v>
      </c>
      <c r="U14">
        <v>67.796162499999994</v>
      </c>
      <c r="V14">
        <v>21.5614025</v>
      </c>
      <c r="W14" s="3">
        <v>45786</v>
      </c>
      <c r="X14">
        <v>30.915050099999998</v>
      </c>
      <c r="Y14">
        <v>896.32306170000004</v>
      </c>
      <c r="Z14">
        <v>156.62914079999999</v>
      </c>
      <c r="AA14">
        <v>54.228038699999999</v>
      </c>
      <c r="AB14">
        <v>126.78993800000001</v>
      </c>
      <c r="AC14">
        <v>821.05820719999997</v>
      </c>
      <c r="AD14">
        <v>201.6991405</v>
      </c>
      <c r="AE14">
        <v>134.83656450000001</v>
      </c>
      <c r="AF14">
        <v>296.73824619999999</v>
      </c>
      <c r="AG14">
        <v>224.68315100000001</v>
      </c>
      <c r="AH14">
        <v>768.55508069999996</v>
      </c>
      <c r="AI14">
        <v>137.03271559999999</v>
      </c>
      <c r="AJ14">
        <v>95.056888299999997</v>
      </c>
      <c r="AK14">
        <v>215.614025</v>
      </c>
      <c r="AL14">
        <v>322.49634229999998</v>
      </c>
      <c r="AM14">
        <v>567.06044010000005</v>
      </c>
      <c r="AN14">
        <v>268.44612960000001</v>
      </c>
      <c r="AO14">
        <v>262.11552399999999</v>
      </c>
      <c r="AP14">
        <v>82.4579162</v>
      </c>
      <c r="AQ14">
        <v>55.099386099999997</v>
      </c>
    </row>
    <row r="15" spans="1:43" x14ac:dyDescent="0.2">
      <c r="B15" s="3">
        <v>45789</v>
      </c>
      <c r="C15">
        <v>141.57164159999999</v>
      </c>
      <c r="D15">
        <v>58.744654799999999</v>
      </c>
      <c r="E15">
        <v>218.4366728</v>
      </c>
      <c r="F15">
        <v>79.462676000000002</v>
      </c>
      <c r="G15">
        <v>30.2336992</v>
      </c>
      <c r="H15">
        <v>154.63202240000001</v>
      </c>
      <c r="I15">
        <v>45.8015288</v>
      </c>
      <c r="J15">
        <v>285.62367319999998</v>
      </c>
      <c r="K15">
        <v>21.647040000000001</v>
      </c>
      <c r="L15">
        <v>46.2164304</v>
      </c>
      <c r="M15">
        <v>70.912095199999996</v>
      </c>
      <c r="N15">
        <v>15.5317512</v>
      </c>
      <c r="O15">
        <v>90.493646799999993</v>
      </c>
      <c r="P15">
        <v>76.116404399999993</v>
      </c>
      <c r="Q15">
        <v>19.9603748</v>
      </c>
      <c r="R15">
        <v>35.2756556</v>
      </c>
      <c r="S15">
        <v>46.126234400000001</v>
      </c>
      <c r="T15">
        <v>17.272534</v>
      </c>
      <c r="U15">
        <v>71.065428400000002</v>
      </c>
      <c r="V15">
        <v>23.180371999999998</v>
      </c>
      <c r="W15" s="3">
        <v>45789</v>
      </c>
      <c r="X15">
        <v>31.1086004</v>
      </c>
      <c r="Y15">
        <v>916.52665400000001</v>
      </c>
      <c r="Z15">
        <v>165.5908364</v>
      </c>
      <c r="AA15">
        <v>58.952105600000003</v>
      </c>
      <c r="AB15">
        <v>135.59164680000001</v>
      </c>
      <c r="AC15">
        <v>864.10473879999995</v>
      </c>
      <c r="AD15">
        <v>204.7719788</v>
      </c>
      <c r="AE15">
        <v>136.8183124</v>
      </c>
      <c r="AF15">
        <v>311.56404279999998</v>
      </c>
      <c r="AG15">
        <v>233.04842479999999</v>
      </c>
      <c r="AH15">
        <v>785.12912119999999</v>
      </c>
      <c r="AI15">
        <v>146.68575480000001</v>
      </c>
      <c r="AJ15">
        <v>99.513246800000005</v>
      </c>
      <c r="AK15">
        <v>225.7696076</v>
      </c>
      <c r="AL15">
        <v>339.66911640000001</v>
      </c>
      <c r="AM15">
        <v>639.69709079999996</v>
      </c>
      <c r="AN15">
        <v>287.74327920000002</v>
      </c>
      <c r="AO15">
        <v>270.38956880000001</v>
      </c>
      <c r="AP15">
        <v>87.571296399999994</v>
      </c>
      <c r="AQ15">
        <v>60.3681828</v>
      </c>
    </row>
    <row r="16" spans="1:43" x14ac:dyDescent="0.2">
      <c r="B16" s="3">
        <v>45790</v>
      </c>
      <c r="C16">
        <v>141.54077899999999</v>
      </c>
      <c r="D16">
        <v>57.385263399999999</v>
      </c>
      <c r="E16">
        <v>221.5475314</v>
      </c>
      <c r="F16">
        <v>82.009603600000005</v>
      </c>
      <c r="G16">
        <v>34.772715699999999</v>
      </c>
      <c r="H16">
        <v>143.8476344</v>
      </c>
      <c r="I16">
        <v>44.769089100000002</v>
      </c>
      <c r="J16">
        <v>281.1681198</v>
      </c>
      <c r="K16">
        <v>21.155115800000001</v>
      </c>
      <c r="L16">
        <v>45.7883973</v>
      </c>
      <c r="M16">
        <v>73.855137999999997</v>
      </c>
      <c r="N16">
        <v>15.1644448</v>
      </c>
      <c r="O16">
        <v>89.636532500000001</v>
      </c>
      <c r="P16">
        <v>78.442024900000007</v>
      </c>
      <c r="Q16">
        <v>20.332516200000001</v>
      </c>
      <c r="R16">
        <v>35.291311100000001</v>
      </c>
      <c r="S16">
        <v>47.3799487</v>
      </c>
      <c r="T16">
        <v>17.292474200000001</v>
      </c>
      <c r="U16">
        <v>70.582622200000003</v>
      </c>
      <c r="V16">
        <v>22.791373700000001</v>
      </c>
      <c r="W16" s="3">
        <v>45790</v>
      </c>
      <c r="X16">
        <v>30.159004899999999</v>
      </c>
      <c r="Y16">
        <v>893.26269390000004</v>
      </c>
      <c r="Z16">
        <v>165.94158669999999</v>
      </c>
      <c r="AA16">
        <v>58.547632399999998</v>
      </c>
      <c r="AB16">
        <v>134.7811562</v>
      </c>
      <c r="AC16">
        <v>857.63161339999999</v>
      </c>
      <c r="AD16">
        <v>200.07947010000001</v>
      </c>
      <c r="AE16">
        <v>135.24610379999999</v>
      </c>
      <c r="AF16">
        <v>310.33464040000001</v>
      </c>
      <c r="AG16">
        <v>232.6615673</v>
      </c>
      <c r="AH16">
        <v>776.81120269999997</v>
      </c>
      <c r="AI16">
        <v>147.5850978</v>
      </c>
      <c r="AJ16">
        <v>98.086061000000001</v>
      </c>
      <c r="AK16">
        <v>222.7635482</v>
      </c>
      <c r="AL16">
        <v>334.04696799999999</v>
      </c>
      <c r="AM16">
        <v>659.62652490000005</v>
      </c>
      <c r="AN16">
        <v>280.6137592</v>
      </c>
      <c r="AO16">
        <v>275.84804630000002</v>
      </c>
      <c r="AP16">
        <v>86.900494699999996</v>
      </c>
      <c r="AQ16">
        <v>61.507202700000001</v>
      </c>
    </row>
    <row r="17" spans="2:43" x14ac:dyDescent="0.2">
      <c r="B17" s="3">
        <v>45791</v>
      </c>
      <c r="C17">
        <v>142.7055378</v>
      </c>
      <c r="D17">
        <v>57.042838199999998</v>
      </c>
      <c r="E17">
        <v>224.95855409999999</v>
      </c>
      <c r="F17">
        <v>80.910621300000003</v>
      </c>
      <c r="G17">
        <v>40.271850000000001</v>
      </c>
      <c r="H17">
        <v>144.24481739999999</v>
      </c>
      <c r="I17">
        <v>43.547293799999998</v>
      </c>
      <c r="J17">
        <v>287.63945130000002</v>
      </c>
      <c r="K17">
        <v>20.762376</v>
      </c>
      <c r="L17">
        <v>46.008351300000001</v>
      </c>
      <c r="M17">
        <v>70.690520699999993</v>
      </c>
      <c r="N17">
        <v>15.2406579</v>
      </c>
      <c r="O17">
        <v>89.009737799999996</v>
      </c>
      <c r="P17">
        <v>76.937132099999999</v>
      </c>
      <c r="Q17">
        <v>20.5744407</v>
      </c>
      <c r="R17">
        <v>34.955965800000001</v>
      </c>
      <c r="S17">
        <v>45.265559400000001</v>
      </c>
      <c r="T17">
        <v>17.397439200000001</v>
      </c>
      <c r="U17">
        <v>69.366024300000007</v>
      </c>
      <c r="V17">
        <v>21.496218599999999</v>
      </c>
      <c r="W17" s="3">
        <v>45791</v>
      </c>
      <c r="X17">
        <v>29.9533071</v>
      </c>
      <c r="Y17">
        <v>887.35889220000001</v>
      </c>
      <c r="Z17">
        <v>165.27567239999999</v>
      </c>
      <c r="AA17">
        <v>57.373962300000002</v>
      </c>
      <c r="AB17">
        <v>132.34224839999999</v>
      </c>
      <c r="AC17">
        <v>865.45100579999996</v>
      </c>
      <c r="AD17">
        <v>199.13087429999999</v>
      </c>
      <c r="AE17">
        <v>136.03830930000001</v>
      </c>
      <c r="AF17">
        <v>311.31929910000002</v>
      </c>
      <c r="AG17">
        <v>230.19389459999999</v>
      </c>
      <c r="AH17">
        <v>768.93280530000004</v>
      </c>
      <c r="AI17">
        <v>147.1801878</v>
      </c>
      <c r="AJ17">
        <v>96.294467999999995</v>
      </c>
      <c r="AK17">
        <v>219.38314020000001</v>
      </c>
      <c r="AL17">
        <v>333.63885329999999</v>
      </c>
      <c r="AM17">
        <v>657.12920039999995</v>
      </c>
      <c r="AN17">
        <v>276.55126860000001</v>
      </c>
      <c r="AO17">
        <v>275.22677220000003</v>
      </c>
      <c r="AP17">
        <v>87.094587599999997</v>
      </c>
      <c r="AQ17">
        <v>62.126040600000003</v>
      </c>
    </row>
    <row r="18" spans="2:43" x14ac:dyDescent="0.2">
      <c r="B18" s="3">
        <v>45792</v>
      </c>
      <c r="C18">
        <v>144.17551810000001</v>
      </c>
      <c r="D18">
        <v>57.9508887</v>
      </c>
      <c r="E18">
        <v>223.57082790000001</v>
      </c>
      <c r="F18">
        <v>80.593122399999999</v>
      </c>
      <c r="G18">
        <v>39.295404400000002</v>
      </c>
      <c r="H18">
        <v>145.73088670000001</v>
      </c>
      <c r="I18">
        <v>44.551477599999998</v>
      </c>
      <c r="J18">
        <v>287.85045780000002</v>
      </c>
      <c r="K18">
        <v>21.346093199999999</v>
      </c>
      <c r="L18">
        <v>46.294563099999998</v>
      </c>
      <c r="M18">
        <v>68.418340599999993</v>
      </c>
      <c r="N18">
        <v>15.5000526</v>
      </c>
      <c r="O18">
        <v>90.220317699999995</v>
      </c>
      <c r="P18">
        <v>77.080134700000002</v>
      </c>
      <c r="Q18">
        <v>20.559470000000001</v>
      </c>
      <c r="R18">
        <v>34.387948299999998</v>
      </c>
      <c r="S18">
        <v>44.944789200000002</v>
      </c>
      <c r="T18">
        <v>17.064360099999998</v>
      </c>
      <c r="U18">
        <v>68.391523899999996</v>
      </c>
      <c r="V18">
        <v>21.1404985</v>
      </c>
      <c r="W18" s="3">
        <v>45792</v>
      </c>
      <c r="X18">
        <v>30.419076700000002</v>
      </c>
      <c r="Y18">
        <v>903.24902829999996</v>
      </c>
      <c r="Z18">
        <v>164.7886215</v>
      </c>
      <c r="AA18">
        <v>56.913976300000002</v>
      </c>
      <c r="AB18">
        <v>132.9571986</v>
      </c>
      <c r="AC18">
        <v>878.76538119999998</v>
      </c>
      <c r="AD18">
        <v>203.1275636</v>
      </c>
      <c r="AE18">
        <v>138.04343270000001</v>
      </c>
      <c r="AF18">
        <v>307.06909280000002</v>
      </c>
      <c r="AG18">
        <v>229.2470294</v>
      </c>
      <c r="AH18">
        <v>775.21716360000005</v>
      </c>
      <c r="AI18">
        <v>147.2951942</v>
      </c>
      <c r="AJ18">
        <v>97.639604700000007</v>
      </c>
      <c r="AK18">
        <v>221.65790329999999</v>
      </c>
      <c r="AL18">
        <v>338.4535707</v>
      </c>
      <c r="AM18">
        <v>634.94794479999996</v>
      </c>
      <c r="AN18">
        <v>280.26133170000003</v>
      </c>
      <c r="AO18">
        <v>275.19297540000002</v>
      </c>
      <c r="AP18">
        <v>87.288358500000001</v>
      </c>
      <c r="AQ18">
        <v>60.873908999999998</v>
      </c>
    </row>
    <row r="19" spans="2:43" x14ac:dyDescent="0.2">
      <c r="B19" s="3">
        <v>45793</v>
      </c>
      <c r="C19">
        <v>145.839496</v>
      </c>
      <c r="D19">
        <v>58.792666599999997</v>
      </c>
      <c r="E19">
        <v>228.81034439999999</v>
      </c>
      <c r="F19">
        <v>82.227317799999994</v>
      </c>
      <c r="G19">
        <v>41.342092999999998</v>
      </c>
      <c r="H19">
        <v>147.91779840000001</v>
      </c>
      <c r="I19">
        <v>44.880581999999997</v>
      </c>
      <c r="J19">
        <v>290.91754500000002</v>
      </c>
      <c r="K19">
        <v>21.660927600000001</v>
      </c>
      <c r="L19">
        <v>48.239907000000002</v>
      </c>
      <c r="M19">
        <v>69.811252600000003</v>
      </c>
      <c r="N19">
        <v>16.008303399999999</v>
      </c>
      <c r="O19">
        <v>91.104894000000002</v>
      </c>
      <c r="P19">
        <v>78.635079599999997</v>
      </c>
      <c r="Q19">
        <v>20.953229799999999</v>
      </c>
      <c r="R19">
        <v>34.059076400000002</v>
      </c>
      <c r="S19">
        <v>45.615154400000002</v>
      </c>
      <c r="T19">
        <v>17.2624514</v>
      </c>
      <c r="U19">
        <v>69.900834599999996</v>
      </c>
      <c r="V19">
        <v>22.2700852</v>
      </c>
      <c r="W19" s="3">
        <v>45793</v>
      </c>
      <c r="X19">
        <v>30.8341244</v>
      </c>
      <c r="Y19">
        <v>918.95903060000001</v>
      </c>
      <c r="Z19">
        <v>167.249594</v>
      </c>
      <c r="AA19">
        <v>58.380589399999998</v>
      </c>
      <c r="AB19">
        <v>137.15900020000001</v>
      </c>
      <c r="AC19">
        <v>886.60201219999999</v>
      </c>
      <c r="AD19">
        <v>207.28378979999999</v>
      </c>
      <c r="AE19">
        <v>139.7300036</v>
      </c>
      <c r="AF19">
        <v>310.5180866</v>
      </c>
      <c r="AG19">
        <v>233.23569520000001</v>
      </c>
      <c r="AH19">
        <v>784.66665439999997</v>
      </c>
      <c r="AI19">
        <v>148.16862800000001</v>
      </c>
      <c r="AJ19">
        <v>99.032900999999995</v>
      </c>
      <c r="AK19">
        <v>225.1553988</v>
      </c>
      <c r="AL19">
        <v>341.11033959999997</v>
      </c>
      <c r="AM19">
        <v>640.86962800000003</v>
      </c>
      <c r="AN19">
        <v>287.39697239999998</v>
      </c>
      <c r="AO19">
        <v>276.85317099999997</v>
      </c>
      <c r="AP19">
        <v>87.844109200000005</v>
      </c>
      <c r="AQ19">
        <v>61.148673199999998</v>
      </c>
    </row>
    <row r="20" spans="2:43" x14ac:dyDescent="0.2">
      <c r="B20" s="3">
        <v>45796</v>
      </c>
      <c r="C20">
        <v>147.87380479999999</v>
      </c>
      <c r="D20">
        <v>58.2546648</v>
      </c>
      <c r="E20">
        <v>225.96476559999999</v>
      </c>
      <c r="F20">
        <v>82.245019200000002</v>
      </c>
      <c r="G20">
        <v>39.841600800000002</v>
      </c>
      <c r="H20">
        <v>146.31714479999999</v>
      </c>
      <c r="I20">
        <v>45.303253599999998</v>
      </c>
      <c r="J20">
        <v>289.84119679999998</v>
      </c>
      <c r="K20">
        <v>21.348479999999999</v>
      </c>
      <c r="L20">
        <v>47.633795999999997</v>
      </c>
      <c r="M20">
        <v>69.934062400000002</v>
      </c>
      <c r="N20">
        <v>15.780084799999999</v>
      </c>
      <c r="O20">
        <v>90.900048799999993</v>
      </c>
      <c r="P20">
        <v>77.913056800000007</v>
      </c>
      <c r="Q20">
        <v>20.8058728</v>
      </c>
      <c r="R20">
        <v>34.513376000000001</v>
      </c>
      <c r="S20">
        <v>45.534528799999997</v>
      </c>
      <c r="T20">
        <v>16.8208232</v>
      </c>
      <c r="U20">
        <v>69.266922399999999</v>
      </c>
      <c r="V20">
        <v>23.474432799999999</v>
      </c>
      <c r="W20" s="3">
        <v>45796</v>
      </c>
      <c r="X20">
        <v>30.599488000000001</v>
      </c>
      <c r="Y20">
        <v>920.06611680000003</v>
      </c>
      <c r="Z20">
        <v>165.8154232</v>
      </c>
      <c r="AA20">
        <v>58.130132000000003</v>
      </c>
      <c r="AB20">
        <v>137.11061280000001</v>
      </c>
      <c r="AC20">
        <v>883.88044319999995</v>
      </c>
      <c r="AD20">
        <v>206.22631680000001</v>
      </c>
      <c r="AE20">
        <v>140.71316880000001</v>
      </c>
      <c r="AF20">
        <v>305.9770896</v>
      </c>
      <c r="AG20">
        <v>231.21293360000001</v>
      </c>
      <c r="AH20">
        <v>780.61606640000002</v>
      </c>
      <c r="AI20">
        <v>144.78717040000001</v>
      </c>
      <c r="AJ20">
        <v>98.425387999999998</v>
      </c>
      <c r="AK20">
        <v>223.9010792</v>
      </c>
      <c r="AL20">
        <v>337.46609760000001</v>
      </c>
      <c r="AM20">
        <v>624.78995280000004</v>
      </c>
      <c r="AN20">
        <v>286.82572399999998</v>
      </c>
      <c r="AO20">
        <v>274.15006399999999</v>
      </c>
      <c r="AP20">
        <v>87.137379199999998</v>
      </c>
      <c r="AQ20">
        <v>59.9002768</v>
      </c>
    </row>
    <row r="21" spans="2:43" x14ac:dyDescent="0.2">
      <c r="B21" s="3">
        <v>45797</v>
      </c>
      <c r="C21">
        <v>146.339687</v>
      </c>
      <c r="D21">
        <v>57.587458900000001</v>
      </c>
      <c r="E21">
        <v>220.88340400000001</v>
      </c>
      <c r="F21">
        <v>81.430811899999995</v>
      </c>
      <c r="G21">
        <v>37.910044900000003</v>
      </c>
      <c r="H21">
        <v>144.42512780000001</v>
      </c>
      <c r="I21">
        <v>46.357151000000002</v>
      </c>
      <c r="J21">
        <v>290.2595839</v>
      </c>
      <c r="K21">
        <v>21.3881081</v>
      </c>
      <c r="L21">
        <v>47.784206699999999</v>
      </c>
      <c r="M21">
        <v>67.656622100000007</v>
      </c>
      <c r="N21">
        <v>15.7242038</v>
      </c>
      <c r="O21">
        <v>90.427467399999998</v>
      </c>
      <c r="P21">
        <v>77.9296504</v>
      </c>
      <c r="Q21">
        <v>20.297872999999999</v>
      </c>
      <c r="R21">
        <v>34.036608000000001</v>
      </c>
      <c r="S21">
        <v>44.300772600000002</v>
      </c>
      <c r="T21">
        <v>16.1053429</v>
      </c>
      <c r="U21">
        <v>68.684811300000007</v>
      </c>
      <c r="V21">
        <v>24.809496299999999</v>
      </c>
      <c r="W21" s="3">
        <v>45797</v>
      </c>
      <c r="X21">
        <v>30.4202184</v>
      </c>
      <c r="Y21">
        <v>919.00614340000004</v>
      </c>
      <c r="Z21">
        <v>163.33139990000001</v>
      </c>
      <c r="AA21">
        <v>58.571329599999999</v>
      </c>
      <c r="AB21">
        <v>136.63393550000001</v>
      </c>
      <c r="AC21">
        <v>884.34021270000005</v>
      </c>
      <c r="AD21">
        <v>204.58305970000001</v>
      </c>
      <c r="AE21">
        <v>139.75395789999999</v>
      </c>
      <c r="AF21">
        <v>306.68401999999998</v>
      </c>
      <c r="AG21">
        <v>231.0677953</v>
      </c>
      <c r="AH21">
        <v>776.36261930000001</v>
      </c>
      <c r="AI21">
        <v>144.30103600000001</v>
      </c>
      <c r="AJ21">
        <v>96.375010099999997</v>
      </c>
      <c r="AK21">
        <v>221.53931779999999</v>
      </c>
      <c r="AL21">
        <v>334.20580849999999</v>
      </c>
      <c r="AM21">
        <v>620.60968290000005</v>
      </c>
      <c r="AN21">
        <v>278.71904649999999</v>
      </c>
      <c r="AO21">
        <v>273.0817333</v>
      </c>
      <c r="AP21">
        <v>86.057663300000002</v>
      </c>
      <c r="AQ21">
        <v>59.821111299999998</v>
      </c>
    </row>
    <row r="22" spans="2:43" x14ac:dyDescent="0.2">
      <c r="B22" s="3">
        <v>45798</v>
      </c>
      <c r="C22">
        <v>143.66662439999999</v>
      </c>
      <c r="D22">
        <v>56.156737800000002</v>
      </c>
      <c r="E22">
        <v>209.85954749999999</v>
      </c>
      <c r="F22">
        <v>78.268122300000002</v>
      </c>
      <c r="G22">
        <v>36.764038499999998</v>
      </c>
      <c r="H22">
        <v>139.57094280000001</v>
      </c>
      <c r="I22">
        <v>46.464801600000001</v>
      </c>
      <c r="J22">
        <v>286.43290500000001</v>
      </c>
      <c r="K22">
        <v>21.184560000000001</v>
      </c>
      <c r="L22">
        <v>45.379092900000003</v>
      </c>
      <c r="M22">
        <v>64.727657699999995</v>
      </c>
      <c r="N22">
        <v>15.358806</v>
      </c>
      <c r="O22">
        <v>88.701518100000001</v>
      </c>
      <c r="P22">
        <v>78.868351500000003</v>
      </c>
      <c r="Q22">
        <v>19.4544876</v>
      </c>
      <c r="R22">
        <v>33.551046900000003</v>
      </c>
      <c r="S22">
        <v>42.607446299999999</v>
      </c>
      <c r="T22">
        <v>15.1999218</v>
      </c>
      <c r="U22">
        <v>67.455169799999993</v>
      </c>
      <c r="V22">
        <v>22.773402000000001</v>
      </c>
      <c r="W22" s="3">
        <v>45798</v>
      </c>
      <c r="X22">
        <v>29.6407302</v>
      </c>
      <c r="Y22">
        <v>905.02205700000002</v>
      </c>
      <c r="Z22">
        <v>157.9308948</v>
      </c>
      <c r="AA22">
        <v>56.192045399999998</v>
      </c>
      <c r="AB22">
        <v>131.873886</v>
      </c>
      <c r="AC22">
        <v>858.70731269999999</v>
      </c>
      <c r="AD22">
        <v>202.1448369</v>
      </c>
      <c r="AE22">
        <v>137.89383179999999</v>
      </c>
      <c r="AF22">
        <v>302.76267000000001</v>
      </c>
      <c r="AG22">
        <v>227.0720025</v>
      </c>
      <c r="AH22">
        <v>758.35428660000002</v>
      </c>
      <c r="AI22">
        <v>143.4106443</v>
      </c>
      <c r="AJ22">
        <v>92.391162300000005</v>
      </c>
      <c r="AK22">
        <v>215.9501085</v>
      </c>
      <c r="AL22">
        <v>327.33675959999999</v>
      </c>
      <c r="AM22">
        <v>599.01108780000004</v>
      </c>
      <c r="AN22">
        <v>267.24322439999997</v>
      </c>
      <c r="AO22">
        <v>266.36936129999998</v>
      </c>
      <c r="AP22">
        <v>83.934992100000002</v>
      </c>
      <c r="AQ22">
        <v>59.1049224</v>
      </c>
    </row>
    <row r="23" spans="2:43" x14ac:dyDescent="0.2">
      <c r="B23" s="3">
        <v>45799</v>
      </c>
      <c r="C23">
        <v>144.5116252</v>
      </c>
      <c r="D23">
        <v>56.426997999999998</v>
      </c>
      <c r="E23">
        <v>211.34636800000001</v>
      </c>
      <c r="F23">
        <v>78.013760000000005</v>
      </c>
      <c r="G23">
        <v>36.631006399999997</v>
      </c>
      <c r="H23">
        <v>140.025834</v>
      </c>
      <c r="I23">
        <v>46.675277999999999</v>
      </c>
      <c r="J23">
        <v>284.57292000000001</v>
      </c>
      <c r="K23">
        <v>20.833220000000001</v>
      </c>
      <c r="L23">
        <v>45.230250400000003</v>
      </c>
      <c r="M23">
        <v>67.375519999999995</v>
      </c>
      <c r="N23">
        <v>15.0885704</v>
      </c>
      <c r="O23">
        <v>89.520789600000001</v>
      </c>
      <c r="P23">
        <v>78.820493200000001</v>
      </c>
      <c r="Q23">
        <v>19.8846436</v>
      </c>
      <c r="R23">
        <v>33.421804000000002</v>
      </c>
      <c r="S23">
        <v>42.996220000000001</v>
      </c>
      <c r="T23">
        <v>15.4609088</v>
      </c>
      <c r="U23">
        <v>68.332961600000004</v>
      </c>
      <c r="V23">
        <v>23.687814400000001</v>
      </c>
      <c r="W23" s="3">
        <v>45799</v>
      </c>
      <c r="X23">
        <v>29.343812</v>
      </c>
      <c r="Y23">
        <v>902.59260759999995</v>
      </c>
      <c r="Z23">
        <v>159.44062199999999</v>
      </c>
      <c r="AA23">
        <v>57.109618400000002</v>
      </c>
      <c r="AB23">
        <v>132.78296560000001</v>
      </c>
      <c r="AC23">
        <v>859.83574799999997</v>
      </c>
      <c r="AD23">
        <v>202.54322440000001</v>
      </c>
      <c r="AE23">
        <v>138.45669359999999</v>
      </c>
      <c r="AF23">
        <v>304.65259800000001</v>
      </c>
      <c r="AG23">
        <v>231.82498000000001</v>
      </c>
      <c r="AH23">
        <v>768.16958</v>
      </c>
      <c r="AI23">
        <v>143.3857448</v>
      </c>
      <c r="AJ23">
        <v>93.164386800000003</v>
      </c>
      <c r="AK23">
        <v>216.9403092</v>
      </c>
      <c r="AL23">
        <v>324.58156760000003</v>
      </c>
      <c r="AM23">
        <v>595.91874399999995</v>
      </c>
      <c r="AN23">
        <v>269.03222440000002</v>
      </c>
      <c r="AO23">
        <v>271.54107599999998</v>
      </c>
      <c r="AP23">
        <v>83.740679200000002</v>
      </c>
      <c r="AQ23">
        <v>59.370244399999997</v>
      </c>
    </row>
    <row r="24" spans="2:43" x14ac:dyDescent="0.2">
      <c r="B24" s="3">
        <v>45800</v>
      </c>
      <c r="C24">
        <v>145.27424730000001</v>
      </c>
      <c r="D24">
        <v>56.423676399999998</v>
      </c>
      <c r="E24">
        <v>211.2983964</v>
      </c>
      <c r="F24">
        <v>77.217367499999995</v>
      </c>
      <c r="G24">
        <v>35.277997300000003</v>
      </c>
      <c r="H24">
        <v>137.95289690000001</v>
      </c>
      <c r="I24">
        <v>47.210390500000003</v>
      </c>
      <c r="J24">
        <v>282.78715920000002</v>
      </c>
      <c r="K24">
        <v>20.881688100000002</v>
      </c>
      <c r="L24">
        <v>44.491283199999998</v>
      </c>
      <c r="M24">
        <v>65.689760500000006</v>
      </c>
      <c r="N24">
        <v>15.0034885</v>
      </c>
      <c r="O24">
        <v>88.401786200000004</v>
      </c>
      <c r="P24">
        <v>78.2205333</v>
      </c>
      <c r="Q24">
        <v>19.5793325</v>
      </c>
      <c r="R24">
        <v>34.3364294</v>
      </c>
      <c r="S24">
        <v>42.1681624</v>
      </c>
      <c r="T24">
        <v>15.2410804</v>
      </c>
      <c r="U24">
        <v>66.736924799999997</v>
      </c>
      <c r="V24">
        <v>23.108012200000001</v>
      </c>
      <c r="W24" s="3">
        <v>45800</v>
      </c>
      <c r="X24">
        <v>29.047809699999998</v>
      </c>
      <c r="Y24">
        <v>887.44974500000001</v>
      </c>
      <c r="Z24">
        <v>156.5378633</v>
      </c>
      <c r="AA24">
        <v>56.0452893</v>
      </c>
      <c r="AB24">
        <v>129.90117140000001</v>
      </c>
      <c r="AC24">
        <v>847.56950459999996</v>
      </c>
      <c r="AD24">
        <v>201.80352009999999</v>
      </c>
      <c r="AE24">
        <v>137.3545173</v>
      </c>
      <c r="AF24">
        <v>301.09933489999997</v>
      </c>
      <c r="AG24">
        <v>226.94426300000001</v>
      </c>
      <c r="AH24">
        <v>759.81889620000004</v>
      </c>
      <c r="AI24">
        <v>140.82159909999999</v>
      </c>
      <c r="AJ24">
        <v>91.552078800000004</v>
      </c>
      <c r="AK24">
        <v>212.81194479999999</v>
      </c>
      <c r="AL24">
        <v>319.1739187</v>
      </c>
      <c r="AM24">
        <v>582.69853460000002</v>
      </c>
      <c r="AN24">
        <v>266.00613129999999</v>
      </c>
      <c r="AO24">
        <v>268.86603380000003</v>
      </c>
      <c r="AP24">
        <v>81.854809399999994</v>
      </c>
      <c r="AQ24">
        <v>58.1308182</v>
      </c>
    </row>
    <row r="25" spans="2:43" x14ac:dyDescent="0.2">
      <c r="B25" s="3">
        <v>45804</v>
      </c>
      <c r="C25">
        <v>149.7972413</v>
      </c>
      <c r="D25">
        <v>57.4241885</v>
      </c>
      <c r="E25">
        <v>225.58304580000001</v>
      </c>
      <c r="F25">
        <v>78.56653</v>
      </c>
      <c r="G25">
        <v>36.696748900000003</v>
      </c>
      <c r="H25">
        <v>141.4285817</v>
      </c>
      <c r="I25">
        <v>46.530806699999999</v>
      </c>
      <c r="J25">
        <v>288.34799279999999</v>
      </c>
      <c r="K25">
        <v>21.124686100000002</v>
      </c>
      <c r="L25">
        <v>46.954536300000001</v>
      </c>
      <c r="M25">
        <v>69.0149586</v>
      </c>
      <c r="N25">
        <v>15.051228500000001</v>
      </c>
      <c r="O25">
        <v>89.592327299999994</v>
      </c>
      <c r="P25">
        <v>80.808765800000003</v>
      </c>
      <c r="Q25">
        <v>20.833372000000001</v>
      </c>
      <c r="R25">
        <v>34.993002799999999</v>
      </c>
      <c r="S25">
        <v>43.608837999999999</v>
      </c>
      <c r="T25">
        <v>15.969309300000001</v>
      </c>
      <c r="U25">
        <v>68.758955299999997</v>
      </c>
      <c r="V25">
        <v>23.622925200000001</v>
      </c>
      <c r="W25" s="3">
        <v>45804</v>
      </c>
      <c r="X25">
        <v>29.466862599999999</v>
      </c>
      <c r="Y25">
        <v>898.47447829999999</v>
      </c>
      <c r="Z25">
        <v>160.27572119999999</v>
      </c>
      <c r="AA25">
        <v>59.198556199999999</v>
      </c>
      <c r="AB25">
        <v>131.9652873</v>
      </c>
      <c r="AC25">
        <v>866.27985639999997</v>
      </c>
      <c r="AD25">
        <v>204.38773810000001</v>
      </c>
      <c r="AE25">
        <v>140.3339469</v>
      </c>
      <c r="AF25">
        <v>307.40699710000001</v>
      </c>
      <c r="AG25">
        <v>230.63249020000001</v>
      </c>
      <c r="AH25">
        <v>774.0215637</v>
      </c>
      <c r="AI25">
        <v>143.23826020000001</v>
      </c>
      <c r="AJ25">
        <v>94.120937400000003</v>
      </c>
      <c r="AK25">
        <v>217.77053129999999</v>
      </c>
      <c r="AL25">
        <v>326.97800799999999</v>
      </c>
      <c r="AM25">
        <v>605.15649040000005</v>
      </c>
      <c r="AN25">
        <v>266.18163809999999</v>
      </c>
      <c r="AO25">
        <v>276.38645930000001</v>
      </c>
      <c r="AP25">
        <v>84.357501200000002</v>
      </c>
      <c r="AQ25">
        <v>60.381467999999998</v>
      </c>
    </row>
    <row r="26" spans="2:43" x14ac:dyDescent="0.2">
      <c r="B26" s="3">
        <v>45805</v>
      </c>
      <c r="C26">
        <v>150.8319856</v>
      </c>
      <c r="D26">
        <v>57.0136404</v>
      </c>
      <c r="E26">
        <v>222.103464</v>
      </c>
      <c r="F26">
        <v>78.161290800000003</v>
      </c>
      <c r="G26">
        <v>37.158936799999999</v>
      </c>
      <c r="H26">
        <v>142.76435179999999</v>
      </c>
      <c r="I26">
        <v>46.802903000000001</v>
      </c>
      <c r="J26">
        <v>286.52940899999999</v>
      </c>
      <c r="K26">
        <v>20.855409000000002</v>
      </c>
      <c r="L26">
        <v>47.254548800000002</v>
      </c>
      <c r="M26">
        <v>68.632450000000006</v>
      </c>
      <c r="N26">
        <v>14.966302000000001</v>
      </c>
      <c r="O26">
        <v>89.231040800000002</v>
      </c>
      <c r="P26">
        <v>81.057137400000002</v>
      </c>
      <c r="Q26">
        <v>20.36834</v>
      </c>
      <c r="R26">
        <v>34.440206199999999</v>
      </c>
      <c r="S26">
        <v>43.039188000000003</v>
      </c>
      <c r="T26">
        <v>15.5330732</v>
      </c>
      <c r="U26">
        <v>67.676023599999994</v>
      </c>
      <c r="V26">
        <v>23.069358999999999</v>
      </c>
      <c r="W26" s="3">
        <v>45805</v>
      </c>
      <c r="X26">
        <v>29.401256</v>
      </c>
      <c r="Y26">
        <v>897.21652119999999</v>
      </c>
      <c r="Z26">
        <v>158.9970332</v>
      </c>
      <c r="AA26">
        <v>58.687386600000004</v>
      </c>
      <c r="AB26">
        <v>131.6503228</v>
      </c>
      <c r="AC26">
        <v>860.14614240000003</v>
      </c>
      <c r="AD26">
        <v>203.25832159999999</v>
      </c>
      <c r="AE26">
        <v>139.0272042</v>
      </c>
      <c r="AF26">
        <v>292.1794094</v>
      </c>
      <c r="AG26">
        <v>229.7725868</v>
      </c>
      <c r="AH26">
        <v>779.85945960000004</v>
      </c>
      <c r="AI26">
        <v>140.3998532</v>
      </c>
      <c r="AJ26">
        <v>95.571793600000007</v>
      </c>
      <c r="AK26">
        <v>215.9309714</v>
      </c>
      <c r="AL26">
        <v>325.94657480000001</v>
      </c>
      <c r="AM26">
        <v>599.96273840000003</v>
      </c>
      <c r="AN26">
        <v>264.75299680000001</v>
      </c>
      <c r="AO26">
        <v>276.64633620000001</v>
      </c>
      <c r="AP26">
        <v>83.244519999999994</v>
      </c>
      <c r="AQ26">
        <v>59.962621800000001</v>
      </c>
    </row>
    <row r="27" spans="2:43" x14ac:dyDescent="0.2">
      <c r="B27" s="3">
        <v>45806</v>
      </c>
      <c r="C27">
        <v>149.58224870000001</v>
      </c>
      <c r="D27">
        <v>56.415434500000003</v>
      </c>
      <c r="E27">
        <v>223.76216919999999</v>
      </c>
      <c r="F27">
        <v>74.135948999999997</v>
      </c>
      <c r="G27">
        <v>36.188544499999999</v>
      </c>
      <c r="H27">
        <v>143.54935889999999</v>
      </c>
      <c r="I27">
        <v>46.1876636</v>
      </c>
      <c r="J27">
        <v>284.8034055</v>
      </c>
      <c r="K27">
        <v>20.7369594</v>
      </c>
      <c r="L27">
        <v>47.700283200000001</v>
      </c>
      <c r="M27">
        <v>69.096815100000001</v>
      </c>
      <c r="N27">
        <v>15.011870099999999</v>
      </c>
      <c r="O27">
        <v>89.033493199999995</v>
      </c>
      <c r="P27">
        <v>79.245437300000006</v>
      </c>
      <c r="Q27">
        <v>20.3675988</v>
      </c>
      <c r="R27">
        <v>34.324152900000001</v>
      </c>
      <c r="S27">
        <v>42.652355</v>
      </c>
      <c r="T27">
        <v>15.477968000000001</v>
      </c>
      <c r="U27">
        <v>66.915828700000006</v>
      </c>
      <c r="V27">
        <v>23.6830499</v>
      </c>
      <c r="W27" s="3">
        <v>45806</v>
      </c>
      <c r="X27">
        <v>29.460905</v>
      </c>
      <c r="Y27">
        <v>887.11621820000005</v>
      </c>
      <c r="Z27">
        <v>158.01598240000001</v>
      </c>
      <c r="AA27">
        <v>60.390458099999996</v>
      </c>
      <c r="AB27">
        <v>131.58911090000001</v>
      </c>
      <c r="AC27">
        <v>858.60509760000002</v>
      </c>
      <c r="AD27">
        <v>203.57925069999999</v>
      </c>
      <c r="AE27">
        <v>138.43987060000001</v>
      </c>
      <c r="AF27">
        <v>289.10381819999998</v>
      </c>
      <c r="AG27">
        <v>224.85266240000001</v>
      </c>
      <c r="AH27">
        <v>780.43256489999999</v>
      </c>
      <c r="AI27">
        <v>139.5303638</v>
      </c>
      <c r="AJ27">
        <v>96.060138899999998</v>
      </c>
      <c r="AK27">
        <v>216.10233389999999</v>
      </c>
      <c r="AL27">
        <v>323.88527470000002</v>
      </c>
      <c r="AM27">
        <v>598.64558959999999</v>
      </c>
      <c r="AN27">
        <v>264.5237497</v>
      </c>
      <c r="AO27">
        <v>276.95888989999997</v>
      </c>
      <c r="AP27">
        <v>82.939043299999994</v>
      </c>
      <c r="AQ27">
        <v>59.880388699999997</v>
      </c>
    </row>
    <row r="28" spans="2:43" x14ac:dyDescent="0.2">
      <c r="B28" s="3">
        <v>45807</v>
      </c>
      <c r="C28">
        <v>149.72235810000001</v>
      </c>
      <c r="D28">
        <v>56.649321200000003</v>
      </c>
      <c r="E28">
        <v>226.46509130000001</v>
      </c>
      <c r="F28">
        <v>74.169366400000001</v>
      </c>
      <c r="G28">
        <v>35.269225800000001</v>
      </c>
      <c r="H28">
        <v>143.71196029999999</v>
      </c>
      <c r="I28">
        <v>46.4616088</v>
      </c>
      <c r="J28">
        <v>286.44568870000001</v>
      </c>
      <c r="K28">
        <v>21.036392299999999</v>
      </c>
      <c r="L28">
        <v>49.1583562</v>
      </c>
      <c r="M28">
        <v>70.014084049999994</v>
      </c>
      <c r="N28">
        <v>14.8761752</v>
      </c>
      <c r="O28">
        <v>89.036728699999998</v>
      </c>
      <c r="P28">
        <v>79.941815899999995</v>
      </c>
      <c r="Q28">
        <v>20.4635538</v>
      </c>
      <c r="R28">
        <v>33.912039200000002</v>
      </c>
      <c r="S28">
        <v>42.645623100000002</v>
      </c>
      <c r="T28">
        <v>15.5547685</v>
      </c>
      <c r="U28">
        <v>66.916349699999998</v>
      </c>
      <c r="V28">
        <v>23.407062400000001</v>
      </c>
      <c r="W28" s="3">
        <v>45807</v>
      </c>
      <c r="X28">
        <v>29.699473000000001</v>
      </c>
      <c r="Y28">
        <v>916.70023219999996</v>
      </c>
      <c r="Z28">
        <v>156.64929749999999</v>
      </c>
      <c r="AA28">
        <v>58.993552600000001</v>
      </c>
      <c r="AB28">
        <v>130.7393715</v>
      </c>
      <c r="AC28">
        <v>863.5672581</v>
      </c>
      <c r="AD28">
        <v>205.92222140000001</v>
      </c>
      <c r="AE28">
        <v>139.1645039</v>
      </c>
      <c r="AF28">
        <v>291.54835780000002</v>
      </c>
      <c r="AG28">
        <v>228.3334261</v>
      </c>
      <c r="AH28">
        <v>783.30817779999995</v>
      </c>
      <c r="AI28">
        <v>138.3977816</v>
      </c>
      <c r="AJ28">
        <v>95.708094000000003</v>
      </c>
      <c r="AK28">
        <v>215.9865532</v>
      </c>
      <c r="AL28">
        <v>324.57029410000001</v>
      </c>
      <c r="AM28">
        <v>583.32585099999994</v>
      </c>
      <c r="AN28">
        <v>264.90696109999999</v>
      </c>
      <c r="AO28">
        <v>278.09105949999997</v>
      </c>
      <c r="AP28">
        <v>82.479931100000002</v>
      </c>
      <c r="AQ28">
        <v>58.878984899999999</v>
      </c>
    </row>
    <row r="29" spans="2:43" x14ac:dyDescent="0.2">
      <c r="B29" s="3">
        <v>45810</v>
      </c>
      <c r="C29">
        <v>150.90473249999999</v>
      </c>
      <c r="D29">
        <v>56.017864500000002</v>
      </c>
      <c r="E29">
        <v>228.93991650000001</v>
      </c>
      <c r="F29">
        <v>73.105542</v>
      </c>
      <c r="G29">
        <v>36.010860000000001</v>
      </c>
      <c r="H29">
        <v>142.39148549999999</v>
      </c>
      <c r="I29">
        <v>48.579698999999998</v>
      </c>
      <c r="J29">
        <v>284.06625000000003</v>
      </c>
      <c r="K29">
        <v>20.6887635</v>
      </c>
      <c r="L29">
        <v>47.932901999999999</v>
      </c>
      <c r="M29">
        <v>70.999081500000003</v>
      </c>
      <c r="N29">
        <v>14.552932500000001</v>
      </c>
      <c r="O29">
        <v>87.649733999999995</v>
      </c>
      <c r="P29">
        <v>81.260428500000003</v>
      </c>
      <c r="Q29">
        <v>20.575137000000002</v>
      </c>
      <c r="R29">
        <v>35.093107500000002</v>
      </c>
      <c r="S29">
        <v>42.391424999999998</v>
      </c>
      <c r="T29">
        <v>15.444463499999999</v>
      </c>
      <c r="U29">
        <v>66.576388499999993</v>
      </c>
      <c r="V29">
        <v>23.6430525</v>
      </c>
      <c r="W29" s="3">
        <v>45810</v>
      </c>
      <c r="X29">
        <v>29.429263500000001</v>
      </c>
      <c r="Y29">
        <v>923.73974250000003</v>
      </c>
      <c r="Z29">
        <v>153.90272400000001</v>
      </c>
      <c r="AA29">
        <v>58.255432499999998</v>
      </c>
      <c r="AB29">
        <v>127.96092</v>
      </c>
      <c r="AC29">
        <v>854.88208350000002</v>
      </c>
      <c r="AD29">
        <v>205.19197800000001</v>
      </c>
      <c r="AE29">
        <v>137.66287500000001</v>
      </c>
      <c r="AF29">
        <v>290.71777049999997</v>
      </c>
      <c r="AG29">
        <v>226.85093699999999</v>
      </c>
      <c r="AH29">
        <v>778.3327845</v>
      </c>
      <c r="AI29">
        <v>138.414558</v>
      </c>
      <c r="AJ29">
        <v>95.052937499999999</v>
      </c>
      <c r="AK29">
        <v>212.0882325</v>
      </c>
      <c r="AL29">
        <v>321.61543799999998</v>
      </c>
      <c r="AM29">
        <v>584.442273</v>
      </c>
      <c r="AN29">
        <v>262.21499999999997</v>
      </c>
      <c r="AO29">
        <v>277.31858399999999</v>
      </c>
      <c r="AP29">
        <v>80.543707499999996</v>
      </c>
      <c r="AQ29">
        <v>57.075465000000001</v>
      </c>
    </row>
    <row r="30" spans="2:43" x14ac:dyDescent="0.2">
      <c r="B30" s="3">
        <v>45811</v>
      </c>
      <c r="C30">
        <v>151.81222109999999</v>
      </c>
      <c r="D30">
        <v>55.6290075</v>
      </c>
      <c r="E30">
        <v>234.6180876</v>
      </c>
      <c r="F30">
        <v>72.585960299999996</v>
      </c>
      <c r="G30">
        <v>37.986036900000002</v>
      </c>
      <c r="H30">
        <v>142.28712780000001</v>
      </c>
      <c r="I30">
        <v>48.672083399999998</v>
      </c>
      <c r="J30">
        <v>284.2928124</v>
      </c>
      <c r="K30">
        <v>19.5339171</v>
      </c>
      <c r="L30">
        <v>48.962321699999997</v>
      </c>
      <c r="M30">
        <v>71.310670799999997</v>
      </c>
      <c r="N30">
        <v>14.5470954</v>
      </c>
      <c r="O30">
        <v>88.267623599999993</v>
      </c>
      <c r="P30">
        <v>81.196363199999993</v>
      </c>
      <c r="Q30">
        <v>21.046674299999999</v>
      </c>
      <c r="R30">
        <v>35.391482400000001</v>
      </c>
      <c r="S30">
        <v>42.946473300000001</v>
      </c>
      <c r="T30">
        <v>16.0774428</v>
      </c>
      <c r="U30">
        <v>67.801425899999998</v>
      </c>
      <c r="V30">
        <v>24.459173100000001</v>
      </c>
      <c r="W30" s="3">
        <v>45811</v>
      </c>
      <c r="X30">
        <v>29.4196095</v>
      </c>
      <c r="Y30">
        <v>928.40196089999995</v>
      </c>
      <c r="Z30">
        <v>156.5263947</v>
      </c>
      <c r="AA30">
        <v>60.624624300000001</v>
      </c>
      <c r="AB30">
        <v>130.2818163</v>
      </c>
      <c r="AC30">
        <v>863.79315629999996</v>
      </c>
      <c r="AD30">
        <v>206.56171860000001</v>
      </c>
      <c r="AE30">
        <v>139.1824575</v>
      </c>
      <c r="AF30">
        <v>294.53910389999999</v>
      </c>
      <c r="AG30">
        <v>232.01473799999999</v>
      </c>
      <c r="AH30">
        <v>787.02072840000005</v>
      </c>
      <c r="AI30">
        <v>141.41641290000001</v>
      </c>
      <c r="AJ30">
        <v>95.884180200000003</v>
      </c>
      <c r="AK30">
        <v>215.70862260000001</v>
      </c>
      <c r="AL30">
        <v>328.12759080000001</v>
      </c>
      <c r="AM30">
        <v>603.13277760000005</v>
      </c>
      <c r="AN30">
        <v>268.5583785</v>
      </c>
      <c r="AO30">
        <v>278.4704562</v>
      </c>
      <c r="AP30">
        <v>82.3045458</v>
      </c>
      <c r="AQ30">
        <v>58.8304239</v>
      </c>
    </row>
    <row r="31" spans="2:43" x14ac:dyDescent="0.2">
      <c r="B31" s="3">
        <v>45812</v>
      </c>
      <c r="C31">
        <v>152.35230659999999</v>
      </c>
      <c r="D31">
        <v>55.338730200000001</v>
      </c>
      <c r="E31">
        <v>232.67141960000001</v>
      </c>
      <c r="F31">
        <v>73.093020499999994</v>
      </c>
      <c r="G31">
        <v>38.653025700000001</v>
      </c>
      <c r="H31">
        <v>141.56134180000001</v>
      </c>
      <c r="I31">
        <v>48.419199200000001</v>
      </c>
      <c r="J31">
        <v>279.59284689999998</v>
      </c>
      <c r="K31">
        <v>18.989295200000001</v>
      </c>
      <c r="L31">
        <v>48.366645800000001</v>
      </c>
      <c r="M31">
        <v>71.490141800000004</v>
      </c>
      <c r="N31">
        <v>14.0667934</v>
      </c>
      <c r="O31">
        <v>86.643038799999999</v>
      </c>
      <c r="P31">
        <v>80.257800700000004</v>
      </c>
      <c r="Q31">
        <v>20.872458699999999</v>
      </c>
      <c r="R31">
        <v>35.788865399999999</v>
      </c>
      <c r="S31">
        <v>42.901092200000001</v>
      </c>
      <c r="T31">
        <v>16.116375999999999</v>
      </c>
      <c r="U31">
        <v>67.093174000000005</v>
      </c>
      <c r="V31">
        <v>23.8855203</v>
      </c>
      <c r="W31" s="3">
        <v>45812</v>
      </c>
      <c r="X31">
        <v>29.1145836</v>
      </c>
      <c r="Y31">
        <v>921.16475409999998</v>
      </c>
      <c r="Z31">
        <v>155.6106174</v>
      </c>
      <c r="AA31">
        <v>60.287508699999997</v>
      </c>
      <c r="AB31">
        <v>128.58941089999999</v>
      </c>
      <c r="AC31">
        <v>866.22893329999999</v>
      </c>
      <c r="AD31">
        <v>203.4867648</v>
      </c>
      <c r="AE31">
        <v>139.55555369999999</v>
      </c>
      <c r="AF31">
        <v>294.83333290000002</v>
      </c>
      <c r="AG31">
        <v>231.93567200000001</v>
      </c>
      <c r="AH31">
        <v>798.98685799999998</v>
      </c>
      <c r="AI31">
        <v>141.0708434</v>
      </c>
      <c r="AJ31">
        <v>94.972752700000001</v>
      </c>
      <c r="AK31">
        <v>215.91564389999999</v>
      </c>
      <c r="AL31">
        <v>326.18143600000002</v>
      </c>
      <c r="AM31">
        <v>608.52457749999996</v>
      </c>
      <c r="AN31">
        <v>271.01788379999999</v>
      </c>
      <c r="AO31">
        <v>279.31256209999998</v>
      </c>
      <c r="AP31">
        <v>82.149723100000003</v>
      </c>
      <c r="AQ31">
        <v>57.703633199999999</v>
      </c>
    </row>
    <row r="32" spans="2:43" x14ac:dyDescent="0.2">
      <c r="B32" s="3">
        <v>45813</v>
      </c>
      <c r="C32">
        <v>152.92723820000001</v>
      </c>
      <c r="D32">
        <v>55.312806000000002</v>
      </c>
      <c r="E32">
        <v>237.15474800000001</v>
      </c>
      <c r="F32">
        <v>73.986339400000006</v>
      </c>
      <c r="G32">
        <v>35.625641399999999</v>
      </c>
      <c r="H32">
        <v>140.466565</v>
      </c>
      <c r="I32">
        <v>47.631928199999997</v>
      </c>
      <c r="J32">
        <v>277.14075120000001</v>
      </c>
      <c r="K32">
        <v>18.918202999999998</v>
      </c>
      <c r="L32">
        <v>48.269816800000001</v>
      </c>
      <c r="M32">
        <v>70.211437000000004</v>
      </c>
      <c r="N32">
        <v>13.9199526</v>
      </c>
      <c r="O32">
        <v>87.093639400000001</v>
      </c>
      <c r="P32">
        <v>80.636109599999997</v>
      </c>
      <c r="Q32">
        <v>20.989156399999999</v>
      </c>
      <c r="R32">
        <v>36.429555800000003</v>
      </c>
      <c r="S32">
        <v>42.677368800000004</v>
      </c>
      <c r="T32">
        <v>16.908417</v>
      </c>
      <c r="U32">
        <v>66.532654800000003</v>
      </c>
      <c r="V32">
        <v>22.824178400000001</v>
      </c>
      <c r="W32" s="3">
        <v>45813</v>
      </c>
      <c r="X32">
        <v>28.783630800000001</v>
      </c>
      <c r="Y32">
        <v>883.26599420000002</v>
      </c>
      <c r="Z32">
        <v>154.87585680000001</v>
      </c>
      <c r="AA32">
        <v>58.939158999999997</v>
      </c>
      <c r="AB32">
        <v>127.8049132</v>
      </c>
      <c r="AC32">
        <v>861.11465720000001</v>
      </c>
      <c r="AD32">
        <v>199.9824452</v>
      </c>
      <c r="AE32">
        <v>139.2082642</v>
      </c>
      <c r="AF32">
        <v>295.65699699999999</v>
      </c>
      <c r="AG32">
        <v>230.62731260000001</v>
      </c>
      <c r="AH32">
        <v>794.94900680000001</v>
      </c>
      <c r="AI32">
        <v>139.66265060000001</v>
      </c>
      <c r="AJ32">
        <v>94.215272400000003</v>
      </c>
      <c r="AK32">
        <v>215.05584020000001</v>
      </c>
      <c r="AL32">
        <v>322.68424959999999</v>
      </c>
      <c r="AM32">
        <v>595.1238492</v>
      </c>
      <c r="AN32">
        <v>269.52977900000002</v>
      </c>
      <c r="AO32">
        <v>280.05930999999998</v>
      </c>
      <c r="AP32">
        <v>81.474976799999993</v>
      </c>
      <c r="AQ32">
        <v>57.217733600000003</v>
      </c>
    </row>
    <row r="33" spans="2:43" x14ac:dyDescent="0.2">
      <c r="B33" s="3">
        <v>45814</v>
      </c>
      <c r="C33">
        <v>153.91348049999999</v>
      </c>
      <c r="D33">
        <v>55.853645999999998</v>
      </c>
      <c r="E33">
        <v>242.52980099999999</v>
      </c>
      <c r="F33">
        <v>75.126840000000001</v>
      </c>
      <c r="G33">
        <v>36.466357500000001</v>
      </c>
      <c r="H33">
        <v>142.267065</v>
      </c>
      <c r="I33">
        <v>45.953754000000004</v>
      </c>
      <c r="J33">
        <v>273.62494049999998</v>
      </c>
      <c r="K33">
        <v>19.071334499999999</v>
      </c>
      <c r="L33">
        <v>48.867552000000003</v>
      </c>
      <c r="M33">
        <v>73.924459499999998</v>
      </c>
      <c r="N33">
        <v>13.726445999999999</v>
      </c>
      <c r="O33">
        <v>88.001965499999997</v>
      </c>
      <c r="P33">
        <v>80.866670999999997</v>
      </c>
      <c r="Q33">
        <v>21.309342000000001</v>
      </c>
      <c r="R33">
        <v>36.404921999999999</v>
      </c>
      <c r="S33">
        <v>44.716267500000001</v>
      </c>
      <c r="T33">
        <v>17.166834000000001</v>
      </c>
      <c r="U33">
        <v>67.605379499999998</v>
      </c>
      <c r="V33">
        <v>24.100269000000001</v>
      </c>
      <c r="W33" s="3">
        <v>45814</v>
      </c>
      <c r="X33">
        <v>29.129203499999999</v>
      </c>
      <c r="Y33">
        <v>890.76209100000005</v>
      </c>
      <c r="Z33">
        <v>157.4942925</v>
      </c>
      <c r="AA33">
        <v>60.083919000000002</v>
      </c>
      <c r="AB33">
        <v>127.698075</v>
      </c>
      <c r="AC33">
        <v>868.03973250000001</v>
      </c>
      <c r="AD33">
        <v>201.86827650000001</v>
      </c>
      <c r="AE33">
        <v>140.23091700000001</v>
      </c>
      <c r="AF33">
        <v>297.76031549999999</v>
      </c>
      <c r="AG33">
        <v>233.20038149999999</v>
      </c>
      <c r="AH33">
        <v>802.54948950000005</v>
      </c>
      <c r="AI33">
        <v>142.13541749999999</v>
      </c>
      <c r="AJ33">
        <v>95.479543500000005</v>
      </c>
      <c r="AK33">
        <v>217.27103399999999</v>
      </c>
      <c r="AL33">
        <v>322.38717450000001</v>
      </c>
      <c r="AM33">
        <v>603.015762</v>
      </c>
      <c r="AN33">
        <v>260.73226199999999</v>
      </c>
      <c r="AO33">
        <v>284.64822450000003</v>
      </c>
      <c r="AP33">
        <v>82.744842000000006</v>
      </c>
      <c r="AQ33">
        <v>58.486595999999999</v>
      </c>
    </row>
    <row r="34" spans="2:43" x14ac:dyDescent="0.2">
      <c r="B34" s="3">
        <v>45817</v>
      </c>
      <c r="C34">
        <v>151.3753442</v>
      </c>
      <c r="D34">
        <v>54.860098999999998</v>
      </c>
      <c r="E34">
        <v>239.92208339999999</v>
      </c>
      <c r="F34">
        <v>76.287499199999999</v>
      </c>
      <c r="G34">
        <v>37.758459199999997</v>
      </c>
      <c r="H34">
        <v>140.47337719999999</v>
      </c>
      <c r="I34">
        <v>46.655164800000001</v>
      </c>
      <c r="J34">
        <v>267.65423559999999</v>
      </c>
      <c r="K34">
        <v>18.651558000000001</v>
      </c>
      <c r="L34">
        <v>48.747992199999999</v>
      </c>
      <c r="M34">
        <v>73.091340200000005</v>
      </c>
      <c r="N34">
        <v>12.767122799999999</v>
      </c>
      <c r="O34">
        <v>87.320815199999998</v>
      </c>
      <c r="P34">
        <v>81.305031</v>
      </c>
      <c r="Q34">
        <v>21.1997286</v>
      </c>
      <c r="R34">
        <v>37.075444400000002</v>
      </c>
      <c r="S34">
        <v>44.833792000000003</v>
      </c>
      <c r="T34">
        <v>17.1541794</v>
      </c>
      <c r="U34">
        <v>68.371532799999997</v>
      </c>
      <c r="V34">
        <v>24.641072399999999</v>
      </c>
      <c r="W34" s="3">
        <v>45817</v>
      </c>
      <c r="X34">
        <v>29.063155399999999</v>
      </c>
      <c r="Y34">
        <v>881.0715788</v>
      </c>
      <c r="Z34">
        <v>158.2580318</v>
      </c>
      <c r="AA34">
        <v>60.420540000000003</v>
      </c>
      <c r="AB34">
        <v>126.2964418</v>
      </c>
      <c r="AC34">
        <v>865.88763440000002</v>
      </c>
      <c r="AD34">
        <v>194.8518632</v>
      </c>
      <c r="AE34">
        <v>137.45235020000001</v>
      </c>
      <c r="AF34">
        <v>299.5983124</v>
      </c>
      <c r="AG34">
        <v>226.31432699999999</v>
      </c>
      <c r="AH34">
        <v>794.64393680000001</v>
      </c>
      <c r="AI34">
        <v>142.34728960000001</v>
      </c>
      <c r="AJ34">
        <v>95.385643799999997</v>
      </c>
      <c r="AK34">
        <v>216.53320479999999</v>
      </c>
      <c r="AL34">
        <v>319.79103199999997</v>
      </c>
      <c r="AM34">
        <v>618.46114480000006</v>
      </c>
      <c r="AN34">
        <v>261.165595</v>
      </c>
      <c r="AO34">
        <v>284.02032100000002</v>
      </c>
      <c r="AP34">
        <v>83.170186799999996</v>
      </c>
      <c r="AQ34">
        <v>58.835595400000003</v>
      </c>
    </row>
    <row r="35" spans="2:43" x14ac:dyDescent="0.2">
      <c r="B35" s="3">
        <v>45818</v>
      </c>
      <c r="C35">
        <v>147.61500659999999</v>
      </c>
      <c r="D35">
        <v>55.5460335</v>
      </c>
      <c r="E35">
        <v>236.10347100000001</v>
      </c>
      <c r="F35">
        <v>75.628397699999994</v>
      </c>
      <c r="G35">
        <v>37.564701300000003</v>
      </c>
      <c r="H35">
        <v>140.8479327</v>
      </c>
      <c r="I35">
        <v>46.012600800000001</v>
      </c>
      <c r="J35">
        <v>261.51720390000003</v>
      </c>
      <c r="K35">
        <v>18.839253599999999</v>
      </c>
      <c r="L35">
        <v>48.700170900000003</v>
      </c>
      <c r="M35">
        <v>72.835775999999996</v>
      </c>
      <c r="N35">
        <v>12.947609699999999</v>
      </c>
      <c r="O35">
        <v>87.507982799999994</v>
      </c>
      <c r="P35">
        <v>80.653365899999997</v>
      </c>
      <c r="Q35">
        <v>21.456789300000001</v>
      </c>
      <c r="R35">
        <v>36.934391699999999</v>
      </c>
      <c r="S35">
        <v>45.242222400000003</v>
      </c>
      <c r="T35">
        <v>17.280988199999999</v>
      </c>
      <c r="U35">
        <v>68.5199061</v>
      </c>
      <c r="V35">
        <v>24.231902399999999</v>
      </c>
      <c r="W35" s="3">
        <v>45818</v>
      </c>
      <c r="X35">
        <v>29.431956599999999</v>
      </c>
      <c r="Y35">
        <v>881.79437610000002</v>
      </c>
      <c r="Z35">
        <v>158.6979504</v>
      </c>
      <c r="AA35">
        <v>61.682797800000003</v>
      </c>
      <c r="AB35">
        <v>126.98987579999999</v>
      </c>
      <c r="AC35">
        <v>868.33901700000001</v>
      </c>
      <c r="AD35">
        <v>190.94879159999999</v>
      </c>
      <c r="AE35">
        <v>135.96303330000001</v>
      </c>
      <c r="AF35">
        <v>302.91628859999997</v>
      </c>
      <c r="AG35">
        <v>222.46427159999999</v>
      </c>
      <c r="AH35">
        <v>794.31265619999999</v>
      </c>
      <c r="AI35">
        <v>143.22910229999999</v>
      </c>
      <c r="AJ35">
        <v>95.850830700000003</v>
      </c>
      <c r="AK35">
        <v>217.98206999999999</v>
      </c>
      <c r="AL35">
        <v>322.07945130000002</v>
      </c>
      <c r="AM35">
        <v>640.67469119999998</v>
      </c>
      <c r="AN35">
        <v>268.15296330000001</v>
      </c>
      <c r="AO35">
        <v>284.7073446</v>
      </c>
      <c r="AP35">
        <v>83.979999899999996</v>
      </c>
      <c r="AQ35">
        <v>61.604009099999999</v>
      </c>
    </row>
    <row r="36" spans="2:43" x14ac:dyDescent="0.2">
      <c r="B36" s="3">
        <v>45819</v>
      </c>
      <c r="C36">
        <v>148.63770700000001</v>
      </c>
      <c r="D36">
        <v>55.201575499999997</v>
      </c>
      <c r="E36">
        <v>233.27257800000001</v>
      </c>
      <c r="F36">
        <v>75.372219000000001</v>
      </c>
      <c r="G36">
        <v>37.616465499999997</v>
      </c>
      <c r="H36">
        <v>139.02683500000001</v>
      </c>
      <c r="I36">
        <v>46.409020499999997</v>
      </c>
      <c r="J36">
        <v>263.11503199999999</v>
      </c>
      <c r="K36">
        <v>19.021517500000002</v>
      </c>
      <c r="L36">
        <v>48.550573499999999</v>
      </c>
      <c r="M36">
        <v>68.4513465</v>
      </c>
      <c r="N36">
        <v>12.527214499999999</v>
      </c>
      <c r="O36">
        <v>85.496715499999993</v>
      </c>
      <c r="P36">
        <v>82.911181999999997</v>
      </c>
      <c r="Q36">
        <v>20.7800285</v>
      </c>
      <c r="R36">
        <v>35.701255500000002</v>
      </c>
      <c r="S36">
        <v>42.8049435</v>
      </c>
      <c r="T36">
        <v>16.610094</v>
      </c>
      <c r="U36">
        <v>68.068304499999996</v>
      </c>
      <c r="V36">
        <v>24.1577625</v>
      </c>
      <c r="W36" s="3">
        <v>45819</v>
      </c>
      <c r="X36">
        <v>29.006726</v>
      </c>
      <c r="Y36">
        <v>867.74682900000005</v>
      </c>
      <c r="Z36">
        <v>155.95032699999999</v>
      </c>
      <c r="AA36">
        <v>60.816623</v>
      </c>
      <c r="AB36">
        <v>128.12754899999999</v>
      </c>
      <c r="AC36">
        <v>864.71731499999999</v>
      </c>
      <c r="AD36">
        <v>189.1618095</v>
      </c>
      <c r="AE36">
        <v>134.10387474999999</v>
      </c>
      <c r="AF36">
        <v>301.67169150000001</v>
      </c>
      <c r="AG36">
        <v>219.20448999999999</v>
      </c>
      <c r="AH36">
        <v>778.010535</v>
      </c>
      <c r="AI36">
        <v>141.46437499999999</v>
      </c>
      <c r="AJ36">
        <v>94.454674999999995</v>
      </c>
      <c r="AK36">
        <v>214.695041</v>
      </c>
      <c r="AL36">
        <v>313.79845299999999</v>
      </c>
      <c r="AM36">
        <v>627.51855650000005</v>
      </c>
      <c r="AN36">
        <v>261.14758899999998</v>
      </c>
      <c r="AO36">
        <v>282.963572</v>
      </c>
      <c r="AP36">
        <v>82.789304999999999</v>
      </c>
      <c r="AQ36">
        <v>61.103904499999999</v>
      </c>
    </row>
    <row r="37" spans="2:43" x14ac:dyDescent="0.2">
      <c r="B37" s="3">
        <v>45820</v>
      </c>
      <c r="C37">
        <v>148.07836159999999</v>
      </c>
      <c r="D37">
        <v>55.011387599999999</v>
      </c>
      <c r="E37">
        <v>229.4126809</v>
      </c>
      <c r="F37">
        <v>73.918314600000002</v>
      </c>
      <c r="G37">
        <v>37.433988800000002</v>
      </c>
      <c r="H37">
        <v>137.08817070000001</v>
      </c>
      <c r="I37">
        <v>48.277413600000003</v>
      </c>
      <c r="J37">
        <v>262.12425459999997</v>
      </c>
      <c r="K37">
        <v>19.027793200000001</v>
      </c>
      <c r="L37">
        <v>48.588212400000003</v>
      </c>
      <c r="M37">
        <v>66.847641899999999</v>
      </c>
      <c r="N37">
        <v>12.345618999999999</v>
      </c>
      <c r="O37">
        <v>85.253837500000003</v>
      </c>
      <c r="P37">
        <v>81.006253900000004</v>
      </c>
      <c r="Q37">
        <v>20.3486881</v>
      </c>
      <c r="R37">
        <v>35.551929399999999</v>
      </c>
      <c r="S37">
        <v>42.199570399999999</v>
      </c>
      <c r="T37">
        <v>16.161537599999999</v>
      </c>
      <c r="U37">
        <v>67.780038300000001</v>
      </c>
      <c r="V37">
        <v>23.6120755</v>
      </c>
      <c r="W37" s="3">
        <v>45820</v>
      </c>
      <c r="X37">
        <v>29.1201209</v>
      </c>
      <c r="Y37">
        <v>865.66962430000001</v>
      </c>
      <c r="Z37">
        <v>154.3461374</v>
      </c>
      <c r="AA37">
        <v>60.424466700000004</v>
      </c>
      <c r="AB37">
        <v>124.9842841</v>
      </c>
      <c r="AC37">
        <v>853.18587249999996</v>
      </c>
      <c r="AD37">
        <v>189.414602</v>
      </c>
      <c r="AE37">
        <v>132.51252170000001</v>
      </c>
      <c r="AF37">
        <v>296.553855</v>
      </c>
      <c r="AG37">
        <v>216.56633049999999</v>
      </c>
      <c r="AH37">
        <v>773.90627859999995</v>
      </c>
      <c r="AI37">
        <v>139.85946000000001</v>
      </c>
      <c r="AJ37">
        <v>93.619505200000006</v>
      </c>
      <c r="AK37">
        <v>212.3878133</v>
      </c>
      <c r="AL37">
        <v>313.52692280000002</v>
      </c>
      <c r="AM37">
        <v>620.36303810000004</v>
      </c>
      <c r="AN37">
        <v>255.3989139</v>
      </c>
      <c r="AO37">
        <v>280.70311620000001</v>
      </c>
      <c r="AP37">
        <v>81.653751400000004</v>
      </c>
      <c r="AQ37">
        <v>60.156834400000001</v>
      </c>
    </row>
    <row r="38" spans="2:43" x14ac:dyDescent="0.2">
      <c r="B38" s="3">
        <v>45821</v>
      </c>
      <c r="C38">
        <v>148.19927999999999</v>
      </c>
      <c r="D38">
        <v>55.280408999999999</v>
      </c>
      <c r="E38">
        <v>223.40695199999999</v>
      </c>
      <c r="F38">
        <v>72.654004499999999</v>
      </c>
      <c r="G38">
        <v>35.976413999999998</v>
      </c>
      <c r="H38">
        <v>135.82048499999999</v>
      </c>
      <c r="I38">
        <v>50.121135000000002</v>
      </c>
      <c r="J38">
        <v>263.70295950000002</v>
      </c>
      <c r="K38">
        <v>18.568192499999999</v>
      </c>
      <c r="L38">
        <v>47.437620000000003</v>
      </c>
      <c r="M38">
        <v>64.058099999999996</v>
      </c>
      <c r="N38">
        <v>11.807466</v>
      </c>
      <c r="O38">
        <v>84.245058</v>
      </c>
      <c r="P38">
        <v>86.504404500000007</v>
      </c>
      <c r="Q38">
        <v>19.399216500000001</v>
      </c>
      <c r="R38">
        <v>35.439711000000003</v>
      </c>
      <c r="S38">
        <v>40.720176000000002</v>
      </c>
      <c r="T38">
        <v>15.391257</v>
      </c>
      <c r="U38">
        <v>66.681019500000005</v>
      </c>
      <c r="V38">
        <v>23.086885500000001</v>
      </c>
      <c r="W38" s="3">
        <v>45821</v>
      </c>
      <c r="X38">
        <v>29.033901</v>
      </c>
      <c r="Y38">
        <v>857.17528649999997</v>
      </c>
      <c r="Z38">
        <v>152.82185100000001</v>
      </c>
      <c r="AA38">
        <v>58.266901500000003</v>
      </c>
      <c r="AB38">
        <v>123.199308</v>
      </c>
      <c r="AC38">
        <v>841.25598300000001</v>
      </c>
      <c r="AD38">
        <v>188.17499699999999</v>
      </c>
      <c r="AE38">
        <v>132.63489300000001</v>
      </c>
      <c r="AF38">
        <v>292.59835650000002</v>
      </c>
      <c r="AG38">
        <v>212.08425</v>
      </c>
      <c r="AH38">
        <v>772.71381599999995</v>
      </c>
      <c r="AI38">
        <v>136.9371735</v>
      </c>
      <c r="AJ38">
        <v>92.866932000000006</v>
      </c>
      <c r="AK38">
        <v>209.037162</v>
      </c>
      <c r="AL38">
        <v>307.01142900000002</v>
      </c>
      <c r="AM38">
        <v>582.59110650000002</v>
      </c>
      <c r="AN38">
        <v>250.086285</v>
      </c>
      <c r="AO38">
        <v>275.14685250000002</v>
      </c>
      <c r="AP38">
        <v>79.276227000000006</v>
      </c>
      <c r="AQ38">
        <v>58.214962499999999</v>
      </c>
    </row>
    <row r="39" spans="2:43" x14ac:dyDescent="0.2">
      <c r="B39" s="3">
        <v>45824</v>
      </c>
      <c r="C39">
        <v>148.43056799999999</v>
      </c>
      <c r="D39">
        <v>54.338043599999999</v>
      </c>
      <c r="E39">
        <v>228.9688558</v>
      </c>
      <c r="F39">
        <v>73.627097599999999</v>
      </c>
      <c r="G39">
        <v>37.790976200000003</v>
      </c>
      <c r="H39">
        <v>136.5457428</v>
      </c>
      <c r="I39">
        <v>50.272637600000003</v>
      </c>
      <c r="J39">
        <v>265.19421820000002</v>
      </c>
      <c r="K39">
        <v>18.726817</v>
      </c>
      <c r="L39">
        <v>47.824744199999998</v>
      </c>
      <c r="M39">
        <v>67.918229600000004</v>
      </c>
      <c r="N39">
        <v>11.763728</v>
      </c>
      <c r="O39">
        <v>84.5777444</v>
      </c>
      <c r="P39">
        <v>87.138085200000006</v>
      </c>
      <c r="Q39">
        <v>20.6211232</v>
      </c>
      <c r="R39">
        <v>36.251311800000003</v>
      </c>
      <c r="S39">
        <v>42.781910799999999</v>
      </c>
      <c r="T39">
        <v>16.045379000000001</v>
      </c>
      <c r="U39">
        <v>69.189750200000006</v>
      </c>
      <c r="V39">
        <v>22.48948</v>
      </c>
      <c r="W39" s="3">
        <v>45824</v>
      </c>
      <c r="X39">
        <v>28.8730324</v>
      </c>
      <c r="Y39">
        <v>851.4517128</v>
      </c>
      <c r="Z39">
        <v>155.480155</v>
      </c>
      <c r="AA39">
        <v>64.518858199999997</v>
      </c>
      <c r="AB39">
        <v>125.4826486</v>
      </c>
      <c r="AC39">
        <v>849.49685799999997</v>
      </c>
      <c r="AD39">
        <v>187.38061740000001</v>
      </c>
      <c r="AE39">
        <v>132.93012640000001</v>
      </c>
      <c r="AF39">
        <v>293.20227060000002</v>
      </c>
      <c r="AG39">
        <v>213.13972179999999</v>
      </c>
      <c r="AH39">
        <v>768.231987</v>
      </c>
      <c r="AI39">
        <v>140.36030460000001</v>
      </c>
      <c r="AJ39">
        <v>92.397163599999999</v>
      </c>
      <c r="AK39">
        <v>211.44436099999999</v>
      </c>
      <c r="AL39">
        <v>305.82232879999998</v>
      </c>
      <c r="AM39">
        <v>611.18621819999998</v>
      </c>
      <c r="AN39">
        <v>251.2507406</v>
      </c>
      <c r="AO39">
        <v>280.513014</v>
      </c>
      <c r="AP39">
        <v>80.624785799999998</v>
      </c>
      <c r="AQ39">
        <v>59.839316400000001</v>
      </c>
    </row>
    <row r="40" spans="2:43" x14ac:dyDescent="0.2">
      <c r="B40" s="3">
        <v>45825</v>
      </c>
      <c r="C40">
        <v>149.9440592</v>
      </c>
      <c r="D40">
        <v>54.674001599999997</v>
      </c>
      <c r="E40">
        <v>228.56624919999999</v>
      </c>
      <c r="F40">
        <v>73.839521599999998</v>
      </c>
      <c r="G40">
        <v>37.555707599999998</v>
      </c>
      <c r="H40">
        <v>136.8853708</v>
      </c>
      <c r="I40">
        <v>50.980283200000002</v>
      </c>
      <c r="J40">
        <v>265.17239239999998</v>
      </c>
      <c r="K40">
        <v>18.6776704</v>
      </c>
      <c r="L40">
        <v>46.999082000000001</v>
      </c>
      <c r="M40">
        <v>64.178357199999994</v>
      </c>
      <c r="N40">
        <v>11.804218000000001</v>
      </c>
      <c r="O40">
        <v>84.885830400000003</v>
      </c>
      <c r="P40">
        <v>89.276476799999998</v>
      </c>
      <c r="Q40">
        <v>20.280604799999999</v>
      </c>
      <c r="R40">
        <v>36.039889199999998</v>
      </c>
      <c r="S40">
        <v>41.223291199999998</v>
      </c>
      <c r="T40">
        <v>15.7941308</v>
      </c>
      <c r="U40">
        <v>68.542868799999994</v>
      </c>
      <c r="V40">
        <v>22.258137999999999</v>
      </c>
      <c r="W40" s="3">
        <v>45825</v>
      </c>
      <c r="X40">
        <v>29.2099948</v>
      </c>
      <c r="Y40">
        <v>851.75055520000001</v>
      </c>
      <c r="Z40">
        <v>153.39385279999999</v>
      </c>
      <c r="AA40">
        <v>65.154056400000002</v>
      </c>
      <c r="AB40">
        <v>123.8876636</v>
      </c>
      <c r="AC40">
        <v>844.31084880000003</v>
      </c>
      <c r="AD40">
        <v>188.19669479999999</v>
      </c>
      <c r="AE40">
        <v>132.8693232</v>
      </c>
      <c r="AF40">
        <v>293.3979764</v>
      </c>
      <c r="AG40">
        <v>210.58550679999999</v>
      </c>
      <c r="AH40">
        <v>772.50984159999996</v>
      </c>
      <c r="AI40">
        <v>139.8124684</v>
      </c>
      <c r="AJ40">
        <v>91.550204399999998</v>
      </c>
      <c r="AK40">
        <v>210.10636880000001</v>
      </c>
      <c r="AL40">
        <v>303.84318480000002</v>
      </c>
      <c r="AM40">
        <v>601.85830920000001</v>
      </c>
      <c r="AN40">
        <v>248.71618000000001</v>
      </c>
      <c r="AO40">
        <v>279.12837560000003</v>
      </c>
      <c r="AP40">
        <v>79.780832799999999</v>
      </c>
      <c r="AQ40">
        <v>58.890416000000002</v>
      </c>
    </row>
    <row r="41" spans="2:43" x14ac:dyDescent="0.2">
      <c r="B41" s="3">
        <v>45826</v>
      </c>
      <c r="C41">
        <v>148.2975668</v>
      </c>
      <c r="D41">
        <v>54.621732000000002</v>
      </c>
      <c r="E41">
        <v>233.27922480000001</v>
      </c>
      <c r="F41">
        <v>72.6895904</v>
      </c>
      <c r="G41">
        <v>38.740485200000002</v>
      </c>
      <c r="H41">
        <v>136.85923600000001</v>
      </c>
      <c r="I41">
        <v>50.753781600000003</v>
      </c>
      <c r="J41">
        <v>262.90737639999998</v>
      </c>
      <c r="K41">
        <v>18.607977600000002</v>
      </c>
      <c r="L41">
        <v>46.363135200000002</v>
      </c>
      <c r="M41">
        <v>64.727187999999998</v>
      </c>
      <c r="N41">
        <v>12.2572212</v>
      </c>
      <c r="O41">
        <v>84.528654799999998</v>
      </c>
      <c r="P41">
        <v>87.386059599999996</v>
      </c>
      <c r="Q41">
        <v>20.568087599999998</v>
      </c>
      <c r="R41">
        <v>35.874368799999999</v>
      </c>
      <c r="S41">
        <v>41.432369600000001</v>
      </c>
      <c r="T41">
        <v>16.0206324</v>
      </c>
      <c r="U41">
        <v>68.560292000000004</v>
      </c>
      <c r="V41">
        <v>22.127464</v>
      </c>
      <c r="W41" s="3">
        <v>45826</v>
      </c>
      <c r="X41">
        <v>29.40165</v>
      </c>
      <c r="Y41">
        <v>849.29388400000005</v>
      </c>
      <c r="Z41">
        <v>153.06281200000001</v>
      </c>
      <c r="AA41">
        <v>65.093075200000001</v>
      </c>
      <c r="AB41">
        <v>124.14901159999999</v>
      </c>
      <c r="AC41">
        <v>853.3186432</v>
      </c>
      <c r="AD41">
        <v>186.70701120000001</v>
      </c>
      <c r="AE41">
        <v>130.9527712</v>
      </c>
      <c r="AF41">
        <v>292.9101268</v>
      </c>
      <c r="AG41">
        <v>202.8234712</v>
      </c>
      <c r="AH41">
        <v>772.58824600000003</v>
      </c>
      <c r="AI41">
        <v>139.50756240000001</v>
      </c>
      <c r="AJ41">
        <v>91.5414928</v>
      </c>
      <c r="AK41">
        <v>210.21961959999999</v>
      </c>
      <c r="AL41">
        <v>302.31865479999999</v>
      </c>
      <c r="AM41">
        <v>603.92295839999997</v>
      </c>
      <c r="AN41">
        <v>248.28059999999999</v>
      </c>
      <c r="AO41">
        <v>280.33928800000001</v>
      </c>
      <c r="AP41">
        <v>80.268682400000003</v>
      </c>
      <c r="AQ41">
        <v>58.942685599999997</v>
      </c>
    </row>
    <row r="42" spans="2:43" x14ac:dyDescent="0.2">
      <c r="B42" s="3">
        <v>45828</v>
      </c>
      <c r="C42">
        <v>150.44178600000001</v>
      </c>
      <c r="D42">
        <v>54.200355000000002</v>
      </c>
      <c r="E42">
        <v>236.40728100000001</v>
      </c>
      <c r="F42">
        <v>72.712661999999995</v>
      </c>
      <c r="G42">
        <v>39.333227999999998</v>
      </c>
      <c r="H42">
        <v>136.49463299999999</v>
      </c>
      <c r="I42">
        <v>50.537816999999997</v>
      </c>
      <c r="J42">
        <v>263.10388499999999</v>
      </c>
      <c r="K42">
        <v>18.564381000000001</v>
      </c>
      <c r="L42">
        <v>46.458686999999998</v>
      </c>
      <c r="M42">
        <v>64.458933000000002</v>
      </c>
      <c r="N42">
        <v>12.037773</v>
      </c>
      <c r="O42">
        <v>83.951966999999996</v>
      </c>
      <c r="P42">
        <v>87.102444000000006</v>
      </c>
      <c r="Q42">
        <v>20.629982999999999</v>
      </c>
      <c r="R42">
        <v>34.906937999999997</v>
      </c>
      <c r="S42">
        <v>40.964880000000001</v>
      </c>
      <c r="T42">
        <v>16.368594000000002</v>
      </c>
      <c r="U42">
        <v>68.026002000000005</v>
      </c>
      <c r="V42">
        <v>22.47861</v>
      </c>
      <c r="W42" s="3">
        <v>45828</v>
      </c>
      <c r="X42">
        <v>29.274266999999998</v>
      </c>
      <c r="Y42">
        <v>850.79369099999997</v>
      </c>
      <c r="Z42">
        <v>151.77835200000001</v>
      </c>
      <c r="AA42">
        <v>65.257401000000002</v>
      </c>
      <c r="AB42">
        <v>125.003637</v>
      </c>
      <c r="AC42">
        <v>845.71647599999994</v>
      </c>
      <c r="AD42">
        <v>187.64865900000001</v>
      </c>
      <c r="AE42">
        <v>129.42124799999999</v>
      </c>
      <c r="AF42">
        <v>290.71178400000002</v>
      </c>
      <c r="AG42">
        <v>201.48298500000001</v>
      </c>
      <c r="AH42">
        <v>766.25155199999995</v>
      </c>
      <c r="AI42">
        <v>138.30854400000001</v>
      </c>
      <c r="AJ42">
        <v>91.728351000000004</v>
      </c>
      <c r="AK42">
        <v>208.83409800000001</v>
      </c>
      <c r="AL42">
        <v>303.43519800000001</v>
      </c>
      <c r="AM42">
        <v>595.29260999999997</v>
      </c>
      <c r="AN42">
        <v>250.406508</v>
      </c>
      <c r="AO42">
        <v>278.93438099999997</v>
      </c>
      <c r="AP42">
        <v>80.896958999999995</v>
      </c>
      <c r="AQ42">
        <v>58.192695000000001</v>
      </c>
    </row>
    <row r="43" spans="2:43" x14ac:dyDescent="0.2">
      <c r="B43" s="3">
        <v>45831</v>
      </c>
      <c r="C43">
        <v>151.71973180000001</v>
      </c>
      <c r="D43">
        <v>54.881025800000003</v>
      </c>
      <c r="E43">
        <v>236.4212048</v>
      </c>
      <c r="F43">
        <v>73.6354264</v>
      </c>
      <c r="G43">
        <v>35.323235400000002</v>
      </c>
      <c r="H43">
        <v>137.4228488</v>
      </c>
      <c r="I43">
        <v>51.365115600000003</v>
      </c>
      <c r="J43">
        <v>265.78380620000001</v>
      </c>
      <c r="K43">
        <v>18.4606882</v>
      </c>
      <c r="L43">
        <v>46.726187400000001</v>
      </c>
      <c r="M43">
        <v>66.491304200000002</v>
      </c>
      <c r="N43">
        <v>11.929906600000001</v>
      </c>
      <c r="O43">
        <v>85.047016999999997</v>
      </c>
      <c r="P43">
        <v>83.388405800000001</v>
      </c>
      <c r="Q43">
        <v>20.767194400000001</v>
      </c>
      <c r="R43">
        <v>35.366428399999997</v>
      </c>
      <c r="S43">
        <v>41.681244999999997</v>
      </c>
      <c r="T43">
        <v>16.067796000000001</v>
      </c>
      <c r="U43">
        <v>68.486820800000004</v>
      </c>
      <c r="V43">
        <v>22.175286199999999</v>
      </c>
      <c r="W43" s="3">
        <v>45831</v>
      </c>
      <c r="X43">
        <v>29.388517199999999</v>
      </c>
      <c r="Y43">
        <v>867.73009279999997</v>
      </c>
      <c r="Z43">
        <v>153.36106580000001</v>
      </c>
      <c r="AA43">
        <v>68.098083799999998</v>
      </c>
      <c r="AB43">
        <v>127.505736</v>
      </c>
      <c r="AC43">
        <v>852.02511800000002</v>
      </c>
      <c r="AD43">
        <v>189.28036460000001</v>
      </c>
      <c r="AE43">
        <v>130.65882500000001</v>
      </c>
      <c r="AF43">
        <v>289.3931</v>
      </c>
      <c r="AG43">
        <v>201.2534642</v>
      </c>
      <c r="AH43">
        <v>768.81812279999997</v>
      </c>
      <c r="AI43">
        <v>139.14193019999999</v>
      </c>
      <c r="AJ43">
        <v>92.545321799999996</v>
      </c>
      <c r="AK43">
        <v>210.954612</v>
      </c>
      <c r="AL43">
        <v>308.36346559999998</v>
      </c>
      <c r="AM43">
        <v>598.32671319999997</v>
      </c>
      <c r="AN43">
        <v>253.94028560000001</v>
      </c>
      <c r="AO43">
        <v>279.72650659999999</v>
      </c>
      <c r="AP43">
        <v>81.194201399999997</v>
      </c>
      <c r="AQ43">
        <v>57.455328600000001</v>
      </c>
    </row>
    <row r="44" spans="2:43" x14ac:dyDescent="0.2">
      <c r="B44" s="3">
        <v>45832</v>
      </c>
      <c r="C44">
        <v>152.10975790000001</v>
      </c>
      <c r="D44">
        <v>54.574124500000003</v>
      </c>
      <c r="E44">
        <v>241.6164909</v>
      </c>
      <c r="F44">
        <v>78.953725500000004</v>
      </c>
      <c r="G44">
        <v>36.905374799999997</v>
      </c>
      <c r="H44">
        <v>137.93857639999999</v>
      </c>
      <c r="I44">
        <v>50.042792300000002</v>
      </c>
      <c r="J44">
        <v>267.83102300000002</v>
      </c>
      <c r="K44">
        <v>18.254549300000001</v>
      </c>
      <c r="L44">
        <v>46.338471300000002</v>
      </c>
      <c r="M44">
        <v>68.073359400000001</v>
      </c>
      <c r="N44">
        <v>12.198415199999999</v>
      </c>
      <c r="O44">
        <v>86.414055700000006</v>
      </c>
      <c r="P44">
        <v>81.563979599999996</v>
      </c>
      <c r="Q44">
        <v>22.139779000000001</v>
      </c>
      <c r="R44">
        <v>36.1903547</v>
      </c>
      <c r="S44">
        <v>42.694453199999998</v>
      </c>
      <c r="T44">
        <v>16.712517999999999</v>
      </c>
      <c r="U44">
        <v>68.969288199999994</v>
      </c>
      <c r="V44">
        <v>23.087395999999998</v>
      </c>
      <c r="W44" s="3">
        <v>45832</v>
      </c>
      <c r="X44">
        <v>29.1435301</v>
      </c>
      <c r="Y44">
        <v>863.12402239999994</v>
      </c>
      <c r="Z44">
        <v>155.01291180000001</v>
      </c>
      <c r="AA44">
        <v>66.376263499999993</v>
      </c>
      <c r="AB44">
        <v>129.1085089</v>
      </c>
      <c r="AC44">
        <v>865.75150589999998</v>
      </c>
      <c r="AD44">
        <v>189.2391149</v>
      </c>
      <c r="AE44">
        <v>131.15880749999999</v>
      </c>
      <c r="AF44">
        <v>291.40945690000001</v>
      </c>
      <c r="AG44">
        <v>202.48852350000001</v>
      </c>
      <c r="AH44">
        <v>780.92255499999999</v>
      </c>
      <c r="AI44">
        <v>141.9099531</v>
      </c>
      <c r="AJ44">
        <v>93.150751099999994</v>
      </c>
      <c r="AK44">
        <v>211.749326</v>
      </c>
      <c r="AL44">
        <v>310.49101739999998</v>
      </c>
      <c r="AM44">
        <v>617.31217260000005</v>
      </c>
      <c r="AN44">
        <v>259.0784878</v>
      </c>
      <c r="AO44">
        <v>280.79614650000002</v>
      </c>
      <c r="AP44">
        <v>81.925797000000003</v>
      </c>
      <c r="AQ44">
        <v>58.9676215</v>
      </c>
    </row>
    <row r="45" spans="2:43" x14ac:dyDescent="0.2">
      <c r="B45" s="3">
        <v>45833</v>
      </c>
      <c r="C45">
        <v>151.02557680000001</v>
      </c>
      <c r="D45">
        <v>54.473162100000003</v>
      </c>
      <c r="E45">
        <v>243.8812614</v>
      </c>
      <c r="F45">
        <v>77.965839000000003</v>
      </c>
      <c r="G45">
        <v>39.9778631</v>
      </c>
      <c r="H45">
        <v>135.00355400000001</v>
      </c>
      <c r="I45">
        <v>49.798642600000001</v>
      </c>
      <c r="J45">
        <v>262.65653329999998</v>
      </c>
      <c r="K45">
        <v>18.157720699999999</v>
      </c>
      <c r="L45">
        <v>45.467207100000003</v>
      </c>
      <c r="M45">
        <v>65.812088299999999</v>
      </c>
      <c r="N45">
        <v>11.827820900000001</v>
      </c>
      <c r="O45">
        <v>85.916810699999999</v>
      </c>
      <c r="P45">
        <v>78.394694000000001</v>
      </c>
      <c r="Q45">
        <v>21.854450799999999</v>
      </c>
      <c r="R45">
        <v>35.6893131</v>
      </c>
      <c r="S45">
        <v>41.435970099999999</v>
      </c>
      <c r="T45">
        <v>16.313644199999999</v>
      </c>
      <c r="U45">
        <v>68.213676300000003</v>
      </c>
      <c r="V45">
        <v>23.0380906</v>
      </c>
      <c r="W45" s="3">
        <v>45833</v>
      </c>
      <c r="X45">
        <v>28.2701216</v>
      </c>
      <c r="Y45">
        <v>846.16522339999995</v>
      </c>
      <c r="Z45">
        <v>154.43068550000001</v>
      </c>
      <c r="AA45">
        <v>66.523987599999998</v>
      </c>
      <c r="AB45">
        <v>126.7266525</v>
      </c>
      <c r="AC45">
        <v>873.21739679999996</v>
      </c>
      <c r="AD45">
        <v>185.53125009999999</v>
      </c>
      <c r="AE45">
        <v>118.3125174</v>
      </c>
      <c r="AF45">
        <v>293.07092990000001</v>
      </c>
      <c r="AG45">
        <v>191.08921090000001</v>
      </c>
      <c r="AH45">
        <v>707.01893010000003</v>
      </c>
      <c r="AI45">
        <v>140.7673652</v>
      </c>
      <c r="AJ45">
        <v>89.870853800000006</v>
      </c>
      <c r="AK45">
        <v>210.73076990000001</v>
      </c>
      <c r="AL45">
        <v>310.37094059999998</v>
      </c>
      <c r="AM45">
        <v>619.96994219999999</v>
      </c>
      <c r="AN45">
        <v>255.74339069999999</v>
      </c>
      <c r="AO45">
        <v>276.58574370000002</v>
      </c>
      <c r="AP45">
        <v>81.439564500000003</v>
      </c>
      <c r="AQ45">
        <v>57.818231099999998</v>
      </c>
    </row>
    <row r="46" spans="2:43" x14ac:dyDescent="0.2">
      <c r="B46" s="3">
        <v>45834</v>
      </c>
      <c r="C46">
        <v>151.16607450000001</v>
      </c>
      <c r="D46">
        <v>54.132584100000003</v>
      </c>
      <c r="E46">
        <v>252.9178953</v>
      </c>
      <c r="F46">
        <v>79.596182400000004</v>
      </c>
      <c r="G46">
        <v>42.114517900000003</v>
      </c>
      <c r="H46">
        <v>137.276062</v>
      </c>
      <c r="I46">
        <v>50.5938363</v>
      </c>
      <c r="J46">
        <v>264.83338909999998</v>
      </c>
      <c r="K46">
        <v>18.044194699999998</v>
      </c>
      <c r="L46">
        <v>45.465216300000002</v>
      </c>
      <c r="M46">
        <v>66.2874135</v>
      </c>
      <c r="N46">
        <v>12.0351616</v>
      </c>
      <c r="O46">
        <v>86.434342400000006</v>
      </c>
      <c r="P46">
        <v>77.519091299999999</v>
      </c>
      <c r="Q46">
        <v>22.369330900000001</v>
      </c>
      <c r="R46">
        <v>38.0030742</v>
      </c>
      <c r="S46">
        <v>41.858086900000004</v>
      </c>
      <c r="T46">
        <v>16.633824199999999</v>
      </c>
      <c r="U46">
        <v>68.039692000000002</v>
      </c>
      <c r="V46">
        <v>23.5403658</v>
      </c>
      <c r="W46" s="3">
        <v>45834</v>
      </c>
      <c r="X46">
        <v>28.139028400000001</v>
      </c>
      <c r="Y46">
        <v>840.16198069999996</v>
      </c>
      <c r="Z46">
        <v>156.45710080000001</v>
      </c>
      <c r="AA46">
        <v>67.5524731</v>
      </c>
      <c r="AB46">
        <v>128.86512519999999</v>
      </c>
      <c r="AC46">
        <v>881.08836829999996</v>
      </c>
      <c r="AD46">
        <v>184.6474154</v>
      </c>
      <c r="AE46">
        <v>120.5311177</v>
      </c>
      <c r="AF46">
        <v>293.52801799999997</v>
      </c>
      <c r="AG46">
        <v>192.71644420000001</v>
      </c>
      <c r="AH46">
        <v>637.25667810000004</v>
      </c>
      <c r="AI46">
        <v>140.9857638</v>
      </c>
      <c r="AJ46">
        <v>89.229440299999993</v>
      </c>
      <c r="AK46">
        <v>210.91449750000001</v>
      </c>
      <c r="AL46">
        <v>310.70889499999998</v>
      </c>
      <c r="AM46">
        <v>628.40126090000001</v>
      </c>
      <c r="AN46">
        <v>251.52462019999999</v>
      </c>
      <c r="AO46">
        <v>278.83452169999998</v>
      </c>
      <c r="AP46">
        <v>82.211778600000002</v>
      </c>
      <c r="AQ46">
        <v>58.073073800000003</v>
      </c>
    </row>
    <row r="47" spans="2:43" x14ac:dyDescent="0.2">
      <c r="B47" s="3">
        <v>45835</v>
      </c>
      <c r="C47">
        <v>157.77886799999999</v>
      </c>
      <c r="D47">
        <v>53.656761600000003</v>
      </c>
      <c r="E47">
        <v>264.11107320000002</v>
      </c>
      <c r="F47">
        <v>78.104379600000001</v>
      </c>
      <c r="G47">
        <v>40.600965600000002</v>
      </c>
      <c r="H47">
        <v>136.95786000000001</v>
      </c>
      <c r="I47">
        <v>48.434443199999997</v>
      </c>
      <c r="J47">
        <v>267.15742560000001</v>
      </c>
      <c r="K47">
        <v>17.8173216</v>
      </c>
      <c r="L47">
        <v>45.567287999999998</v>
      </c>
      <c r="M47">
        <v>67.565877599999993</v>
      </c>
      <c r="N47">
        <v>11.937946800000001</v>
      </c>
      <c r="O47">
        <v>86.245052400000006</v>
      </c>
      <c r="P47">
        <v>77.643586799999994</v>
      </c>
      <c r="Q47">
        <v>23.2615032</v>
      </c>
      <c r="R47">
        <v>37.435148400000003</v>
      </c>
      <c r="S47">
        <v>42.316138799999997</v>
      </c>
      <c r="T47">
        <v>17.219997599999999</v>
      </c>
      <c r="U47">
        <v>67.924272000000002</v>
      </c>
      <c r="V47">
        <v>23.176171199999999</v>
      </c>
      <c r="W47" s="3">
        <v>45835</v>
      </c>
      <c r="X47">
        <v>27.9206304</v>
      </c>
      <c r="Y47">
        <v>840.63966479999999</v>
      </c>
      <c r="Z47">
        <v>156.413556</v>
      </c>
      <c r="AA47">
        <v>68.342398799999998</v>
      </c>
      <c r="AB47">
        <v>129.72170639999999</v>
      </c>
      <c r="AC47">
        <v>894.12576239999999</v>
      </c>
      <c r="AD47">
        <v>185.14484039999999</v>
      </c>
      <c r="AE47">
        <v>122.8268808</v>
      </c>
      <c r="AF47">
        <v>296.26417079999999</v>
      </c>
      <c r="AG47">
        <v>193.89990359999999</v>
      </c>
      <c r="AH47">
        <v>669.95006520000004</v>
      </c>
      <c r="AI47">
        <v>140.23460879999999</v>
      </c>
      <c r="AJ47">
        <v>90.127658400000001</v>
      </c>
      <c r="AK47">
        <v>211.6745592</v>
      </c>
      <c r="AL47">
        <v>314.6532168</v>
      </c>
      <c r="AM47">
        <v>628.06911960000002</v>
      </c>
      <c r="AN47">
        <v>249.8222298</v>
      </c>
      <c r="AO47">
        <v>281.55293399999999</v>
      </c>
      <c r="AP47">
        <v>82.004052000000001</v>
      </c>
      <c r="AQ47">
        <v>58.691349600000002</v>
      </c>
    </row>
    <row r="48" spans="2:43" x14ac:dyDescent="0.2">
      <c r="B48" s="3">
        <v>45838</v>
      </c>
      <c r="C48">
        <v>157.9238598</v>
      </c>
      <c r="D48">
        <v>53.580249000000002</v>
      </c>
      <c r="E48">
        <v>265.68676440000002</v>
      </c>
      <c r="F48">
        <v>79.161317999999994</v>
      </c>
      <c r="G48">
        <v>41.583024600000002</v>
      </c>
      <c r="H48">
        <v>136.39842959999999</v>
      </c>
      <c r="I48">
        <v>49.431279600000003</v>
      </c>
      <c r="J48">
        <v>266.56916280000002</v>
      </c>
      <c r="K48">
        <v>17.758267799999999</v>
      </c>
      <c r="L48">
        <v>43.992651000000002</v>
      </c>
      <c r="M48">
        <v>67.562869800000001</v>
      </c>
      <c r="N48">
        <v>11.827532400000001</v>
      </c>
      <c r="O48">
        <v>85.652037000000007</v>
      </c>
      <c r="P48">
        <v>78.058319999999995</v>
      </c>
      <c r="Q48">
        <v>23.8586952</v>
      </c>
      <c r="R48">
        <v>36.780740999999999</v>
      </c>
      <c r="S48">
        <v>41.727262799999998</v>
      </c>
      <c r="T48">
        <v>17.206768799999999</v>
      </c>
      <c r="U48">
        <v>67.673169599999994</v>
      </c>
      <c r="V48">
        <v>23.409011400000001</v>
      </c>
      <c r="W48" s="3">
        <v>45838</v>
      </c>
      <c r="X48">
        <v>27.829488000000001</v>
      </c>
      <c r="Y48">
        <v>839.92449239999996</v>
      </c>
      <c r="Z48">
        <v>155.46332580000001</v>
      </c>
      <c r="AA48">
        <v>68.555567999999994</v>
      </c>
      <c r="AB48">
        <v>129.16955039999999</v>
      </c>
      <c r="AC48">
        <v>890.24665500000003</v>
      </c>
      <c r="AD48">
        <v>185.50729440000001</v>
      </c>
      <c r="AE48">
        <v>123.4169916</v>
      </c>
      <c r="AF48">
        <v>297.9961212</v>
      </c>
      <c r="AG48">
        <v>196.33364399999999</v>
      </c>
      <c r="AH48">
        <v>674.92447619999996</v>
      </c>
      <c r="AI48">
        <v>139.02865560000001</v>
      </c>
      <c r="AJ48">
        <v>89.190115199999994</v>
      </c>
      <c r="AK48">
        <v>209.781735</v>
      </c>
      <c r="AL48">
        <v>311.07937440000001</v>
      </c>
      <c r="AM48">
        <v>620.54667480000001</v>
      </c>
      <c r="AN48">
        <v>247.30912079999999</v>
      </c>
      <c r="AO48">
        <v>281.83295820000001</v>
      </c>
      <c r="AP48">
        <v>81.876390000000001</v>
      </c>
      <c r="AQ48">
        <v>57.8819412</v>
      </c>
    </row>
    <row r="49" spans="2:43" x14ac:dyDescent="0.2">
      <c r="B49" s="3">
        <v>45839</v>
      </c>
      <c r="C49">
        <v>149.27596199999999</v>
      </c>
      <c r="D49">
        <v>53.257176999999999</v>
      </c>
      <c r="E49">
        <v>266.92120999999997</v>
      </c>
      <c r="F49">
        <v>78.043323000000001</v>
      </c>
      <c r="G49">
        <v>39.98312</v>
      </c>
      <c r="H49">
        <v>139.15311700000001</v>
      </c>
      <c r="I49">
        <v>49.834893000000001</v>
      </c>
      <c r="J49">
        <v>254.12152900000001</v>
      </c>
      <c r="K49">
        <v>17.763687000000001</v>
      </c>
      <c r="L49">
        <v>44.362627000000003</v>
      </c>
      <c r="M49">
        <v>67.810355000000001</v>
      </c>
      <c r="N49">
        <v>11.969523000000001</v>
      </c>
      <c r="O49">
        <v>86.912459999999996</v>
      </c>
      <c r="P49">
        <v>78.348279000000005</v>
      </c>
      <c r="Q49">
        <v>24.260943999999999</v>
      </c>
      <c r="R49">
        <v>37.314754999999998</v>
      </c>
      <c r="S49">
        <v>41.507899999999999</v>
      </c>
      <c r="T49">
        <v>17.772158000000001</v>
      </c>
      <c r="U49">
        <v>67.437630999999996</v>
      </c>
      <c r="V49">
        <v>24.303298999999999</v>
      </c>
      <c r="W49" s="3">
        <v>45839</v>
      </c>
      <c r="X49">
        <v>27.767938000000001</v>
      </c>
      <c r="Y49">
        <v>835.20671600000003</v>
      </c>
      <c r="Z49">
        <v>157.696136</v>
      </c>
      <c r="AA49">
        <v>72.096681000000004</v>
      </c>
      <c r="AB49">
        <v>130.292451</v>
      </c>
      <c r="AC49">
        <v>893.07211700000005</v>
      </c>
      <c r="AD49">
        <v>184.52379300000001</v>
      </c>
      <c r="AE49">
        <v>124.879482</v>
      </c>
      <c r="AF49">
        <v>299.14489400000002</v>
      </c>
      <c r="AG49">
        <v>198.05197999999999</v>
      </c>
      <c r="AH49">
        <v>673.76639799999998</v>
      </c>
      <c r="AI49">
        <v>139.32253700000001</v>
      </c>
      <c r="AJ49">
        <v>90.283918</v>
      </c>
      <c r="AK49">
        <v>216.171449</v>
      </c>
      <c r="AL49">
        <v>316.103836</v>
      </c>
      <c r="AM49">
        <v>632.758287</v>
      </c>
      <c r="AN49">
        <v>257.67087800000002</v>
      </c>
      <c r="AO49">
        <v>286.83653099999998</v>
      </c>
      <c r="AP49">
        <v>83.583357000000007</v>
      </c>
      <c r="AQ49">
        <v>60.711657000000002</v>
      </c>
    </row>
    <row r="50" spans="2:43" x14ac:dyDescent="0.2">
      <c r="B50" s="3">
        <v>45840</v>
      </c>
      <c r="C50">
        <v>149.13522</v>
      </c>
      <c r="D50">
        <v>53.339467999999997</v>
      </c>
      <c r="E50">
        <v>276.40235999999999</v>
      </c>
      <c r="F50">
        <v>78.02158</v>
      </c>
      <c r="G50">
        <v>41.312024000000001</v>
      </c>
      <c r="H50">
        <v>140.56598399999999</v>
      </c>
      <c r="I50">
        <v>50.906855999999998</v>
      </c>
      <c r="J50">
        <v>255.65311199999999</v>
      </c>
      <c r="K50">
        <v>17.714839999999999</v>
      </c>
      <c r="L50">
        <v>44.719375999999997</v>
      </c>
      <c r="M50">
        <v>68.664075999999994</v>
      </c>
      <c r="N50">
        <v>11.857924000000001</v>
      </c>
      <c r="O50">
        <v>87.158708000000004</v>
      </c>
      <c r="P50">
        <v>79.547259999999994</v>
      </c>
      <c r="Q50">
        <v>25.131340000000002</v>
      </c>
      <c r="R50">
        <v>38.794651999999999</v>
      </c>
      <c r="S50">
        <v>42.490188000000003</v>
      </c>
      <c r="T50">
        <v>18.113212000000001</v>
      </c>
      <c r="U50">
        <v>67.350296</v>
      </c>
      <c r="V50">
        <v>25.665327999999999</v>
      </c>
      <c r="W50" s="3">
        <v>45840</v>
      </c>
      <c r="X50">
        <v>27.555475999999999</v>
      </c>
      <c r="Y50">
        <v>832.64833599999997</v>
      </c>
      <c r="Z50">
        <v>159.47594000000001</v>
      </c>
      <c r="AA50">
        <v>75.080408000000006</v>
      </c>
      <c r="AB50">
        <v>130.50497200000001</v>
      </c>
      <c r="AC50">
        <v>907.41513199999997</v>
      </c>
      <c r="AD50">
        <v>180.30147199999999</v>
      </c>
      <c r="AE50">
        <v>123.71569599999999</v>
      </c>
      <c r="AF50">
        <v>299.38079599999998</v>
      </c>
      <c r="AG50">
        <v>193.362988</v>
      </c>
      <c r="AH50">
        <v>673.96914000000004</v>
      </c>
      <c r="AI50">
        <v>140.29475199999999</v>
      </c>
      <c r="AJ50">
        <v>91.803556</v>
      </c>
      <c r="AK50">
        <v>217.36702</v>
      </c>
      <c r="AL50">
        <v>315.18006000000003</v>
      </c>
      <c r="AM50">
        <v>647.90544</v>
      </c>
      <c r="AN50">
        <v>256.543092</v>
      </c>
      <c r="AO50">
        <v>290.50642399999998</v>
      </c>
      <c r="AP50">
        <v>84.726095999999998</v>
      </c>
      <c r="AQ50">
        <v>61.188243999999997</v>
      </c>
    </row>
    <row r="51" spans="2:43" x14ac:dyDescent="0.2">
      <c r="B51" s="3">
        <v>45841</v>
      </c>
      <c r="C51">
        <v>154.0150678</v>
      </c>
      <c r="D51">
        <v>53.530145900000001</v>
      </c>
      <c r="E51">
        <v>284.5187224</v>
      </c>
      <c r="F51">
        <v>79.644486900000004</v>
      </c>
      <c r="G51">
        <v>41.306592799999997</v>
      </c>
      <c r="H51">
        <v>141.83404619999999</v>
      </c>
      <c r="I51">
        <v>50.952736999999999</v>
      </c>
      <c r="J51">
        <v>256.08216149999998</v>
      </c>
      <c r="K51">
        <v>17.905761500000001</v>
      </c>
      <c r="L51">
        <v>44.632556100000002</v>
      </c>
      <c r="M51">
        <v>70.057886800000006</v>
      </c>
      <c r="N51">
        <v>11.832263299999999</v>
      </c>
      <c r="O51">
        <v>88.252862500000006</v>
      </c>
      <c r="P51">
        <v>80.5121295</v>
      </c>
      <c r="Q51">
        <v>25.4848748</v>
      </c>
      <c r="R51">
        <v>38.958854000000002</v>
      </c>
      <c r="S51">
        <v>43.263041800000003</v>
      </c>
      <c r="T51">
        <v>18.696847399999999</v>
      </c>
      <c r="U51">
        <v>67.608072399999998</v>
      </c>
      <c r="V51">
        <v>25.935708699999999</v>
      </c>
      <c r="W51" s="3">
        <v>45841</v>
      </c>
      <c r="X51">
        <v>27.7475506</v>
      </c>
      <c r="Y51">
        <v>839.58882259999996</v>
      </c>
      <c r="Z51">
        <v>160.45433689999999</v>
      </c>
      <c r="AA51">
        <v>75.467893599999996</v>
      </c>
      <c r="AB51">
        <v>130.09535220000001</v>
      </c>
      <c r="AC51">
        <v>920.5092545</v>
      </c>
      <c r="AD51">
        <v>182.9535004</v>
      </c>
      <c r="AE51">
        <v>125.1531919</v>
      </c>
      <c r="AF51">
        <v>312.58951239999999</v>
      </c>
      <c r="AG51">
        <v>198.2563341</v>
      </c>
      <c r="AH51">
        <v>669.44581000000005</v>
      </c>
      <c r="AI51">
        <v>142.09774150000001</v>
      </c>
      <c r="AJ51">
        <v>91.885052599999995</v>
      </c>
      <c r="AK51">
        <v>219.887855</v>
      </c>
      <c r="AL51">
        <v>316.16215840000001</v>
      </c>
      <c r="AM51">
        <v>645.32194319999996</v>
      </c>
      <c r="AN51">
        <v>256.9072726</v>
      </c>
      <c r="AO51">
        <v>295.22815409999998</v>
      </c>
      <c r="AP51">
        <v>85.190594500000003</v>
      </c>
      <c r="AQ51">
        <v>61.721712799999999</v>
      </c>
    </row>
    <row r="52" spans="2:43" x14ac:dyDescent="0.2">
      <c r="B52" s="3">
        <v>45845</v>
      </c>
      <c r="C52">
        <v>153.9677475</v>
      </c>
      <c r="D52">
        <v>53.822511900000002</v>
      </c>
      <c r="E52">
        <v>280.90038149999998</v>
      </c>
      <c r="F52">
        <v>82.583089200000003</v>
      </c>
      <c r="G52">
        <v>40.240890899999997</v>
      </c>
      <c r="H52">
        <v>140.97551759999999</v>
      </c>
      <c r="I52">
        <v>51.388070399999997</v>
      </c>
      <c r="J52">
        <v>256.85493300000002</v>
      </c>
      <c r="K52">
        <v>17.852571000000001</v>
      </c>
      <c r="L52">
        <v>43.538064300000002</v>
      </c>
      <c r="M52">
        <v>69.283350900000002</v>
      </c>
      <c r="N52">
        <v>11.6511516</v>
      </c>
      <c r="O52">
        <v>87.742396799999995</v>
      </c>
      <c r="P52">
        <v>81.310346100000004</v>
      </c>
      <c r="Q52">
        <v>25.036308900000002</v>
      </c>
      <c r="R52">
        <v>38.5495947</v>
      </c>
      <c r="S52">
        <v>42.709499999999998</v>
      </c>
      <c r="T52">
        <v>18.3223755</v>
      </c>
      <c r="U52">
        <v>67.532261399999996</v>
      </c>
      <c r="V52">
        <v>25.540281</v>
      </c>
      <c r="W52" s="3">
        <v>45845</v>
      </c>
      <c r="X52">
        <v>27.598878899999999</v>
      </c>
      <c r="Y52">
        <v>847.51023420000001</v>
      </c>
      <c r="Z52">
        <v>160.0495803</v>
      </c>
      <c r="AA52">
        <v>73.280960100000001</v>
      </c>
      <c r="AB52">
        <v>129.70020959999999</v>
      </c>
      <c r="AC52">
        <v>919.0828143</v>
      </c>
      <c r="AD52">
        <v>182.0791404</v>
      </c>
      <c r="AE52">
        <v>124.42985729999999</v>
      </c>
      <c r="AF52">
        <v>310.14784709999998</v>
      </c>
      <c r="AG52">
        <v>198.50521409999999</v>
      </c>
      <c r="AH52">
        <v>663.80813279999995</v>
      </c>
      <c r="AI52">
        <v>138.76316550000001</v>
      </c>
      <c r="AJ52">
        <v>90.826022699999996</v>
      </c>
      <c r="AK52">
        <v>217.52802539999999</v>
      </c>
      <c r="AL52">
        <v>314.0344116</v>
      </c>
      <c r="AM52">
        <v>633.10000230000003</v>
      </c>
      <c r="AN52">
        <v>252.9939942</v>
      </c>
      <c r="AO52">
        <v>289.51061670000001</v>
      </c>
      <c r="AP52">
        <v>84.479391000000007</v>
      </c>
      <c r="AQ52">
        <v>61.527305699999999</v>
      </c>
    </row>
    <row r="53" spans="2:43" x14ac:dyDescent="0.2">
      <c r="B53" s="3">
        <v>45846</v>
      </c>
      <c r="C53">
        <v>153.07040699999999</v>
      </c>
      <c r="D53">
        <v>53.531142000000003</v>
      </c>
      <c r="E53">
        <v>281.64409000000001</v>
      </c>
      <c r="F53">
        <v>83.145566000000002</v>
      </c>
      <c r="G53">
        <v>41.888374499999998</v>
      </c>
      <c r="H53">
        <v>139.41467750000001</v>
      </c>
      <c r="I53">
        <v>49.1384495</v>
      </c>
      <c r="J53">
        <v>252.90820450000001</v>
      </c>
      <c r="K53">
        <v>17.656065000000002</v>
      </c>
      <c r="L53">
        <v>44.643402999999999</v>
      </c>
      <c r="M53">
        <v>69.268069499999996</v>
      </c>
      <c r="N53">
        <v>11.659826499999999</v>
      </c>
      <c r="O53">
        <v>87.282373500000006</v>
      </c>
      <c r="P53">
        <v>82.838504</v>
      </c>
      <c r="Q53">
        <v>24.599077999999999</v>
      </c>
      <c r="R53">
        <v>39.465996500000003</v>
      </c>
      <c r="S53">
        <v>43.091034000000001</v>
      </c>
      <c r="T53">
        <v>18.457837999999999</v>
      </c>
      <c r="U53">
        <v>68.781887999999995</v>
      </c>
      <c r="V53">
        <v>27.754992999999999</v>
      </c>
      <c r="W53" s="3">
        <v>45846</v>
      </c>
      <c r="X53">
        <v>27.490578500000002</v>
      </c>
      <c r="Y53">
        <v>840.87222799999995</v>
      </c>
      <c r="Z53">
        <v>160.72136850000001</v>
      </c>
      <c r="AA53">
        <v>72.978402000000003</v>
      </c>
      <c r="AB53">
        <v>131.132533</v>
      </c>
      <c r="AC53">
        <v>916.938309</v>
      </c>
      <c r="AD53">
        <v>181.8233515</v>
      </c>
      <c r="AE53">
        <v>123.6009845</v>
      </c>
      <c r="AF53">
        <v>312.94735500000002</v>
      </c>
      <c r="AG53">
        <v>199.56471149999999</v>
      </c>
      <c r="AH53">
        <v>654.54530050000005</v>
      </c>
      <c r="AI53">
        <v>139.46585450000001</v>
      </c>
      <c r="AJ53">
        <v>91.137707500000005</v>
      </c>
      <c r="AK53">
        <v>219.97580500000001</v>
      </c>
      <c r="AL53">
        <v>313.45912499999997</v>
      </c>
      <c r="AM53">
        <v>649.35936449999997</v>
      </c>
      <c r="AN53">
        <v>258.13678800000002</v>
      </c>
      <c r="AO53">
        <v>288.42504250000002</v>
      </c>
      <c r="AP53">
        <v>85.073233000000002</v>
      </c>
      <c r="AQ53">
        <v>60.951807000000002</v>
      </c>
    </row>
    <row r="54" spans="2:43" x14ac:dyDescent="0.2">
      <c r="B54" s="3">
        <v>45847</v>
      </c>
      <c r="C54">
        <v>154.80931440000001</v>
      </c>
      <c r="D54">
        <v>53.554363199999997</v>
      </c>
      <c r="E54">
        <v>284.64195239999998</v>
      </c>
      <c r="F54">
        <v>82.464844799999995</v>
      </c>
      <c r="G54">
        <v>42.683066400000001</v>
      </c>
      <c r="H54">
        <v>139.0314276</v>
      </c>
      <c r="I54">
        <v>50.132550000000002</v>
      </c>
      <c r="J54">
        <v>253.82856720000001</v>
      </c>
      <c r="K54">
        <v>17.714923200000001</v>
      </c>
      <c r="L54">
        <v>43.741183200000002</v>
      </c>
      <c r="M54">
        <v>68.419197600000004</v>
      </c>
      <c r="N54">
        <v>11.5368864</v>
      </c>
      <c r="O54">
        <v>87.354368399999998</v>
      </c>
      <c r="P54">
        <v>84.265349999999998</v>
      </c>
      <c r="Q54">
        <v>24.6012156</v>
      </c>
      <c r="R54">
        <v>38.902858799999997</v>
      </c>
      <c r="S54">
        <v>43.263323999999997</v>
      </c>
      <c r="T54">
        <v>18.7389072</v>
      </c>
      <c r="U54">
        <v>68.803191600000005</v>
      </c>
      <c r="V54">
        <v>27.980362800000002</v>
      </c>
      <c r="W54" s="3">
        <v>45847</v>
      </c>
      <c r="X54">
        <v>27.536636399999999</v>
      </c>
      <c r="Y54">
        <v>838.0370388</v>
      </c>
      <c r="Z54">
        <v>160.61189039999999</v>
      </c>
      <c r="AA54">
        <v>73.906045199999994</v>
      </c>
      <c r="AB54">
        <v>133.10085359999999</v>
      </c>
      <c r="AC54">
        <v>929.05214999999998</v>
      </c>
      <c r="AD54">
        <v>182.75554439999999</v>
      </c>
      <c r="AE54">
        <v>124.53352080000001</v>
      </c>
      <c r="AF54">
        <v>313.05750840000002</v>
      </c>
      <c r="AG54">
        <v>199.7451456</v>
      </c>
      <c r="AH54">
        <v>652.54233720000002</v>
      </c>
      <c r="AI54">
        <v>139.859148</v>
      </c>
      <c r="AJ54">
        <v>90.784714800000003</v>
      </c>
      <c r="AK54">
        <v>221.64986999999999</v>
      </c>
      <c r="AL54">
        <v>316.61585280000003</v>
      </c>
      <c r="AM54">
        <v>640.96278480000001</v>
      </c>
      <c r="AN54">
        <v>263.21508720000003</v>
      </c>
      <c r="AO54">
        <v>290.35066319999999</v>
      </c>
      <c r="AP54">
        <v>86.569314000000006</v>
      </c>
      <c r="AQ54">
        <v>60.517454399999998</v>
      </c>
    </row>
    <row r="55" spans="2:43" x14ac:dyDescent="0.2">
      <c r="B55" s="3">
        <v>45848</v>
      </c>
      <c r="C55">
        <v>152.58959100000001</v>
      </c>
      <c r="D55">
        <v>54.085416000000002</v>
      </c>
      <c r="E55">
        <v>291.76039200000002</v>
      </c>
      <c r="F55">
        <v>82.393079999999998</v>
      </c>
      <c r="G55">
        <v>43.042692000000002</v>
      </c>
      <c r="H55">
        <v>139.700715</v>
      </c>
      <c r="I55">
        <v>51.093966000000002</v>
      </c>
      <c r="J55">
        <v>254.18778</v>
      </c>
      <c r="K55">
        <v>17.880324000000002</v>
      </c>
      <c r="L55">
        <v>43.914485999999997</v>
      </c>
      <c r="M55">
        <v>78.350348999999994</v>
      </c>
      <c r="N55">
        <v>11.572638</v>
      </c>
      <c r="O55">
        <v>88.145211000000003</v>
      </c>
      <c r="P55">
        <v>81.846072000000007</v>
      </c>
      <c r="Q55">
        <v>24.871770000000001</v>
      </c>
      <c r="R55">
        <v>40.350386999999998</v>
      </c>
      <c r="S55">
        <v>48.529865999999998</v>
      </c>
      <c r="T55">
        <v>19.786304999999999</v>
      </c>
      <c r="U55">
        <v>67.897368</v>
      </c>
      <c r="V55">
        <v>29.299116000000001</v>
      </c>
      <c r="W55" s="3">
        <v>45848</v>
      </c>
      <c r="X55">
        <v>27.675186</v>
      </c>
      <c r="Y55">
        <v>829.20429899999999</v>
      </c>
      <c r="Z55">
        <v>162.837444</v>
      </c>
      <c r="AA55">
        <v>78.717870000000005</v>
      </c>
      <c r="AB55">
        <v>134.46140399999999</v>
      </c>
      <c r="AC55">
        <v>943.63153499999999</v>
      </c>
      <c r="AD55">
        <v>183.51263700000001</v>
      </c>
      <c r="AE55">
        <v>124.196457</v>
      </c>
      <c r="AF55">
        <v>320.10224399999998</v>
      </c>
      <c r="AG55">
        <v>196.03399200000001</v>
      </c>
      <c r="AH55">
        <v>648.62328300000001</v>
      </c>
      <c r="AI55">
        <v>140.88874799999999</v>
      </c>
      <c r="AJ55">
        <v>92.658027000000004</v>
      </c>
      <c r="AK55">
        <v>224.033964</v>
      </c>
      <c r="AL55">
        <v>319.05950999999999</v>
      </c>
      <c r="AM55">
        <v>632.86261500000001</v>
      </c>
      <c r="AN55">
        <v>266.06810999999999</v>
      </c>
      <c r="AO55">
        <v>294.82876499999998</v>
      </c>
      <c r="AP55">
        <v>87.999911999999995</v>
      </c>
      <c r="AQ55">
        <v>60.324725999999998</v>
      </c>
    </row>
    <row r="56" spans="2:43" x14ac:dyDescent="0.2">
      <c r="B56" s="3">
        <v>45849</v>
      </c>
      <c r="C56">
        <v>153.71803679999999</v>
      </c>
      <c r="D56">
        <v>55.411382699999997</v>
      </c>
      <c r="E56">
        <v>289.5986901</v>
      </c>
      <c r="F56">
        <v>81.607098899999997</v>
      </c>
      <c r="G56">
        <v>42.125312399999999</v>
      </c>
      <c r="H56">
        <v>138.37874249999999</v>
      </c>
      <c r="I56">
        <v>51.441816299999999</v>
      </c>
      <c r="J56">
        <v>247.51615319999999</v>
      </c>
      <c r="K56">
        <v>18.2565834</v>
      </c>
      <c r="L56">
        <v>43.904773200000001</v>
      </c>
      <c r="M56">
        <v>75.019671900000006</v>
      </c>
      <c r="N56">
        <v>11.4809442</v>
      </c>
      <c r="O56">
        <v>87.202134299999997</v>
      </c>
      <c r="P56">
        <v>84.045302399999997</v>
      </c>
      <c r="Q56">
        <v>24.518916600000001</v>
      </c>
      <c r="R56">
        <v>39.661443599999998</v>
      </c>
      <c r="S56">
        <v>48.464641499999999</v>
      </c>
      <c r="T56">
        <v>19.351636200000002</v>
      </c>
      <c r="U56">
        <v>66.1993638</v>
      </c>
      <c r="V56">
        <v>28.779356400000001</v>
      </c>
      <c r="W56" s="3">
        <v>45849</v>
      </c>
      <c r="X56">
        <v>27.675748500000001</v>
      </c>
      <c r="Y56">
        <v>830.12701830000003</v>
      </c>
      <c r="Z56">
        <v>161.64005940000001</v>
      </c>
      <c r="AA56">
        <v>77.919850800000006</v>
      </c>
      <c r="AB56">
        <v>133.3226784</v>
      </c>
      <c r="AC56">
        <v>942.46403640000005</v>
      </c>
      <c r="AD56">
        <v>181.14568740000001</v>
      </c>
      <c r="AE56">
        <v>122.5860279</v>
      </c>
      <c r="AF56">
        <v>320.40560520000002</v>
      </c>
      <c r="AG56">
        <v>188.38330199999999</v>
      </c>
      <c r="AH56">
        <v>647.364417</v>
      </c>
      <c r="AI56">
        <v>140.03843190000001</v>
      </c>
      <c r="AJ56">
        <v>93.396026699999993</v>
      </c>
      <c r="AK56">
        <v>222.17594700000001</v>
      </c>
      <c r="AL56">
        <v>316.5985857</v>
      </c>
      <c r="AM56">
        <v>629.7066906</v>
      </c>
      <c r="AN56">
        <v>262.05982319999998</v>
      </c>
      <c r="AO56">
        <v>293.4998157</v>
      </c>
      <c r="AP56">
        <v>86.808599700000002</v>
      </c>
      <c r="AQ56">
        <v>59.2697328</v>
      </c>
    </row>
    <row r="57" spans="2:43" x14ac:dyDescent="0.2">
      <c r="B57" s="3">
        <v>45852</v>
      </c>
      <c r="C57">
        <v>158.03781119999999</v>
      </c>
      <c r="D57">
        <v>56.246096000000001</v>
      </c>
      <c r="E57">
        <v>293.25994229999998</v>
      </c>
      <c r="F57">
        <v>80.502224900000002</v>
      </c>
      <c r="G57">
        <v>42.638999300000002</v>
      </c>
      <c r="H57">
        <v>139.2691063</v>
      </c>
      <c r="I57">
        <v>52.147676199999999</v>
      </c>
      <c r="J57">
        <v>250.3722941</v>
      </c>
      <c r="K57">
        <v>18.708686199999999</v>
      </c>
      <c r="L57">
        <v>43.787928700000002</v>
      </c>
      <c r="M57">
        <v>76.2580454</v>
      </c>
      <c r="N57">
        <v>11.4807199</v>
      </c>
      <c r="O57">
        <v>87.627302</v>
      </c>
      <c r="P57">
        <v>83.520308099999994</v>
      </c>
      <c r="Q57">
        <v>25.1392612</v>
      </c>
      <c r="R57">
        <v>39.123618299999997</v>
      </c>
      <c r="S57">
        <v>49.824095100000001</v>
      </c>
      <c r="T57">
        <v>19.951930699999998</v>
      </c>
      <c r="U57">
        <v>66.372108100000005</v>
      </c>
      <c r="V57">
        <v>28.183066700000001</v>
      </c>
      <c r="W57" s="3">
        <v>45852</v>
      </c>
      <c r="X57">
        <v>27.702917100000001</v>
      </c>
      <c r="Y57">
        <v>841.0420431</v>
      </c>
      <c r="Z57">
        <v>161.96474900000001</v>
      </c>
      <c r="AA57">
        <v>76.815361899999999</v>
      </c>
      <c r="AB57">
        <v>135.39361310000001</v>
      </c>
      <c r="AC57">
        <v>952.97691859999998</v>
      </c>
      <c r="AD57">
        <v>183.11705370000001</v>
      </c>
      <c r="AE57">
        <v>123.7328371</v>
      </c>
      <c r="AF57">
        <v>330.83164849999997</v>
      </c>
      <c r="AG57">
        <v>190.34502000000001</v>
      </c>
      <c r="AH57">
        <v>651.80308200000002</v>
      </c>
      <c r="AI57">
        <v>140.04934940000001</v>
      </c>
      <c r="AJ57">
        <v>93.757783500000002</v>
      </c>
      <c r="AK57">
        <v>220.88596419999999</v>
      </c>
      <c r="AL57">
        <v>317.3360151</v>
      </c>
      <c r="AM57">
        <v>618.31264739999995</v>
      </c>
      <c r="AN57">
        <v>258.23474379999999</v>
      </c>
      <c r="AO57">
        <v>294.23738969999999</v>
      </c>
      <c r="AP57">
        <v>87.678746599999997</v>
      </c>
      <c r="AQ57">
        <v>60.430256800000002</v>
      </c>
    </row>
    <row r="58" spans="2:43" x14ac:dyDescent="0.2">
      <c r="B58" s="3">
        <v>45853</v>
      </c>
      <c r="C58">
        <v>159.22001520000001</v>
      </c>
      <c r="D58">
        <v>56.202906599999999</v>
      </c>
      <c r="E58">
        <v>294.23976060000001</v>
      </c>
      <c r="F58">
        <v>79.497929400000004</v>
      </c>
      <c r="G58">
        <v>45.839983799999999</v>
      </c>
      <c r="H58">
        <v>137.88205020000001</v>
      </c>
      <c r="I58">
        <v>49.443728999999998</v>
      </c>
      <c r="J58">
        <v>250.01197859999999</v>
      </c>
      <c r="K58">
        <v>18.4411746</v>
      </c>
      <c r="L58">
        <v>42.9259506</v>
      </c>
      <c r="M58">
        <v>74.471653200000006</v>
      </c>
      <c r="N58">
        <v>11.20782</v>
      </c>
      <c r="O58">
        <v>87.033033000000003</v>
      </c>
      <c r="P58">
        <v>82.679226</v>
      </c>
      <c r="Q58">
        <v>24.976195799999999</v>
      </c>
      <c r="R58">
        <v>38.037616800000002</v>
      </c>
      <c r="S58">
        <v>48.029819400000001</v>
      </c>
      <c r="T58">
        <v>19.605063600000001</v>
      </c>
      <c r="U58">
        <v>66.212351999999996</v>
      </c>
      <c r="V58">
        <v>27.226381199999999</v>
      </c>
      <c r="W58" s="3">
        <v>45853</v>
      </c>
      <c r="X58">
        <v>27.467780399999999</v>
      </c>
      <c r="Y58">
        <v>834.27563520000001</v>
      </c>
      <c r="Z58">
        <v>161.28052980000001</v>
      </c>
      <c r="AA58">
        <v>74.230254000000002</v>
      </c>
      <c r="AB58">
        <v>135.00250260000001</v>
      </c>
      <c r="AC58">
        <v>901.93638239999996</v>
      </c>
      <c r="AD58">
        <v>181.82532599999999</v>
      </c>
      <c r="AE58">
        <v>121.2858552</v>
      </c>
      <c r="AF58">
        <v>338.57962079999999</v>
      </c>
      <c r="AG58">
        <v>191.1623022</v>
      </c>
      <c r="AH58">
        <v>655.19191439999997</v>
      </c>
      <c r="AI58">
        <v>139.6321944</v>
      </c>
      <c r="AJ58">
        <v>93.645646799999994</v>
      </c>
      <c r="AK58">
        <v>221.0268318</v>
      </c>
      <c r="AL58">
        <v>309.1978896</v>
      </c>
      <c r="AM58">
        <v>618.68890680000004</v>
      </c>
      <c r="AN58">
        <v>251.85695820000001</v>
      </c>
      <c r="AO58">
        <v>298.80910260000002</v>
      </c>
      <c r="AP58">
        <v>86.757148200000003</v>
      </c>
      <c r="AQ58">
        <v>59.746302</v>
      </c>
    </row>
    <row r="59" spans="2:43" x14ac:dyDescent="0.2">
      <c r="B59" s="3">
        <v>45854</v>
      </c>
      <c r="C59">
        <v>158.415065</v>
      </c>
      <c r="D59">
        <v>56.300525</v>
      </c>
      <c r="E59">
        <v>291.58514650000001</v>
      </c>
      <c r="F59">
        <v>78.004162500000007</v>
      </c>
      <c r="G59">
        <v>45.745251000000003</v>
      </c>
      <c r="H59">
        <v>138.7915385</v>
      </c>
      <c r="I59">
        <v>50.240697500000003</v>
      </c>
      <c r="J59">
        <v>247.7824785</v>
      </c>
      <c r="K59">
        <v>18.781167499999999</v>
      </c>
      <c r="L59">
        <v>42.977499999999999</v>
      </c>
      <c r="M59">
        <v>76.044388499999997</v>
      </c>
      <c r="N59">
        <v>11.311678000000001</v>
      </c>
      <c r="O59">
        <v>86.393370500000003</v>
      </c>
      <c r="P59">
        <v>79.594329999999999</v>
      </c>
      <c r="Q59">
        <v>24.961331999999999</v>
      </c>
      <c r="R59">
        <v>37.803009000000003</v>
      </c>
      <c r="S59">
        <v>47.756597999999997</v>
      </c>
      <c r="T59">
        <v>19.812627500000001</v>
      </c>
      <c r="U59">
        <v>66.219731999999993</v>
      </c>
      <c r="V59">
        <v>27.557172999999999</v>
      </c>
      <c r="W59" s="3">
        <v>45854</v>
      </c>
      <c r="X59">
        <v>27.6861055</v>
      </c>
      <c r="Y59">
        <v>817.75008349999996</v>
      </c>
      <c r="Z59">
        <v>161.45787200000001</v>
      </c>
      <c r="AA59">
        <v>74.265119999999996</v>
      </c>
      <c r="AB59">
        <v>135.43069800000001</v>
      </c>
      <c r="AC59">
        <v>930.23939199999995</v>
      </c>
      <c r="AD59">
        <v>182.20740900000001</v>
      </c>
      <c r="AE59">
        <v>122.2709875</v>
      </c>
      <c r="AF59">
        <v>321.72956499999998</v>
      </c>
      <c r="AG59">
        <v>191.885942</v>
      </c>
      <c r="AH59">
        <v>658.105862</v>
      </c>
      <c r="AI59">
        <v>137.75148300000001</v>
      </c>
      <c r="AJ59">
        <v>94.696623500000001</v>
      </c>
      <c r="AK59">
        <v>220.74963099999999</v>
      </c>
      <c r="AL59">
        <v>307.20317</v>
      </c>
      <c r="AM59">
        <v>613.74448649999999</v>
      </c>
      <c r="AN59">
        <v>251.555903</v>
      </c>
      <c r="AO59">
        <v>302.27794849999998</v>
      </c>
      <c r="AP59">
        <v>88.576627500000001</v>
      </c>
      <c r="AQ59">
        <v>60.280241500000002</v>
      </c>
    </row>
    <row r="60" spans="2:43" x14ac:dyDescent="0.2">
      <c r="B60" s="3">
        <v>45855</v>
      </c>
      <c r="C60">
        <v>162.85454519999999</v>
      </c>
      <c r="D60">
        <v>56.377702800000002</v>
      </c>
      <c r="E60">
        <v>300.56896440000003</v>
      </c>
      <c r="F60">
        <v>78.050820000000002</v>
      </c>
      <c r="G60">
        <v>45.49371</v>
      </c>
      <c r="H60">
        <v>140.3448612</v>
      </c>
      <c r="I60">
        <v>50.0128956</v>
      </c>
      <c r="J60">
        <v>244.458618</v>
      </c>
      <c r="K60">
        <v>18.844314000000001</v>
      </c>
      <c r="L60">
        <v>43.544595600000001</v>
      </c>
      <c r="M60">
        <v>78.671776800000004</v>
      </c>
      <c r="N60">
        <v>11.4359544</v>
      </c>
      <c r="O60">
        <v>88.814071200000001</v>
      </c>
      <c r="P60">
        <v>79.163367600000001</v>
      </c>
      <c r="Q60">
        <v>25.398858000000001</v>
      </c>
      <c r="R60">
        <v>38.344082399999998</v>
      </c>
      <c r="S60">
        <v>48.5898696</v>
      </c>
      <c r="T60">
        <v>20.353584000000001</v>
      </c>
      <c r="U60">
        <v>67.209949199999997</v>
      </c>
      <c r="V60">
        <v>27.770568000000001</v>
      </c>
      <c r="W60" s="3">
        <v>45854</v>
      </c>
      <c r="X60" s="2" t="s">
        <v>20</v>
      </c>
      <c r="Y60" s="2" t="s">
        <v>20</v>
      </c>
      <c r="Z60" s="2" t="s">
        <v>20</v>
      </c>
      <c r="AA60" s="2" t="s">
        <v>20</v>
      </c>
      <c r="AB60" s="2" t="s">
        <v>20</v>
      </c>
      <c r="AC60" s="2" t="s">
        <v>20</v>
      </c>
      <c r="AD60" s="2" t="s">
        <v>20</v>
      </c>
      <c r="AE60" s="2" t="s">
        <v>20</v>
      </c>
      <c r="AF60">
        <v>321.72956499999998</v>
      </c>
      <c r="AG60" s="2" t="s">
        <v>20</v>
      </c>
      <c r="AH60" s="2" t="s">
        <v>20</v>
      </c>
      <c r="AI60" s="2" t="s">
        <v>20</v>
      </c>
      <c r="AJ60" s="2" t="s">
        <v>20</v>
      </c>
      <c r="AK60" s="2" t="s">
        <v>20</v>
      </c>
      <c r="AL60" s="2" t="s">
        <v>20</v>
      </c>
      <c r="AM60" s="2" t="s">
        <v>20</v>
      </c>
      <c r="AN60" s="2" t="s">
        <v>20</v>
      </c>
      <c r="AO60" s="2" t="s">
        <v>20</v>
      </c>
      <c r="AP60" s="2" t="s">
        <v>20</v>
      </c>
      <c r="AQ60" s="2" t="s">
        <v>20</v>
      </c>
    </row>
    <row r="61" spans="2:43" x14ac:dyDescent="0.2">
      <c r="B61" s="3">
        <v>45856</v>
      </c>
      <c r="C61">
        <v>163.8633078</v>
      </c>
      <c r="D61">
        <v>56.602476000000003</v>
      </c>
      <c r="E61">
        <v>301.16302200000001</v>
      </c>
      <c r="F61">
        <v>77.927329799999995</v>
      </c>
      <c r="G61">
        <v>44.533589399999997</v>
      </c>
      <c r="H61">
        <v>140.09542920000001</v>
      </c>
      <c r="I61">
        <v>50.056201799999997</v>
      </c>
      <c r="J61">
        <v>244.50033060000001</v>
      </c>
      <c r="K61">
        <v>18.92484</v>
      </c>
      <c r="L61">
        <v>42.150779999999997</v>
      </c>
      <c r="M61">
        <v>79.355294999999998</v>
      </c>
      <c r="N61">
        <v>11.569959000000001</v>
      </c>
      <c r="O61">
        <v>88.895134799999994</v>
      </c>
      <c r="P61">
        <v>79.6821786</v>
      </c>
      <c r="Q61">
        <v>25.419501</v>
      </c>
      <c r="R61">
        <v>38.537855999999998</v>
      </c>
      <c r="S61">
        <v>48.4217838</v>
      </c>
      <c r="T61">
        <v>20.292589799999998</v>
      </c>
      <c r="U61">
        <v>67.690711800000003</v>
      </c>
      <c r="V61">
        <v>26.890477199999999</v>
      </c>
      <c r="W61" s="3">
        <v>45854</v>
      </c>
      <c r="X61" s="2" t="s">
        <v>20</v>
      </c>
      <c r="Y61" s="2" t="s">
        <v>20</v>
      </c>
      <c r="Z61" s="2" t="s">
        <v>20</v>
      </c>
      <c r="AA61" s="2" t="s">
        <v>20</v>
      </c>
      <c r="AB61" s="2" t="s">
        <v>20</v>
      </c>
      <c r="AC61" s="2" t="s">
        <v>20</v>
      </c>
      <c r="AD61" s="2" t="s">
        <v>20</v>
      </c>
      <c r="AE61" s="2" t="s">
        <v>20</v>
      </c>
      <c r="AF61">
        <v>321.72956499999998</v>
      </c>
      <c r="AG61" s="2" t="s">
        <v>20</v>
      </c>
      <c r="AH61" s="2" t="s">
        <v>20</v>
      </c>
      <c r="AI61" s="2" t="s">
        <v>20</v>
      </c>
      <c r="AJ61" s="2" t="s">
        <v>20</v>
      </c>
      <c r="AK61" s="2" t="s">
        <v>20</v>
      </c>
      <c r="AL61" s="2" t="s">
        <v>20</v>
      </c>
      <c r="AM61" s="2" t="s">
        <v>20</v>
      </c>
      <c r="AN61" s="2" t="s">
        <v>20</v>
      </c>
      <c r="AO61" s="2" t="s">
        <v>20</v>
      </c>
      <c r="AP61" s="2" t="s">
        <v>20</v>
      </c>
      <c r="AQ61" s="2" t="s">
        <v>20</v>
      </c>
    </row>
    <row r="62" spans="2:43" x14ac:dyDescent="0.2">
      <c r="B62" s="3">
        <v>45859</v>
      </c>
      <c r="C62">
        <v>160.6077981</v>
      </c>
      <c r="D62">
        <v>56.810850799999997</v>
      </c>
      <c r="E62">
        <v>296.25610289999997</v>
      </c>
      <c r="F62">
        <v>77.948181199999993</v>
      </c>
      <c r="G62">
        <v>44.036104999999999</v>
      </c>
      <c r="H62">
        <v>140.02626319999999</v>
      </c>
      <c r="I62">
        <v>51.184490199999999</v>
      </c>
      <c r="J62">
        <v>240.24046720000001</v>
      </c>
      <c r="K62">
        <v>18.922699099999999</v>
      </c>
      <c r="L62">
        <v>41.077562800000003</v>
      </c>
      <c r="M62">
        <v>78.965714500000004</v>
      </c>
      <c r="N62">
        <v>11.440836600000001</v>
      </c>
      <c r="O62">
        <v>87.311197699999994</v>
      </c>
      <c r="P62">
        <v>77.802819299999996</v>
      </c>
      <c r="Q62">
        <v>25.472535300000001</v>
      </c>
      <c r="R62">
        <v>38.640613299999998</v>
      </c>
      <c r="S62">
        <v>47.918122799999999</v>
      </c>
      <c r="T62">
        <v>19.829073300000001</v>
      </c>
      <c r="U62">
        <v>67.302559700000003</v>
      </c>
      <c r="V62">
        <v>26.4815179</v>
      </c>
      <c r="W62" s="3">
        <v>45854</v>
      </c>
      <c r="X62" s="2" t="s">
        <v>20</v>
      </c>
      <c r="Y62" s="2" t="s">
        <v>20</v>
      </c>
      <c r="Z62" s="2" t="s">
        <v>20</v>
      </c>
      <c r="AA62" s="2" t="s">
        <v>20</v>
      </c>
      <c r="AB62" s="2" t="s">
        <v>20</v>
      </c>
      <c r="AC62" s="2" t="s">
        <v>20</v>
      </c>
      <c r="AD62" s="2" t="s">
        <v>20</v>
      </c>
      <c r="AE62" s="2" t="s">
        <v>20</v>
      </c>
      <c r="AF62">
        <v>321.72956499999998</v>
      </c>
      <c r="AG62" s="2" t="s">
        <v>20</v>
      </c>
      <c r="AH62" s="2" t="s">
        <v>20</v>
      </c>
      <c r="AI62" s="2" t="s">
        <v>20</v>
      </c>
      <c r="AJ62" s="2" t="s">
        <v>20</v>
      </c>
      <c r="AK62" s="2" t="s">
        <v>20</v>
      </c>
      <c r="AL62" s="2" t="s">
        <v>20</v>
      </c>
      <c r="AM62" s="2" t="s">
        <v>20</v>
      </c>
      <c r="AN62" s="2" t="s">
        <v>20</v>
      </c>
      <c r="AO62" s="2" t="s">
        <v>20</v>
      </c>
      <c r="AP62" s="2" t="s">
        <v>20</v>
      </c>
      <c r="AQ62" s="2" t="s">
        <v>20</v>
      </c>
    </row>
    <row r="63" spans="2:43" x14ac:dyDescent="0.2">
      <c r="B63" s="3">
        <v>45860</v>
      </c>
      <c r="C63">
        <v>155.99483900000001</v>
      </c>
      <c r="D63">
        <v>57.100543500000001</v>
      </c>
      <c r="E63">
        <v>296.55525899999998</v>
      </c>
      <c r="F63">
        <v>78.099521499999994</v>
      </c>
      <c r="G63">
        <v>42.423380999999999</v>
      </c>
      <c r="H63">
        <v>140.8752345</v>
      </c>
      <c r="I63">
        <v>52.497444999999999</v>
      </c>
      <c r="J63">
        <v>242.97723450000001</v>
      </c>
      <c r="K63">
        <v>19.288769500000001</v>
      </c>
      <c r="L63">
        <v>41.836294500000001</v>
      </c>
      <c r="M63">
        <v>77.240162999999995</v>
      </c>
      <c r="N63">
        <v>11.622610999999999</v>
      </c>
      <c r="O63">
        <v>87.246159000000006</v>
      </c>
      <c r="P63">
        <v>78.039962000000003</v>
      </c>
      <c r="Q63">
        <v>25.4319065</v>
      </c>
      <c r="R63">
        <v>38.96893</v>
      </c>
      <c r="S63">
        <v>47.366819499999998</v>
      </c>
      <c r="T63">
        <v>20.08006</v>
      </c>
      <c r="U63">
        <v>68.408339999999995</v>
      </c>
      <c r="V63">
        <v>27.8483205</v>
      </c>
      <c r="W63" s="3">
        <v>45854</v>
      </c>
      <c r="X63" s="2" t="s">
        <v>20</v>
      </c>
      <c r="Y63" s="2" t="s">
        <v>20</v>
      </c>
      <c r="Z63" s="2" t="s">
        <v>20</v>
      </c>
      <c r="AA63" s="2" t="s">
        <v>20</v>
      </c>
      <c r="AB63" s="2" t="s">
        <v>20</v>
      </c>
      <c r="AC63" s="2" t="s">
        <v>20</v>
      </c>
      <c r="AD63" s="2" t="s">
        <v>20</v>
      </c>
      <c r="AE63" s="2" t="s">
        <v>20</v>
      </c>
      <c r="AF63">
        <v>321.72956499999998</v>
      </c>
      <c r="AG63" s="2" t="s">
        <v>20</v>
      </c>
      <c r="AH63" s="2" t="s">
        <v>20</v>
      </c>
      <c r="AI63" s="2" t="s">
        <v>20</v>
      </c>
      <c r="AJ63" s="2" t="s">
        <v>20</v>
      </c>
      <c r="AK63" s="2" t="s">
        <v>20</v>
      </c>
      <c r="AL63" s="2" t="s">
        <v>20</v>
      </c>
      <c r="AM63" s="2" t="s">
        <v>20</v>
      </c>
      <c r="AN63" s="2" t="s">
        <v>20</v>
      </c>
      <c r="AO63" s="2" t="s">
        <v>20</v>
      </c>
      <c r="AP63" s="2" t="s">
        <v>20</v>
      </c>
      <c r="AQ63" s="2" t="s">
        <v>20</v>
      </c>
    </row>
    <row r="64" spans="2:43" x14ac:dyDescent="0.2">
      <c r="B64" s="3">
        <v>45861</v>
      </c>
      <c r="C64">
        <v>158.369168</v>
      </c>
      <c r="D64">
        <v>57.315365200000002</v>
      </c>
      <c r="E64">
        <v>299.77992080000001</v>
      </c>
      <c r="F64">
        <v>76.414822799999996</v>
      </c>
      <c r="G64">
        <v>43.925353999999999</v>
      </c>
      <c r="H64">
        <v>140.81601879999999</v>
      </c>
      <c r="I64">
        <v>52.183660400000001</v>
      </c>
      <c r="J64">
        <v>243.5605654</v>
      </c>
      <c r="K64">
        <v>19.150434799999999</v>
      </c>
      <c r="L64">
        <v>48.589767799999997</v>
      </c>
      <c r="M64">
        <v>76.831136599999994</v>
      </c>
      <c r="N64">
        <v>11.665282599999999</v>
      </c>
      <c r="O64">
        <v>86.499812199999994</v>
      </c>
      <c r="P64">
        <v>79.617890200000005</v>
      </c>
      <c r="Q64">
        <v>26.1173188</v>
      </c>
      <c r="R64">
        <v>38.096960799999998</v>
      </c>
      <c r="S64">
        <v>47.561727599999998</v>
      </c>
      <c r="T64">
        <v>20.662758400000001</v>
      </c>
      <c r="U64">
        <v>68.547341599999996</v>
      </c>
      <c r="V64">
        <v>29.456325400000001</v>
      </c>
      <c r="W64" s="3">
        <v>45854</v>
      </c>
      <c r="X64" s="2" t="s">
        <v>20</v>
      </c>
      <c r="Y64" s="2" t="s">
        <v>20</v>
      </c>
      <c r="Z64" s="2" t="s">
        <v>20</v>
      </c>
      <c r="AA64" s="2" t="s">
        <v>20</v>
      </c>
      <c r="AB64" s="2" t="s">
        <v>20</v>
      </c>
      <c r="AC64" s="2" t="s">
        <v>20</v>
      </c>
      <c r="AD64" s="2" t="s">
        <v>20</v>
      </c>
      <c r="AE64" s="2" t="s">
        <v>20</v>
      </c>
      <c r="AF64">
        <v>321.72956499999998</v>
      </c>
      <c r="AG64" s="2" t="s">
        <v>20</v>
      </c>
      <c r="AH64" s="2" t="s">
        <v>20</v>
      </c>
      <c r="AI64" s="2" t="s">
        <v>20</v>
      </c>
      <c r="AJ64" s="2" t="s">
        <v>20</v>
      </c>
      <c r="AK64" s="2" t="s">
        <v>20</v>
      </c>
      <c r="AL64" s="2" t="s">
        <v>20</v>
      </c>
      <c r="AM64" s="2" t="s">
        <v>20</v>
      </c>
      <c r="AN64" s="2" t="s">
        <v>20</v>
      </c>
      <c r="AO64" s="2" t="s">
        <v>20</v>
      </c>
      <c r="AP64" s="2" t="s">
        <v>20</v>
      </c>
      <c r="AQ64" s="2" t="s">
        <v>20</v>
      </c>
    </row>
    <row r="65" spans="2:43" x14ac:dyDescent="0.2">
      <c r="B65" s="3">
        <v>45862</v>
      </c>
      <c r="C65">
        <v>158.92383599999999</v>
      </c>
      <c r="D65">
        <v>57.095174700000001</v>
      </c>
      <c r="E65">
        <v>297.22500719999999</v>
      </c>
      <c r="F65">
        <v>77.309469899999996</v>
      </c>
      <c r="G65">
        <v>44.682440399999997</v>
      </c>
      <c r="H65">
        <v>140.34301919999999</v>
      </c>
      <c r="I65">
        <v>52.330862699999997</v>
      </c>
      <c r="J65">
        <v>243.8136666</v>
      </c>
      <c r="K65">
        <v>19.142325</v>
      </c>
      <c r="L65">
        <v>49.863629699999997</v>
      </c>
      <c r="M65">
        <v>76.339592100000004</v>
      </c>
      <c r="N65">
        <v>11.7831645</v>
      </c>
      <c r="O65">
        <v>87.859017899999998</v>
      </c>
      <c r="P65">
        <v>79.546994999999995</v>
      </c>
      <c r="Q65">
        <v>25.335930600000001</v>
      </c>
      <c r="R65">
        <v>37.927326600000001</v>
      </c>
      <c r="S65">
        <v>46.5456267</v>
      </c>
      <c r="T65">
        <v>19.993095</v>
      </c>
      <c r="U65">
        <v>68.665646699999996</v>
      </c>
      <c r="V65">
        <v>28.934687700000001</v>
      </c>
      <c r="W65" s="3">
        <v>45854</v>
      </c>
      <c r="X65" s="2" t="s">
        <v>20</v>
      </c>
      <c r="Y65" s="2" t="s">
        <v>20</v>
      </c>
      <c r="Z65" s="2" t="s">
        <v>20</v>
      </c>
      <c r="AA65" s="2" t="s">
        <v>20</v>
      </c>
      <c r="AB65" s="2" t="s">
        <v>20</v>
      </c>
      <c r="AC65" s="2" t="s">
        <v>20</v>
      </c>
      <c r="AD65" s="2" t="s">
        <v>20</v>
      </c>
      <c r="AE65" s="2" t="s">
        <v>20</v>
      </c>
      <c r="AF65">
        <v>321.72956499999998</v>
      </c>
      <c r="AG65" s="2" t="s">
        <v>20</v>
      </c>
      <c r="AH65" s="2" t="s">
        <v>20</v>
      </c>
      <c r="AI65" s="2" t="s">
        <v>20</v>
      </c>
      <c r="AJ65" s="2" t="s">
        <v>20</v>
      </c>
      <c r="AK65" s="2" t="s">
        <v>20</v>
      </c>
      <c r="AL65" s="2" t="s">
        <v>20</v>
      </c>
      <c r="AM65" s="2" t="s">
        <v>20</v>
      </c>
      <c r="AN65" s="2" t="s">
        <v>20</v>
      </c>
      <c r="AO65" s="2" t="s">
        <v>20</v>
      </c>
      <c r="AP65" s="2" t="s">
        <v>20</v>
      </c>
      <c r="AQ65" s="2" t="s">
        <v>20</v>
      </c>
    </row>
    <row r="66" spans="2:43" x14ac:dyDescent="0.2">
      <c r="B66" s="3">
        <v>45863</v>
      </c>
      <c r="C66">
        <v>161.43124080000001</v>
      </c>
      <c r="D66">
        <v>56.609963399999998</v>
      </c>
      <c r="E66">
        <v>300.51151199999998</v>
      </c>
      <c r="F66">
        <v>77.759909100000002</v>
      </c>
      <c r="G66">
        <v>46.397001299999999</v>
      </c>
      <c r="H66">
        <v>142.3426269</v>
      </c>
      <c r="I66">
        <v>56.0051925</v>
      </c>
      <c r="J66">
        <v>247.2064938</v>
      </c>
      <c r="K66">
        <v>19.454883599999999</v>
      </c>
      <c r="L66">
        <v>51.839939399999999</v>
      </c>
      <c r="M66">
        <v>77.606586899999996</v>
      </c>
      <c r="N66">
        <v>11.9932032</v>
      </c>
      <c r="O66">
        <v>87.9728712</v>
      </c>
      <c r="P66">
        <v>79.472007000000005</v>
      </c>
      <c r="Q66">
        <v>25.340752500000001</v>
      </c>
      <c r="R66">
        <v>38.236853099999998</v>
      </c>
      <c r="S66">
        <v>46.729199399999999</v>
      </c>
      <c r="T66">
        <v>20.289637800000001</v>
      </c>
      <c r="U66">
        <v>68.782042500000003</v>
      </c>
      <c r="V66">
        <v>29.088628499999999</v>
      </c>
      <c r="W66" s="3">
        <v>45854</v>
      </c>
      <c r="X66" s="2" t="s">
        <v>20</v>
      </c>
      <c r="Y66" s="2" t="s">
        <v>20</v>
      </c>
      <c r="Z66" s="2" t="s">
        <v>20</v>
      </c>
      <c r="AA66" s="2" t="s">
        <v>20</v>
      </c>
      <c r="AB66" s="2" t="s">
        <v>20</v>
      </c>
      <c r="AC66" s="2" t="s">
        <v>20</v>
      </c>
      <c r="AD66" s="2" t="s">
        <v>20</v>
      </c>
      <c r="AE66" s="2" t="s">
        <v>20</v>
      </c>
      <c r="AF66">
        <v>321.72956499999998</v>
      </c>
      <c r="AG66" s="2" t="s">
        <v>20</v>
      </c>
      <c r="AH66" s="2" t="s">
        <v>20</v>
      </c>
      <c r="AI66" s="2" t="s">
        <v>20</v>
      </c>
      <c r="AJ66" s="2" t="s">
        <v>20</v>
      </c>
      <c r="AK66" s="2" t="s">
        <v>20</v>
      </c>
      <c r="AL66" s="2" t="s">
        <v>20</v>
      </c>
      <c r="AM66" s="2" t="s">
        <v>20</v>
      </c>
      <c r="AN66" s="2" t="s">
        <v>20</v>
      </c>
      <c r="AO66" s="2" t="s">
        <v>20</v>
      </c>
      <c r="AP66" s="2" t="s">
        <v>20</v>
      </c>
      <c r="AQ66" s="2" t="s">
        <v>20</v>
      </c>
    </row>
    <row r="67" spans="2:43" x14ac:dyDescent="0.2">
      <c r="B67" s="3">
        <v>45866</v>
      </c>
      <c r="C67">
        <v>162.38318319999999</v>
      </c>
      <c r="D67">
        <v>56.290880799999996</v>
      </c>
      <c r="E67">
        <v>303.76191999999998</v>
      </c>
      <c r="F67">
        <v>78.184175999999994</v>
      </c>
      <c r="G67">
        <v>51.820748000000002</v>
      </c>
      <c r="H67">
        <v>142.63002879999999</v>
      </c>
      <c r="I67">
        <v>54.936033600000002</v>
      </c>
      <c r="J67">
        <v>252.21731919999999</v>
      </c>
      <c r="K67">
        <v>19.295785599999999</v>
      </c>
      <c r="L67">
        <v>51.104491199999998</v>
      </c>
      <c r="M67">
        <v>79.763392800000005</v>
      </c>
      <c r="N67">
        <v>12.064180800000001</v>
      </c>
      <c r="O67">
        <v>88.971176</v>
      </c>
      <c r="P67">
        <v>79.849688799999996</v>
      </c>
      <c r="Q67">
        <v>25.655800800000002</v>
      </c>
      <c r="R67">
        <v>37.789018400000003</v>
      </c>
      <c r="S67">
        <v>47.989205599999998</v>
      </c>
      <c r="T67">
        <v>20.607484800000002</v>
      </c>
      <c r="U67">
        <v>68.786541600000007</v>
      </c>
      <c r="V67">
        <v>29.262973599999999</v>
      </c>
      <c r="W67" s="3">
        <v>45854</v>
      </c>
      <c r="X67" s="2" t="s">
        <v>20</v>
      </c>
      <c r="Y67" s="2" t="s">
        <v>20</v>
      </c>
      <c r="Z67" s="2" t="s">
        <v>20</v>
      </c>
      <c r="AA67" s="2" t="s">
        <v>20</v>
      </c>
      <c r="AB67" s="2" t="s">
        <v>20</v>
      </c>
      <c r="AC67" s="2" t="s">
        <v>20</v>
      </c>
      <c r="AD67" s="2" t="s">
        <v>20</v>
      </c>
      <c r="AE67" s="2" t="s">
        <v>20</v>
      </c>
      <c r="AF67">
        <v>321.72956499999998</v>
      </c>
      <c r="AG67" s="2" t="s">
        <v>20</v>
      </c>
      <c r="AH67" s="2" t="s">
        <v>20</v>
      </c>
      <c r="AI67" s="2" t="s">
        <v>20</v>
      </c>
      <c r="AJ67" s="2" t="s">
        <v>20</v>
      </c>
      <c r="AK67" s="2" t="s">
        <v>20</v>
      </c>
      <c r="AL67" s="2" t="s">
        <v>20</v>
      </c>
      <c r="AM67" s="2" t="s">
        <v>20</v>
      </c>
      <c r="AN67" s="2" t="s">
        <v>20</v>
      </c>
      <c r="AO67" s="2" t="s">
        <v>20</v>
      </c>
      <c r="AP67" s="2" t="s">
        <v>20</v>
      </c>
      <c r="AQ67" s="2" t="s">
        <v>20</v>
      </c>
    </row>
    <row r="68" spans="2:43" x14ac:dyDescent="0.2">
      <c r="B68" s="3">
        <v>45867</v>
      </c>
      <c r="C68">
        <v>163.85527060000001</v>
      </c>
      <c r="D68">
        <v>57.886809399999997</v>
      </c>
      <c r="E68">
        <v>289.62460659999999</v>
      </c>
      <c r="F68">
        <v>75.452939799999996</v>
      </c>
      <c r="G68">
        <v>50.784133400000002</v>
      </c>
      <c r="H68">
        <v>145.58753440000001</v>
      </c>
      <c r="I68">
        <v>55.426858199999998</v>
      </c>
      <c r="J68">
        <v>252.48280819999999</v>
      </c>
      <c r="K68">
        <v>19.203210599999998</v>
      </c>
      <c r="L68">
        <v>51.503062800000002</v>
      </c>
      <c r="M68">
        <v>78.519216999999998</v>
      </c>
      <c r="N68">
        <v>12.117858200000001</v>
      </c>
      <c r="O68">
        <v>90.974885400000005</v>
      </c>
      <c r="P68">
        <v>82.209143800000007</v>
      </c>
      <c r="Q68">
        <v>25.725546000000001</v>
      </c>
      <c r="R68">
        <v>37.444961399999997</v>
      </c>
      <c r="S68">
        <v>47.206809999999997</v>
      </c>
      <c r="T68">
        <v>20.2772738</v>
      </c>
      <c r="U68">
        <v>68.852648200000004</v>
      </c>
      <c r="V68">
        <v>28.289438799999999</v>
      </c>
      <c r="W68" s="3">
        <v>45854</v>
      </c>
      <c r="X68" s="2" t="s">
        <v>20</v>
      </c>
      <c r="Y68" s="2" t="s">
        <v>20</v>
      </c>
      <c r="Z68" s="2" t="s">
        <v>20</v>
      </c>
      <c r="AA68" s="2" t="s">
        <v>20</v>
      </c>
      <c r="AB68" s="2" t="s">
        <v>20</v>
      </c>
      <c r="AC68" s="2" t="s">
        <v>20</v>
      </c>
      <c r="AD68" s="2" t="s">
        <v>20</v>
      </c>
      <c r="AE68" s="2" t="s">
        <v>20</v>
      </c>
      <c r="AF68">
        <v>321.72956499999998</v>
      </c>
      <c r="AG68" s="2" t="s">
        <v>20</v>
      </c>
      <c r="AH68" s="2" t="s">
        <v>20</v>
      </c>
      <c r="AI68" s="2" t="s">
        <v>20</v>
      </c>
      <c r="AJ68" s="2" t="s">
        <v>20</v>
      </c>
      <c r="AK68" s="2" t="s">
        <v>20</v>
      </c>
      <c r="AL68" s="2" t="s">
        <v>20</v>
      </c>
      <c r="AM68" s="2" t="s">
        <v>20</v>
      </c>
      <c r="AN68" s="2" t="s">
        <v>20</v>
      </c>
      <c r="AO68" s="2" t="s">
        <v>20</v>
      </c>
      <c r="AP68" s="2" t="s">
        <v>20</v>
      </c>
      <c r="AQ68" s="2" t="s">
        <v>20</v>
      </c>
    </row>
    <row r="69" spans="2:43" x14ac:dyDescent="0.2">
      <c r="B69" s="3">
        <v>45868</v>
      </c>
      <c r="C69">
        <v>168.4856446</v>
      </c>
      <c r="D69">
        <v>58.295647199999998</v>
      </c>
      <c r="E69">
        <v>290.38212349999998</v>
      </c>
      <c r="F69">
        <v>76.850639599999994</v>
      </c>
      <c r="G69">
        <v>53.235991900000002</v>
      </c>
      <c r="H69">
        <v>145.0902194</v>
      </c>
      <c r="I69">
        <v>54.639015899999997</v>
      </c>
      <c r="J69">
        <v>261.54998030000002</v>
      </c>
      <c r="K69">
        <v>19.010975200000001</v>
      </c>
      <c r="L69">
        <v>51.473443000000003</v>
      </c>
      <c r="M69">
        <v>79.130553599999999</v>
      </c>
      <c r="N69">
        <v>12.2939978</v>
      </c>
      <c r="O69">
        <v>92.757424200000003</v>
      </c>
      <c r="P69">
        <v>81.235089599999995</v>
      </c>
      <c r="Q69">
        <v>26.429464599999999</v>
      </c>
      <c r="R69">
        <v>34.321474600000002</v>
      </c>
      <c r="S69">
        <v>47.001303999999998</v>
      </c>
      <c r="T69">
        <v>20.519226</v>
      </c>
      <c r="U69">
        <v>68.450033399999995</v>
      </c>
      <c r="V69">
        <v>28.192013500000002</v>
      </c>
      <c r="W69" s="3">
        <v>45854</v>
      </c>
      <c r="X69" s="2" t="s">
        <v>20</v>
      </c>
      <c r="Y69" s="2" t="s">
        <v>20</v>
      </c>
      <c r="Z69" s="2" t="s">
        <v>20</v>
      </c>
      <c r="AA69" s="2" t="s">
        <v>20</v>
      </c>
      <c r="AB69" s="2" t="s">
        <v>20</v>
      </c>
      <c r="AC69" s="2" t="s">
        <v>20</v>
      </c>
      <c r="AD69" s="2" t="s">
        <v>20</v>
      </c>
      <c r="AE69" s="2" t="s">
        <v>20</v>
      </c>
      <c r="AF69">
        <v>321.72956499999998</v>
      </c>
      <c r="AG69" s="2" t="s">
        <v>20</v>
      </c>
      <c r="AH69" s="2" t="s">
        <v>20</v>
      </c>
      <c r="AI69" s="2" t="s">
        <v>20</v>
      </c>
      <c r="AJ69" s="2" t="s">
        <v>20</v>
      </c>
      <c r="AK69" s="2" t="s">
        <v>20</v>
      </c>
      <c r="AL69" s="2" t="s">
        <v>20</v>
      </c>
      <c r="AM69" s="2" t="s">
        <v>20</v>
      </c>
      <c r="AN69" s="2" t="s">
        <v>20</v>
      </c>
      <c r="AO69" s="2" t="s">
        <v>20</v>
      </c>
      <c r="AP69" s="2" t="s">
        <v>20</v>
      </c>
      <c r="AQ69" s="2" t="s">
        <v>20</v>
      </c>
    </row>
    <row r="70" spans="2:43" x14ac:dyDescent="0.2">
      <c r="B70" s="3">
        <v>45869</v>
      </c>
      <c r="C70">
        <v>157.48571079999999</v>
      </c>
      <c r="D70">
        <v>58.852367200000003</v>
      </c>
      <c r="E70">
        <v>278.46683480000002</v>
      </c>
      <c r="F70">
        <v>76.872510000000005</v>
      </c>
      <c r="G70">
        <v>51.660078800000001</v>
      </c>
      <c r="H70">
        <v>143.4865916</v>
      </c>
      <c r="I70">
        <v>54.402084000000002</v>
      </c>
      <c r="J70">
        <v>252.649936</v>
      </c>
      <c r="K70">
        <v>18.7822976</v>
      </c>
      <c r="L70">
        <v>49.9956028</v>
      </c>
      <c r="M70">
        <v>77.363092399999999</v>
      </c>
      <c r="N70">
        <v>12.282080799999999</v>
      </c>
      <c r="O70">
        <v>91.835273200000003</v>
      </c>
      <c r="P70">
        <v>81.322793200000007</v>
      </c>
      <c r="Q70">
        <v>26.079710800000001</v>
      </c>
      <c r="R70">
        <v>35.2518496</v>
      </c>
      <c r="S70">
        <v>46.6140884</v>
      </c>
      <c r="T70">
        <v>22.391582400000001</v>
      </c>
      <c r="U70">
        <v>66.850612400000003</v>
      </c>
      <c r="V70">
        <v>25.8957424</v>
      </c>
      <c r="W70" s="3">
        <v>45854</v>
      </c>
      <c r="X70" s="2" t="s">
        <v>20</v>
      </c>
      <c r="Y70" s="2" t="s">
        <v>20</v>
      </c>
      <c r="Z70" s="2" t="s">
        <v>20</v>
      </c>
      <c r="AA70" s="2" t="s">
        <v>20</v>
      </c>
      <c r="AB70" s="2" t="s">
        <v>20</v>
      </c>
      <c r="AC70" s="2" t="s">
        <v>20</v>
      </c>
      <c r="AD70" s="2" t="s">
        <v>20</v>
      </c>
      <c r="AE70" s="2" t="s">
        <v>20</v>
      </c>
      <c r="AF70">
        <v>321.72956499999998</v>
      </c>
      <c r="AG70" s="2" t="s">
        <v>20</v>
      </c>
      <c r="AH70" s="2" t="s">
        <v>20</v>
      </c>
      <c r="AI70" s="2" t="s">
        <v>20</v>
      </c>
      <c r="AJ70" s="2" t="s">
        <v>20</v>
      </c>
      <c r="AK70" s="2" t="s">
        <v>20</v>
      </c>
      <c r="AL70" s="2" t="s">
        <v>20</v>
      </c>
      <c r="AM70" s="2" t="s">
        <v>20</v>
      </c>
      <c r="AN70" s="2" t="s">
        <v>20</v>
      </c>
      <c r="AO70" s="2" t="s">
        <v>20</v>
      </c>
      <c r="AP70" s="2" t="s">
        <v>20</v>
      </c>
      <c r="AQ70" s="2" t="s">
        <v>20</v>
      </c>
    </row>
    <row r="71" spans="2:43" x14ac:dyDescent="0.2">
      <c r="B71" s="3">
        <v>45870</v>
      </c>
      <c r="C71">
        <v>159.0642876</v>
      </c>
      <c r="D71">
        <v>58.270049999999998</v>
      </c>
      <c r="E71">
        <v>271.27945499999998</v>
      </c>
      <c r="F71">
        <v>75.025926600000005</v>
      </c>
      <c r="G71">
        <v>48.895046399999998</v>
      </c>
      <c r="H71">
        <v>138.70861679999999</v>
      </c>
      <c r="I71">
        <v>54.031443400000001</v>
      </c>
      <c r="J71">
        <v>245.95140660000001</v>
      </c>
      <c r="K71">
        <v>18.6377834</v>
      </c>
      <c r="L71">
        <v>48.3339274</v>
      </c>
      <c r="M71">
        <v>73.005898200000004</v>
      </c>
      <c r="N71">
        <v>12.1892312</v>
      </c>
      <c r="O71">
        <v>90.426485</v>
      </c>
      <c r="P71">
        <v>79.040085599999998</v>
      </c>
      <c r="Q71">
        <v>25.0949682</v>
      </c>
      <c r="R71">
        <v>34.556297800000003</v>
      </c>
      <c r="S71">
        <v>44.155749</v>
      </c>
      <c r="T71">
        <v>21.14987</v>
      </c>
      <c r="U71">
        <v>64.209278800000007</v>
      </c>
      <c r="V71">
        <v>23.8302923</v>
      </c>
      <c r="W71" s="3">
        <v>45854</v>
      </c>
      <c r="X71" s="2" t="s">
        <v>20</v>
      </c>
      <c r="Y71" s="2" t="s">
        <v>20</v>
      </c>
      <c r="Z71" s="2" t="s">
        <v>20</v>
      </c>
      <c r="AA71" s="2" t="s">
        <v>20</v>
      </c>
      <c r="AB71" s="2" t="s">
        <v>20</v>
      </c>
      <c r="AC71" s="2" t="s">
        <v>20</v>
      </c>
      <c r="AD71" s="2" t="s">
        <v>20</v>
      </c>
      <c r="AE71" s="2" t="s">
        <v>20</v>
      </c>
      <c r="AF71">
        <v>321.72956499999998</v>
      </c>
      <c r="AG71" s="2" t="s">
        <v>20</v>
      </c>
      <c r="AH71" s="2" t="s">
        <v>20</v>
      </c>
      <c r="AI71" s="2" t="s">
        <v>20</v>
      </c>
      <c r="AJ71" s="2" t="s">
        <v>20</v>
      </c>
      <c r="AK71" s="2" t="s">
        <v>20</v>
      </c>
      <c r="AL71" s="2" t="s">
        <v>20</v>
      </c>
      <c r="AM71" s="2" t="s">
        <v>20</v>
      </c>
      <c r="AN71" s="2" t="s">
        <v>20</v>
      </c>
      <c r="AO71" s="2" t="s">
        <v>20</v>
      </c>
      <c r="AP71" s="2" t="s">
        <v>20</v>
      </c>
      <c r="AQ71" s="2" t="s">
        <v>20</v>
      </c>
    </row>
    <row r="72" spans="2:43" x14ac:dyDescent="0.2">
      <c r="B72" s="3">
        <v>45873</v>
      </c>
      <c r="C72">
        <v>156.57658799999999</v>
      </c>
      <c r="D72">
        <v>59.014403999999999</v>
      </c>
      <c r="E72">
        <v>272.85951</v>
      </c>
      <c r="F72">
        <v>76.430048999999997</v>
      </c>
      <c r="G72">
        <v>50.328189000000002</v>
      </c>
      <c r="H72">
        <v>141.693342</v>
      </c>
      <c r="I72">
        <v>56.542506000000003</v>
      </c>
      <c r="J72">
        <v>248.71961099999999</v>
      </c>
      <c r="K72">
        <v>19.170173999999999</v>
      </c>
      <c r="L72">
        <v>47.225352000000001</v>
      </c>
      <c r="M72">
        <v>75.202742999999998</v>
      </c>
      <c r="N72">
        <v>12.999072</v>
      </c>
      <c r="O72">
        <v>92.436885000000004</v>
      </c>
      <c r="P72">
        <v>80.941694999999996</v>
      </c>
      <c r="Q72">
        <v>25.686996000000001</v>
      </c>
      <c r="R72">
        <v>34.935006000000001</v>
      </c>
      <c r="S72">
        <v>45.393036000000002</v>
      </c>
      <c r="T72">
        <v>21.901361999999999</v>
      </c>
      <c r="U72">
        <v>65.254649999999998</v>
      </c>
      <c r="V72">
        <v>23.889251999999999</v>
      </c>
      <c r="W72" s="3">
        <v>45854</v>
      </c>
      <c r="X72" s="2" t="s">
        <v>20</v>
      </c>
      <c r="Y72" s="2" t="s">
        <v>20</v>
      </c>
      <c r="Z72" s="2" t="s">
        <v>20</v>
      </c>
      <c r="AA72" s="2" t="s">
        <v>20</v>
      </c>
      <c r="AB72" s="2" t="s">
        <v>20</v>
      </c>
      <c r="AC72" s="2" t="s">
        <v>20</v>
      </c>
      <c r="AD72" s="2" t="s">
        <v>20</v>
      </c>
      <c r="AE72" s="2" t="s">
        <v>20</v>
      </c>
      <c r="AF72">
        <v>321.72956499999998</v>
      </c>
      <c r="AG72" s="2" t="s">
        <v>20</v>
      </c>
      <c r="AH72" s="2" t="s">
        <v>20</v>
      </c>
      <c r="AI72" s="2" t="s">
        <v>20</v>
      </c>
      <c r="AJ72" s="2" t="s">
        <v>20</v>
      </c>
      <c r="AK72" s="2" t="s">
        <v>20</v>
      </c>
      <c r="AL72" s="2" t="s">
        <v>20</v>
      </c>
      <c r="AM72" s="2" t="s">
        <v>20</v>
      </c>
      <c r="AN72" s="2" t="s">
        <v>20</v>
      </c>
      <c r="AO72" s="2" t="s">
        <v>20</v>
      </c>
      <c r="AP72" s="2" t="s">
        <v>20</v>
      </c>
      <c r="AQ72" s="2" t="s">
        <v>20</v>
      </c>
    </row>
    <row r="73" spans="2:43" x14ac:dyDescent="0.2">
      <c r="B73" s="3">
        <v>45874</v>
      </c>
      <c r="C73">
        <v>154.93427320000001</v>
      </c>
      <c r="D73">
        <v>59.383407300000002</v>
      </c>
      <c r="E73">
        <v>269.01815360000001</v>
      </c>
      <c r="F73">
        <v>77.2338539</v>
      </c>
      <c r="G73">
        <v>49.473212599999997</v>
      </c>
      <c r="H73">
        <v>146.28553310000001</v>
      </c>
      <c r="I73">
        <v>58.096032399999999</v>
      </c>
      <c r="J73">
        <v>242.78681</v>
      </c>
      <c r="K73">
        <v>18.6971764</v>
      </c>
      <c r="L73">
        <v>45.9307716</v>
      </c>
      <c r="M73">
        <v>75.739116600000003</v>
      </c>
      <c r="N73">
        <v>13.1070317</v>
      </c>
      <c r="O73">
        <v>92.068905599999994</v>
      </c>
      <c r="P73">
        <v>80.111007200000003</v>
      </c>
      <c r="Q73">
        <v>25.298212800000002</v>
      </c>
      <c r="R73">
        <v>34.586320299999997</v>
      </c>
      <c r="S73">
        <v>45.680208700000001</v>
      </c>
      <c r="T73">
        <v>21.600249999999999</v>
      </c>
      <c r="U73">
        <v>63.634336500000003</v>
      </c>
      <c r="V73">
        <v>23.734354700000001</v>
      </c>
      <c r="W73" s="3">
        <v>45854</v>
      </c>
      <c r="X73" s="2" t="s">
        <v>20</v>
      </c>
      <c r="Y73" s="2" t="s">
        <v>20</v>
      </c>
      <c r="Z73" s="2" t="s">
        <v>20</v>
      </c>
      <c r="AA73" s="2" t="s">
        <v>20</v>
      </c>
      <c r="AB73" s="2" t="s">
        <v>20</v>
      </c>
      <c r="AC73" s="2" t="s">
        <v>20</v>
      </c>
      <c r="AD73" s="2" t="s">
        <v>20</v>
      </c>
      <c r="AE73" s="2" t="s">
        <v>20</v>
      </c>
      <c r="AF73">
        <v>321.72956499999998</v>
      </c>
      <c r="AG73" s="2" t="s">
        <v>20</v>
      </c>
      <c r="AH73" s="2" t="s">
        <v>20</v>
      </c>
      <c r="AI73" s="2" t="s">
        <v>20</v>
      </c>
      <c r="AJ73" s="2" t="s">
        <v>20</v>
      </c>
      <c r="AK73" s="2" t="s">
        <v>20</v>
      </c>
      <c r="AL73" s="2" t="s">
        <v>20</v>
      </c>
      <c r="AM73" s="2" t="s">
        <v>20</v>
      </c>
      <c r="AN73" s="2" t="s">
        <v>20</v>
      </c>
      <c r="AO73" s="2" t="s">
        <v>20</v>
      </c>
      <c r="AP73" s="2" t="s">
        <v>20</v>
      </c>
      <c r="AQ73" s="2" t="s">
        <v>20</v>
      </c>
    </row>
    <row r="74" spans="2:43" x14ac:dyDescent="0.2">
      <c r="B74" s="3">
        <v>45875</v>
      </c>
      <c r="C74">
        <v>156.1546826</v>
      </c>
      <c r="D74">
        <v>58.753135</v>
      </c>
      <c r="E74">
        <v>269.3380942</v>
      </c>
      <c r="F74">
        <v>76.524886199999997</v>
      </c>
      <c r="G74">
        <v>40.132250900000003</v>
      </c>
      <c r="H74">
        <v>143.69215629999999</v>
      </c>
      <c r="I74">
        <v>58.255663200000001</v>
      </c>
      <c r="J74">
        <v>237.842983</v>
      </c>
      <c r="K74">
        <v>18.389302399999998</v>
      </c>
      <c r="L74">
        <v>44.129179499999999</v>
      </c>
      <c r="M74">
        <v>76.224687700000004</v>
      </c>
      <c r="N74">
        <v>12.9771523</v>
      </c>
      <c r="O74">
        <v>92.186670800000002</v>
      </c>
      <c r="P74">
        <v>77.108129000000005</v>
      </c>
      <c r="Q74">
        <v>25.079440399999999</v>
      </c>
      <c r="R74">
        <v>34.188320599999997</v>
      </c>
      <c r="S74">
        <v>46.419265199999998</v>
      </c>
      <c r="T74">
        <v>21.279785100000002</v>
      </c>
      <c r="U74">
        <v>63.882240799999998</v>
      </c>
      <c r="V74">
        <v>22.909434099999999</v>
      </c>
      <c r="W74" s="3">
        <v>45854</v>
      </c>
      <c r="X74" s="2" t="s">
        <v>20</v>
      </c>
      <c r="Y74" s="2" t="s">
        <v>20</v>
      </c>
      <c r="Z74" s="2" t="s">
        <v>20</v>
      </c>
      <c r="AA74" s="2" t="s">
        <v>20</v>
      </c>
      <c r="AB74" s="2" t="s">
        <v>20</v>
      </c>
      <c r="AC74" s="2" t="s">
        <v>20</v>
      </c>
      <c r="AD74" s="2" t="s">
        <v>20</v>
      </c>
      <c r="AE74" s="2" t="s">
        <v>20</v>
      </c>
      <c r="AF74">
        <v>321.72956499999998</v>
      </c>
      <c r="AG74" s="2" t="s">
        <v>20</v>
      </c>
      <c r="AH74" s="2" t="s">
        <v>20</v>
      </c>
      <c r="AI74" s="2" t="s">
        <v>20</v>
      </c>
      <c r="AJ74" s="2" t="s">
        <v>20</v>
      </c>
      <c r="AK74" s="2" t="s">
        <v>20</v>
      </c>
      <c r="AL74" s="2" t="s">
        <v>20</v>
      </c>
      <c r="AM74" s="2" t="s">
        <v>20</v>
      </c>
      <c r="AN74" s="2" t="s">
        <v>20</v>
      </c>
      <c r="AO74" s="2" t="s">
        <v>20</v>
      </c>
      <c r="AP74" s="2" t="s">
        <v>20</v>
      </c>
      <c r="AQ74" s="2" t="s">
        <v>20</v>
      </c>
    </row>
    <row r="75" spans="2:43" x14ac:dyDescent="0.2">
      <c r="B75" s="3">
        <v>45876</v>
      </c>
      <c r="C75">
        <v>155.66308660000001</v>
      </c>
      <c r="D75">
        <v>58.903021699999996</v>
      </c>
      <c r="E75">
        <v>265.56510059999999</v>
      </c>
      <c r="F75">
        <v>79.443210899999997</v>
      </c>
      <c r="G75">
        <v>40.008790900000001</v>
      </c>
      <c r="H75">
        <v>142.6068645</v>
      </c>
      <c r="I75">
        <v>59.211638899999997</v>
      </c>
      <c r="J75">
        <v>260.22430850000001</v>
      </c>
      <c r="K75">
        <v>18.6541952</v>
      </c>
      <c r="L75">
        <v>44.680912399999997</v>
      </c>
      <c r="M75">
        <v>75.422614600000003</v>
      </c>
      <c r="N75">
        <v>12.901913499999999</v>
      </c>
      <c r="O75">
        <v>92.190815799999996</v>
      </c>
      <c r="P75">
        <v>71.0591103</v>
      </c>
      <c r="Q75">
        <v>24.869402699999998</v>
      </c>
      <c r="R75">
        <v>34.976616</v>
      </c>
      <c r="S75">
        <v>45.975390099999998</v>
      </c>
      <c r="T75">
        <v>20.977396899999999</v>
      </c>
      <c r="U75">
        <v>64.089505200000005</v>
      </c>
      <c r="V75">
        <v>22.811954700000001</v>
      </c>
      <c r="W75" s="3">
        <v>45854</v>
      </c>
      <c r="X75" s="2" t="s">
        <v>20</v>
      </c>
      <c r="Y75" s="2" t="s">
        <v>20</v>
      </c>
      <c r="Z75" s="2" t="s">
        <v>20</v>
      </c>
      <c r="AA75" s="2" t="s">
        <v>20</v>
      </c>
      <c r="AB75" s="2" t="s">
        <v>20</v>
      </c>
      <c r="AC75" s="2" t="s">
        <v>20</v>
      </c>
      <c r="AD75" s="2" t="s">
        <v>20</v>
      </c>
      <c r="AE75" s="2" t="s">
        <v>20</v>
      </c>
      <c r="AF75">
        <v>321.72956499999998</v>
      </c>
      <c r="AG75" s="2" t="s">
        <v>20</v>
      </c>
      <c r="AH75" s="2" t="s">
        <v>20</v>
      </c>
      <c r="AI75" s="2" t="s">
        <v>20</v>
      </c>
      <c r="AJ75" s="2" t="s">
        <v>20</v>
      </c>
      <c r="AK75" s="2" t="s">
        <v>20</v>
      </c>
      <c r="AL75" s="2" t="s">
        <v>20</v>
      </c>
      <c r="AM75" s="2" t="s">
        <v>20</v>
      </c>
      <c r="AN75" s="2" t="s">
        <v>20</v>
      </c>
      <c r="AO75" s="2" t="s">
        <v>20</v>
      </c>
      <c r="AP75" s="2" t="s">
        <v>20</v>
      </c>
      <c r="AQ75" s="2" t="s">
        <v>20</v>
      </c>
    </row>
    <row r="76" spans="2:43" x14ac:dyDescent="0.2">
      <c r="B76" s="3">
        <v>45877</v>
      </c>
      <c r="C76">
        <v>155.296785</v>
      </c>
      <c r="D76">
        <v>58.913972600000001</v>
      </c>
      <c r="E76">
        <v>258.99121919999999</v>
      </c>
      <c r="F76">
        <v>76.948160799999997</v>
      </c>
      <c r="G76">
        <v>38.319428000000002</v>
      </c>
      <c r="H76">
        <v>141.7045574</v>
      </c>
      <c r="I76">
        <v>59.266236399999997</v>
      </c>
      <c r="J76">
        <v>263.85417799999999</v>
      </c>
      <c r="K76">
        <v>18.334901200000001</v>
      </c>
      <c r="L76">
        <v>44.290728999999999</v>
      </c>
      <c r="M76">
        <v>76.716182200000006</v>
      </c>
      <c r="N76">
        <v>12.887700000000001</v>
      </c>
      <c r="O76">
        <v>92.533686000000003</v>
      </c>
      <c r="P76">
        <v>69.516253800000001</v>
      </c>
      <c r="Q76">
        <v>24.374936600000002</v>
      </c>
      <c r="R76">
        <v>35.973866600000001</v>
      </c>
      <c r="S76">
        <v>46.086415199999998</v>
      </c>
      <c r="T76">
        <v>20.62032</v>
      </c>
      <c r="U76">
        <v>60.5979654</v>
      </c>
      <c r="V76">
        <v>22.441781599999999</v>
      </c>
      <c r="W76" s="3">
        <v>45854</v>
      </c>
      <c r="X76" s="2" t="s">
        <v>20</v>
      </c>
      <c r="Y76" s="2" t="s">
        <v>20</v>
      </c>
      <c r="Z76" s="2" t="s">
        <v>20</v>
      </c>
      <c r="AA76" s="2" t="s">
        <v>20</v>
      </c>
      <c r="AB76" s="2" t="s">
        <v>20</v>
      </c>
      <c r="AC76" s="2" t="s">
        <v>20</v>
      </c>
      <c r="AD76" s="2" t="s">
        <v>20</v>
      </c>
      <c r="AE76" s="2" t="s">
        <v>20</v>
      </c>
      <c r="AF76">
        <v>321.72956499999998</v>
      </c>
      <c r="AG76" s="2" t="s">
        <v>20</v>
      </c>
      <c r="AH76" s="2" t="s">
        <v>20</v>
      </c>
      <c r="AI76" s="2" t="s">
        <v>20</v>
      </c>
      <c r="AJ76" s="2" t="s">
        <v>20</v>
      </c>
      <c r="AK76" s="2" t="s">
        <v>20</v>
      </c>
      <c r="AL76" s="2" t="s">
        <v>20</v>
      </c>
      <c r="AM76" s="2" t="s">
        <v>20</v>
      </c>
      <c r="AN76" s="2" t="s">
        <v>20</v>
      </c>
      <c r="AO76" s="2" t="s">
        <v>20</v>
      </c>
      <c r="AP76" s="2" t="s">
        <v>20</v>
      </c>
      <c r="AQ76" s="2" t="s">
        <v>20</v>
      </c>
    </row>
    <row r="77" spans="2:43" x14ac:dyDescent="0.2">
      <c r="B77" s="3">
        <v>45880</v>
      </c>
      <c r="C77">
        <v>154.88207639999999</v>
      </c>
      <c r="D77">
        <v>58.989165300000003</v>
      </c>
      <c r="E77">
        <v>260.77154580000001</v>
      </c>
      <c r="F77">
        <v>77.992097400000006</v>
      </c>
      <c r="G77">
        <v>38.918556000000002</v>
      </c>
      <c r="H77">
        <v>142.24215599999999</v>
      </c>
      <c r="I77">
        <v>59.299136099999998</v>
      </c>
      <c r="J77">
        <v>262.47638519999998</v>
      </c>
      <c r="K77">
        <v>18.271056600000001</v>
      </c>
      <c r="L77">
        <v>44.472199500000002</v>
      </c>
      <c r="M77">
        <v>76.915809899999999</v>
      </c>
      <c r="N77">
        <v>13.0101633</v>
      </c>
      <c r="O77">
        <v>92.250754200000003</v>
      </c>
      <c r="P77">
        <v>71.1469089</v>
      </c>
      <c r="Q77">
        <v>24.634068299999999</v>
      </c>
      <c r="R77">
        <v>35.698303799999998</v>
      </c>
      <c r="S77">
        <v>46.065105000000003</v>
      </c>
      <c r="T77">
        <v>20.432241900000001</v>
      </c>
      <c r="U77">
        <v>60.797328299999997</v>
      </c>
      <c r="V77">
        <v>21.930434099999999</v>
      </c>
      <c r="W77" s="3">
        <v>45854</v>
      </c>
      <c r="X77" s="2" t="s">
        <v>20</v>
      </c>
      <c r="Y77" s="2" t="s">
        <v>20</v>
      </c>
      <c r="Z77" s="2" t="s">
        <v>20</v>
      </c>
      <c r="AA77" s="2" t="s">
        <v>20</v>
      </c>
      <c r="AB77" s="2" t="s">
        <v>20</v>
      </c>
      <c r="AC77" s="2" t="s">
        <v>20</v>
      </c>
      <c r="AD77" s="2" t="s">
        <v>20</v>
      </c>
      <c r="AE77" s="2" t="s">
        <v>20</v>
      </c>
      <c r="AF77">
        <v>321.72956499999998</v>
      </c>
      <c r="AG77" s="2" t="s">
        <v>20</v>
      </c>
      <c r="AH77" s="2" t="s">
        <v>20</v>
      </c>
      <c r="AI77" s="2" t="s">
        <v>20</v>
      </c>
      <c r="AJ77" s="2" t="s">
        <v>20</v>
      </c>
      <c r="AK77" s="2" t="s">
        <v>20</v>
      </c>
      <c r="AL77" s="2" t="s">
        <v>20</v>
      </c>
      <c r="AM77" s="2" t="s">
        <v>20</v>
      </c>
      <c r="AN77" s="2" t="s">
        <v>20</v>
      </c>
      <c r="AO77" s="2" t="s">
        <v>20</v>
      </c>
      <c r="AP77" s="2" t="s">
        <v>20</v>
      </c>
      <c r="AQ77" s="2" t="s">
        <v>20</v>
      </c>
    </row>
    <row r="78" spans="2:43" x14ac:dyDescent="0.2">
      <c r="B78" s="3">
        <v>45881</v>
      </c>
      <c r="C78">
        <v>154.973412</v>
      </c>
      <c r="D78">
        <v>58.691146799999999</v>
      </c>
      <c r="E78">
        <v>268.2093744</v>
      </c>
      <c r="F78">
        <v>78.583256399999996</v>
      </c>
      <c r="G78">
        <v>39.775652399999998</v>
      </c>
      <c r="H78">
        <v>144.96738959999999</v>
      </c>
      <c r="I78">
        <v>59.0509524</v>
      </c>
      <c r="J78">
        <v>265.25382839999997</v>
      </c>
      <c r="K78">
        <v>18.761292000000001</v>
      </c>
      <c r="L78">
        <v>45.378339599999997</v>
      </c>
      <c r="M78">
        <v>84.357279599999998</v>
      </c>
      <c r="N78">
        <v>13.244272799999999</v>
      </c>
      <c r="O78">
        <v>93.215350799999996</v>
      </c>
      <c r="P78">
        <v>71.018771999999998</v>
      </c>
      <c r="Q78">
        <v>25.3919952</v>
      </c>
      <c r="R78">
        <v>36.109062000000002</v>
      </c>
      <c r="S78">
        <v>50.064379199999998</v>
      </c>
      <c r="T78">
        <v>20.7659232</v>
      </c>
      <c r="U78">
        <v>61.655259600000001</v>
      </c>
      <c r="V78">
        <v>21.982408800000002</v>
      </c>
      <c r="W78" s="3">
        <v>45854</v>
      </c>
      <c r="X78" s="2" t="s">
        <v>20</v>
      </c>
      <c r="Y78" s="2" t="s">
        <v>20</v>
      </c>
      <c r="Z78" s="2" t="s">
        <v>20</v>
      </c>
      <c r="AA78" s="2" t="s">
        <v>20</v>
      </c>
      <c r="AB78" s="2" t="s">
        <v>20</v>
      </c>
      <c r="AC78" s="2" t="s">
        <v>20</v>
      </c>
      <c r="AD78" s="2" t="s">
        <v>20</v>
      </c>
      <c r="AE78" s="2" t="s">
        <v>20</v>
      </c>
      <c r="AF78">
        <v>321.72956499999998</v>
      </c>
      <c r="AG78" s="2" t="s">
        <v>20</v>
      </c>
      <c r="AH78" s="2" t="s">
        <v>20</v>
      </c>
      <c r="AI78" s="2" t="s">
        <v>20</v>
      </c>
      <c r="AJ78" s="2" t="s">
        <v>20</v>
      </c>
      <c r="AK78" s="2" t="s">
        <v>20</v>
      </c>
      <c r="AL78" s="2" t="s">
        <v>20</v>
      </c>
      <c r="AM78" s="2" t="s">
        <v>20</v>
      </c>
      <c r="AN78" s="2" t="s">
        <v>20</v>
      </c>
      <c r="AO78" s="2" t="s">
        <v>20</v>
      </c>
      <c r="AP78" s="2" t="s">
        <v>20</v>
      </c>
      <c r="AQ78" s="2" t="s">
        <v>20</v>
      </c>
    </row>
    <row r="79" spans="2:43" x14ac:dyDescent="0.2">
      <c r="B79" s="3">
        <v>45882</v>
      </c>
      <c r="C79">
        <v>151.05968799999999</v>
      </c>
      <c r="D79">
        <v>58.108424100000001</v>
      </c>
      <c r="E79">
        <v>267.78918220000003</v>
      </c>
      <c r="F79">
        <v>77.606060299999996</v>
      </c>
      <c r="G79">
        <v>39.3626687</v>
      </c>
      <c r="H79">
        <v>147.46262189999999</v>
      </c>
      <c r="I79">
        <v>58.578349600000003</v>
      </c>
      <c r="J79">
        <v>263.73927880000002</v>
      </c>
      <c r="K79">
        <v>18.5492411</v>
      </c>
      <c r="L79">
        <v>46.761859299999998</v>
      </c>
      <c r="M79">
        <v>85.261573900000002</v>
      </c>
      <c r="N79">
        <v>13.029752500000001</v>
      </c>
      <c r="O79">
        <v>93.771497499999995</v>
      </c>
      <c r="P79">
        <v>73.838112199999998</v>
      </c>
      <c r="Q79">
        <v>26.179122400000001</v>
      </c>
      <c r="R79">
        <v>36.517483400000003</v>
      </c>
      <c r="S79">
        <v>50.769042200000001</v>
      </c>
      <c r="T79">
        <v>21.155191599999998</v>
      </c>
      <c r="U79">
        <v>64.456690399999999</v>
      </c>
      <c r="V79">
        <v>22.975084899999999</v>
      </c>
      <c r="W79" s="3">
        <v>45854</v>
      </c>
      <c r="X79" s="2" t="s">
        <v>20</v>
      </c>
      <c r="Y79" s="2" t="s">
        <v>20</v>
      </c>
      <c r="Z79" s="2" t="s">
        <v>20</v>
      </c>
      <c r="AA79" s="2" t="s">
        <v>20</v>
      </c>
      <c r="AB79" s="2" t="s">
        <v>20</v>
      </c>
      <c r="AC79" s="2" t="s">
        <v>20</v>
      </c>
      <c r="AD79" s="2" t="s">
        <v>20</v>
      </c>
      <c r="AE79" s="2" t="s">
        <v>20</v>
      </c>
      <c r="AF79">
        <v>321.72956499999998</v>
      </c>
      <c r="AG79" s="2" t="s">
        <v>20</v>
      </c>
      <c r="AH79" s="2" t="s">
        <v>20</v>
      </c>
      <c r="AI79" s="2" t="s">
        <v>20</v>
      </c>
      <c r="AJ79" s="2" t="s">
        <v>20</v>
      </c>
      <c r="AK79" s="2" t="s">
        <v>20</v>
      </c>
      <c r="AL79" s="2" t="s">
        <v>20</v>
      </c>
      <c r="AM79" s="2" t="s">
        <v>20</v>
      </c>
      <c r="AN79" s="2" t="s">
        <v>20</v>
      </c>
      <c r="AO79" s="2" t="s">
        <v>20</v>
      </c>
      <c r="AP79" s="2" t="s">
        <v>20</v>
      </c>
      <c r="AQ79" s="2" t="s">
        <v>20</v>
      </c>
    </row>
    <row r="80" spans="2:43" x14ac:dyDescent="0.2">
      <c r="B80" s="3">
        <v>45883</v>
      </c>
      <c r="C80">
        <v>151.11557339999999</v>
      </c>
      <c r="D80">
        <v>57.985309800000003</v>
      </c>
      <c r="E80">
        <v>268.15951799999999</v>
      </c>
      <c r="F80">
        <v>78.481523999999993</v>
      </c>
      <c r="G80">
        <v>39.060443399999997</v>
      </c>
      <c r="H80">
        <v>147.85266540000001</v>
      </c>
      <c r="I80">
        <v>58.801036799999999</v>
      </c>
      <c r="J80">
        <v>271.1476548</v>
      </c>
      <c r="K80">
        <v>18.083379600000001</v>
      </c>
      <c r="L80">
        <v>47.080327799999999</v>
      </c>
      <c r="M80">
        <v>85.127552399999999</v>
      </c>
      <c r="N80">
        <v>13.1460846</v>
      </c>
      <c r="O80">
        <v>92.451922199999998</v>
      </c>
      <c r="P80">
        <v>73.217938200000006</v>
      </c>
      <c r="Q80">
        <v>25.974464999999999</v>
      </c>
      <c r="R80">
        <v>36.304144800000003</v>
      </c>
      <c r="S80">
        <v>50.6265936</v>
      </c>
      <c r="T80">
        <v>20.9169576</v>
      </c>
      <c r="U80">
        <v>63.772678200000001</v>
      </c>
      <c r="V80">
        <v>22.917635400000002</v>
      </c>
      <c r="W80" s="3">
        <v>45854</v>
      </c>
      <c r="X80" s="2" t="s">
        <v>20</v>
      </c>
      <c r="Y80" s="2" t="s">
        <v>20</v>
      </c>
      <c r="Z80" s="2" t="s">
        <v>20</v>
      </c>
      <c r="AA80" s="2" t="s">
        <v>20</v>
      </c>
      <c r="AB80" s="2" t="s">
        <v>20</v>
      </c>
      <c r="AC80" s="2" t="s">
        <v>20</v>
      </c>
      <c r="AD80" s="2" t="s">
        <v>20</v>
      </c>
      <c r="AE80" s="2" t="s">
        <v>20</v>
      </c>
      <c r="AF80">
        <v>321.72956499999998</v>
      </c>
      <c r="AG80" s="2" t="s">
        <v>20</v>
      </c>
      <c r="AH80" s="2" t="s">
        <v>20</v>
      </c>
      <c r="AI80" s="2" t="s">
        <v>20</v>
      </c>
      <c r="AJ80" s="2" t="s">
        <v>20</v>
      </c>
      <c r="AK80" s="2" t="s">
        <v>20</v>
      </c>
      <c r="AL80" s="2" t="s">
        <v>20</v>
      </c>
      <c r="AM80" s="2" t="s">
        <v>20</v>
      </c>
      <c r="AN80" s="2" t="s">
        <v>20</v>
      </c>
      <c r="AO80" s="2" t="s">
        <v>20</v>
      </c>
      <c r="AP80" s="2" t="s">
        <v>20</v>
      </c>
      <c r="AQ80" s="2" t="s">
        <v>20</v>
      </c>
    </row>
    <row r="81" spans="2:43" x14ac:dyDescent="0.2">
      <c r="B81" s="3">
        <v>45884</v>
      </c>
      <c r="C81">
        <v>146.40504999999999</v>
      </c>
      <c r="D81">
        <v>57.937928399999997</v>
      </c>
      <c r="E81">
        <v>268.40213399999999</v>
      </c>
      <c r="F81">
        <v>79.165592000000004</v>
      </c>
      <c r="G81">
        <v>38.787720399999998</v>
      </c>
      <c r="H81">
        <v>148.14053759999999</v>
      </c>
      <c r="I81">
        <v>59.271603599999999</v>
      </c>
      <c r="J81">
        <v>274.66014840000003</v>
      </c>
      <c r="K81">
        <v>18.124303999999999</v>
      </c>
      <c r="L81">
        <v>46.293917999999998</v>
      </c>
      <c r="M81">
        <v>86.287075599999994</v>
      </c>
      <c r="N81">
        <v>12.8408984</v>
      </c>
      <c r="O81">
        <v>91.707268400000004</v>
      </c>
      <c r="P81">
        <v>73.437628000000004</v>
      </c>
      <c r="Q81">
        <v>25.4424192</v>
      </c>
      <c r="R81">
        <v>36.214411200000001</v>
      </c>
      <c r="S81">
        <v>51.500380800000002</v>
      </c>
      <c r="T81">
        <v>20.774556</v>
      </c>
      <c r="U81">
        <v>63.623146400000003</v>
      </c>
      <c r="V81">
        <v>23.954858399999999</v>
      </c>
      <c r="W81" s="3">
        <v>45854</v>
      </c>
      <c r="X81" s="2" t="s">
        <v>20</v>
      </c>
      <c r="Y81" s="2" t="s">
        <v>20</v>
      </c>
      <c r="Z81" s="2" t="s">
        <v>20</v>
      </c>
      <c r="AA81" s="2" t="s">
        <v>20</v>
      </c>
      <c r="AB81" s="2" t="s">
        <v>20</v>
      </c>
      <c r="AC81" s="2" t="s">
        <v>20</v>
      </c>
      <c r="AD81" s="2" t="s">
        <v>20</v>
      </c>
      <c r="AE81" s="2" t="s">
        <v>20</v>
      </c>
      <c r="AF81">
        <v>321.72956499999998</v>
      </c>
      <c r="AG81" s="2" t="s">
        <v>20</v>
      </c>
      <c r="AH81" s="2" t="s">
        <v>20</v>
      </c>
      <c r="AI81" s="2" t="s">
        <v>20</v>
      </c>
      <c r="AJ81" s="2" t="s">
        <v>20</v>
      </c>
      <c r="AK81" s="2" t="s">
        <v>20</v>
      </c>
      <c r="AL81" s="2" t="s">
        <v>20</v>
      </c>
      <c r="AM81" s="2" t="s">
        <v>20</v>
      </c>
      <c r="AN81" s="2" t="s">
        <v>20</v>
      </c>
      <c r="AO81" s="2" t="s">
        <v>20</v>
      </c>
      <c r="AP81" s="2" t="s">
        <v>20</v>
      </c>
      <c r="AQ81" s="2" t="s">
        <v>20</v>
      </c>
    </row>
    <row r="82" spans="2:43" x14ac:dyDescent="0.2">
      <c r="B82" s="3">
        <v>45887</v>
      </c>
      <c r="C82">
        <v>148.41287149999999</v>
      </c>
      <c r="D82">
        <v>57.641312300000003</v>
      </c>
      <c r="E82">
        <v>280.273484</v>
      </c>
      <c r="F82">
        <v>80.6000674</v>
      </c>
      <c r="G82">
        <v>39.330911800000003</v>
      </c>
      <c r="H82">
        <v>147.9926328</v>
      </c>
      <c r="I82">
        <v>59.176470000000002</v>
      </c>
      <c r="J82">
        <v>277.07452410000002</v>
      </c>
      <c r="K82">
        <v>18.095993</v>
      </c>
      <c r="L82">
        <v>46.569308999999997</v>
      </c>
      <c r="M82">
        <v>87.795583100000002</v>
      </c>
      <c r="N82">
        <v>12.950213</v>
      </c>
      <c r="O82">
        <v>91.500544700000006</v>
      </c>
      <c r="P82">
        <v>72.426853500000007</v>
      </c>
      <c r="Q82">
        <v>25.703171099999999</v>
      </c>
      <c r="R82">
        <v>35.8060525</v>
      </c>
      <c r="S82">
        <v>52.392616699999998</v>
      </c>
      <c r="T82">
        <v>21.080545399999998</v>
      </c>
      <c r="U82">
        <v>64.562386399999994</v>
      </c>
      <c r="V82">
        <v>24.090826700000001</v>
      </c>
      <c r="W82" s="3">
        <v>45854</v>
      </c>
      <c r="X82" s="2" t="s">
        <v>20</v>
      </c>
      <c r="Y82" s="2" t="s">
        <v>20</v>
      </c>
      <c r="Z82" s="2" t="s">
        <v>20</v>
      </c>
      <c r="AA82" s="2" t="s">
        <v>20</v>
      </c>
      <c r="AB82" s="2" t="s">
        <v>20</v>
      </c>
      <c r="AC82" s="2" t="s">
        <v>20</v>
      </c>
      <c r="AD82" s="2" t="s">
        <v>20</v>
      </c>
      <c r="AE82" s="2" t="s">
        <v>20</v>
      </c>
      <c r="AF82">
        <v>321.72956499999998</v>
      </c>
      <c r="AG82" s="2" t="s">
        <v>20</v>
      </c>
      <c r="AH82" s="2" t="s">
        <v>20</v>
      </c>
      <c r="AI82" s="2" t="s">
        <v>20</v>
      </c>
      <c r="AJ82" s="2" t="s">
        <v>20</v>
      </c>
      <c r="AK82" s="2" t="s">
        <v>20</v>
      </c>
      <c r="AL82" s="2" t="s">
        <v>20</v>
      </c>
      <c r="AM82" s="2" t="s">
        <v>20</v>
      </c>
      <c r="AN82" s="2" t="s">
        <v>20</v>
      </c>
      <c r="AO82" s="2" t="s">
        <v>20</v>
      </c>
      <c r="AP82" s="2" t="s">
        <v>20</v>
      </c>
      <c r="AQ82" s="2" t="s">
        <v>20</v>
      </c>
    </row>
    <row r="83" spans="2:43" x14ac:dyDescent="0.2">
      <c r="B83" s="3">
        <v>45888</v>
      </c>
      <c r="C83">
        <v>147.60365400000001</v>
      </c>
      <c r="D83">
        <v>58.354533600000003</v>
      </c>
      <c r="E83">
        <v>283.4179062</v>
      </c>
      <c r="F83">
        <v>81.847471200000001</v>
      </c>
      <c r="G83">
        <v>37.1284584</v>
      </c>
      <c r="H83">
        <v>150.16246079999999</v>
      </c>
      <c r="I83">
        <v>57.856510800000002</v>
      </c>
      <c r="J83">
        <v>281.19397679999997</v>
      </c>
      <c r="K83">
        <v>18.452603400000001</v>
      </c>
      <c r="L83">
        <v>47.312165999999998</v>
      </c>
      <c r="M83">
        <v>87.746465400000005</v>
      </c>
      <c r="N83">
        <v>13.395096000000001</v>
      </c>
      <c r="O83">
        <v>92.821145999999999</v>
      </c>
      <c r="P83">
        <v>72.127440000000007</v>
      </c>
      <c r="Q83">
        <v>25.390576200000002</v>
      </c>
      <c r="R83">
        <v>35.600043599999999</v>
      </c>
      <c r="S83">
        <v>51.948929999999997</v>
      </c>
      <c r="T83">
        <v>20.9770638</v>
      </c>
      <c r="U83">
        <v>65.678903399999996</v>
      </c>
      <c r="V83">
        <v>23.965200599999999</v>
      </c>
      <c r="W83" s="3">
        <v>45854</v>
      </c>
      <c r="X83" s="2" t="s">
        <v>20</v>
      </c>
      <c r="Y83" s="2" t="s">
        <v>20</v>
      </c>
      <c r="Z83" s="2" t="s">
        <v>20</v>
      </c>
      <c r="AA83" s="2" t="s">
        <v>20</v>
      </c>
      <c r="AB83" s="2" t="s">
        <v>20</v>
      </c>
      <c r="AC83" s="2" t="s">
        <v>20</v>
      </c>
      <c r="AD83" s="2" t="s">
        <v>20</v>
      </c>
      <c r="AE83" s="2" t="s">
        <v>20</v>
      </c>
      <c r="AF83">
        <v>321.72956499999998</v>
      </c>
      <c r="AG83" s="2" t="s">
        <v>20</v>
      </c>
      <c r="AH83" s="2" t="s">
        <v>20</v>
      </c>
      <c r="AI83" s="2" t="s">
        <v>20</v>
      </c>
      <c r="AJ83" s="2" t="s">
        <v>20</v>
      </c>
      <c r="AK83" s="2" t="s">
        <v>20</v>
      </c>
      <c r="AL83" s="2" t="s">
        <v>20</v>
      </c>
      <c r="AM83" s="2" t="s">
        <v>20</v>
      </c>
      <c r="AN83" s="2" t="s">
        <v>20</v>
      </c>
      <c r="AO83" s="2" t="s">
        <v>20</v>
      </c>
      <c r="AP83" s="2" t="s">
        <v>20</v>
      </c>
      <c r="AQ83" s="2" t="s">
        <v>20</v>
      </c>
    </row>
    <row r="84" spans="2:43" x14ac:dyDescent="0.2">
      <c r="B84" s="3">
        <v>45889</v>
      </c>
      <c r="C84">
        <v>147.57610199999999</v>
      </c>
      <c r="D84">
        <v>59.377194000000003</v>
      </c>
      <c r="E84">
        <v>282.48369600000001</v>
      </c>
      <c r="F84">
        <v>80.448459</v>
      </c>
      <c r="G84">
        <v>36.572163000000003</v>
      </c>
      <c r="H84">
        <v>149.45577900000001</v>
      </c>
      <c r="I84">
        <v>59.222700000000003</v>
      </c>
      <c r="J84">
        <v>285.81389999999999</v>
      </c>
      <c r="K84">
        <v>18.565028999999999</v>
      </c>
      <c r="L84">
        <v>47.369577</v>
      </c>
      <c r="M84">
        <v>85.692672000000002</v>
      </c>
      <c r="N84">
        <v>13.183488000000001</v>
      </c>
      <c r="O84">
        <v>93.477452999999997</v>
      </c>
      <c r="P84">
        <v>73.324568999999997</v>
      </c>
      <c r="Q84">
        <v>25.113858</v>
      </c>
      <c r="R84">
        <v>35.456372999999999</v>
      </c>
      <c r="S84">
        <v>50.682614999999998</v>
      </c>
      <c r="T84">
        <v>20.470455000000001</v>
      </c>
      <c r="U84">
        <v>65.282297999999997</v>
      </c>
      <c r="V84">
        <v>23.079687</v>
      </c>
      <c r="W84" s="3">
        <v>45854</v>
      </c>
      <c r="X84" s="2" t="s">
        <v>20</v>
      </c>
      <c r="Y84" s="2" t="s">
        <v>20</v>
      </c>
      <c r="Z84" s="2" t="s">
        <v>20</v>
      </c>
      <c r="AA84" s="2" t="s">
        <v>20</v>
      </c>
      <c r="AB84" s="2" t="s">
        <v>20</v>
      </c>
      <c r="AC84" s="2" t="s">
        <v>20</v>
      </c>
      <c r="AD84" s="2" t="s">
        <v>20</v>
      </c>
      <c r="AE84" s="2" t="s">
        <v>20</v>
      </c>
      <c r="AF84">
        <v>321.72956499999998</v>
      </c>
      <c r="AG84" s="2" t="s">
        <v>20</v>
      </c>
      <c r="AH84" s="2" t="s">
        <v>20</v>
      </c>
      <c r="AI84" s="2" t="s">
        <v>20</v>
      </c>
      <c r="AJ84" s="2" t="s">
        <v>20</v>
      </c>
      <c r="AK84" s="2" t="s">
        <v>20</v>
      </c>
      <c r="AL84" s="2" t="s">
        <v>20</v>
      </c>
      <c r="AM84" s="2" t="s">
        <v>20</v>
      </c>
      <c r="AN84" s="2" t="s">
        <v>20</v>
      </c>
      <c r="AO84" s="2" t="s">
        <v>20</v>
      </c>
      <c r="AP84" s="2" t="s">
        <v>20</v>
      </c>
      <c r="AQ84" s="2" t="s">
        <v>20</v>
      </c>
    </row>
    <row r="85" spans="2:43" x14ac:dyDescent="0.2">
      <c r="B85" s="3">
        <v>45890</v>
      </c>
      <c r="C85">
        <v>149.289525</v>
      </c>
      <c r="D85">
        <v>59.560704000000001</v>
      </c>
      <c r="E85">
        <v>280.078351</v>
      </c>
      <c r="F85">
        <v>81.197991000000002</v>
      </c>
      <c r="G85">
        <v>36.458526999999997</v>
      </c>
      <c r="H85">
        <v>149.44463099999999</v>
      </c>
      <c r="I85">
        <v>60.396552999999997</v>
      </c>
      <c r="J85">
        <v>282.50834500000002</v>
      </c>
      <c r="K85">
        <v>18.474848000000001</v>
      </c>
      <c r="L85">
        <v>47.100521999999998</v>
      </c>
      <c r="M85">
        <v>83.744314500000002</v>
      </c>
      <c r="N85">
        <v>12.641139000000001</v>
      </c>
      <c r="O85">
        <v>93.468598999999998</v>
      </c>
      <c r="P85">
        <v>74.416411999999994</v>
      </c>
      <c r="Q85">
        <v>25.221958999999998</v>
      </c>
      <c r="R85">
        <v>35.950124000000002</v>
      </c>
      <c r="S85">
        <v>49.840727999999999</v>
      </c>
      <c r="T85">
        <v>20.129311999999999</v>
      </c>
      <c r="U85">
        <v>65.764944</v>
      </c>
      <c r="V85">
        <v>22.593774</v>
      </c>
      <c r="W85" s="3">
        <v>45854</v>
      </c>
      <c r="X85" s="2" t="s">
        <v>20</v>
      </c>
      <c r="Y85" s="2" t="s">
        <v>20</v>
      </c>
      <c r="Z85" s="2" t="s">
        <v>20</v>
      </c>
      <c r="AA85" s="2" t="s">
        <v>20</v>
      </c>
      <c r="AB85" s="2" t="s">
        <v>20</v>
      </c>
      <c r="AC85" s="2" t="s">
        <v>20</v>
      </c>
      <c r="AD85" s="2" t="s">
        <v>20</v>
      </c>
      <c r="AE85" s="2" t="s">
        <v>20</v>
      </c>
      <c r="AF85">
        <v>321.72956499999998</v>
      </c>
      <c r="AG85" s="2" t="s">
        <v>20</v>
      </c>
      <c r="AH85" s="2" t="s">
        <v>20</v>
      </c>
      <c r="AI85" s="2" t="s">
        <v>20</v>
      </c>
      <c r="AJ85" s="2" t="s">
        <v>20</v>
      </c>
      <c r="AK85" s="2" t="s">
        <v>20</v>
      </c>
      <c r="AL85" s="2" t="s">
        <v>20</v>
      </c>
      <c r="AM85" s="2" t="s">
        <v>20</v>
      </c>
      <c r="AN85" s="2" t="s">
        <v>20</v>
      </c>
      <c r="AO85" s="2" t="s">
        <v>20</v>
      </c>
      <c r="AP85" s="2" t="s">
        <v>20</v>
      </c>
      <c r="AQ85" s="2" t="s">
        <v>20</v>
      </c>
    </row>
    <row r="86" spans="2:43" x14ac:dyDescent="0.2">
      <c r="B86" s="3">
        <v>45891</v>
      </c>
      <c r="C86">
        <v>145.96731</v>
      </c>
      <c r="D86">
        <v>57.866221899999999</v>
      </c>
      <c r="E86">
        <v>294.21375870000003</v>
      </c>
      <c r="F86">
        <v>82.620911899999996</v>
      </c>
      <c r="G86">
        <v>37.456406800000003</v>
      </c>
      <c r="H86">
        <v>150.71338159999999</v>
      </c>
      <c r="I86">
        <v>60.409979700000001</v>
      </c>
      <c r="J86">
        <v>282.34857970000002</v>
      </c>
      <c r="K86">
        <v>18.4465121</v>
      </c>
      <c r="L86">
        <v>48.647233900000003</v>
      </c>
      <c r="M86">
        <v>87.904757799999999</v>
      </c>
      <c r="N86">
        <v>12.966335900000001</v>
      </c>
      <c r="O86">
        <v>93.1715315</v>
      </c>
      <c r="P86">
        <v>73.845801100000003</v>
      </c>
      <c r="Q86">
        <v>26.717993</v>
      </c>
      <c r="R86">
        <v>36.944240800000003</v>
      </c>
      <c r="S86">
        <v>52.659200900000002</v>
      </c>
      <c r="T86">
        <v>21.382930500000001</v>
      </c>
      <c r="U86">
        <v>66.274280399999995</v>
      </c>
      <c r="V86">
        <v>23.149903200000001</v>
      </c>
      <c r="W86" s="3">
        <v>45854</v>
      </c>
      <c r="X86" s="2" t="s">
        <v>20</v>
      </c>
      <c r="Y86" s="2" t="s">
        <v>20</v>
      </c>
      <c r="Z86" s="2" t="s">
        <v>20</v>
      </c>
      <c r="AA86" s="2" t="s">
        <v>20</v>
      </c>
      <c r="AB86" s="2" t="s">
        <v>20</v>
      </c>
      <c r="AC86" s="2" t="s">
        <v>20</v>
      </c>
      <c r="AD86" s="2" t="s">
        <v>20</v>
      </c>
      <c r="AE86" s="2" t="s">
        <v>20</v>
      </c>
      <c r="AF86">
        <v>321.72956499999998</v>
      </c>
      <c r="AG86" s="2" t="s">
        <v>20</v>
      </c>
      <c r="AH86" s="2" t="s">
        <v>20</v>
      </c>
      <c r="AI86" s="2" t="s">
        <v>20</v>
      </c>
      <c r="AJ86" s="2" t="s">
        <v>20</v>
      </c>
      <c r="AK86" s="2" t="s">
        <v>20</v>
      </c>
      <c r="AL86" s="2" t="s">
        <v>20</v>
      </c>
      <c r="AM86" s="2" t="s">
        <v>20</v>
      </c>
      <c r="AN86" s="2" t="s">
        <v>20</v>
      </c>
      <c r="AO86" s="2" t="s">
        <v>20</v>
      </c>
      <c r="AP86" s="2" t="s">
        <v>20</v>
      </c>
      <c r="AQ86" s="2" t="s">
        <v>20</v>
      </c>
    </row>
    <row r="87" spans="2:43" x14ac:dyDescent="0.2">
      <c r="B87" s="3">
        <v>45894</v>
      </c>
      <c r="C87">
        <v>147.39140520000001</v>
      </c>
      <c r="D87">
        <v>58.288635599999999</v>
      </c>
      <c r="E87">
        <v>296.9260281</v>
      </c>
      <c r="F87">
        <v>81.907066799999996</v>
      </c>
      <c r="G87">
        <v>37.932371099999997</v>
      </c>
      <c r="H87">
        <v>151.8413793</v>
      </c>
      <c r="I87">
        <v>61.197902999999997</v>
      </c>
      <c r="J87">
        <v>283.18016999999998</v>
      </c>
      <c r="K87">
        <v>18.238868700000001</v>
      </c>
      <c r="L87">
        <v>48.183665400000002</v>
      </c>
      <c r="M87">
        <v>88.087108200000003</v>
      </c>
      <c r="N87">
        <v>12.8334843</v>
      </c>
      <c r="O87">
        <v>92.227219500000004</v>
      </c>
      <c r="P87">
        <v>74.169104099999998</v>
      </c>
      <c r="Q87">
        <v>26.897812500000001</v>
      </c>
      <c r="R87">
        <v>37.605293699999997</v>
      </c>
      <c r="S87">
        <v>51.996699300000003</v>
      </c>
      <c r="T87">
        <v>21.208387200000001</v>
      </c>
      <c r="U87">
        <v>65.8630596</v>
      </c>
      <c r="V87">
        <v>21.819505500000002</v>
      </c>
      <c r="W87" s="3">
        <v>45854</v>
      </c>
      <c r="X87" s="2" t="s">
        <v>20</v>
      </c>
      <c r="Y87" s="2" t="s">
        <v>20</v>
      </c>
      <c r="Z87" s="2" t="s">
        <v>20</v>
      </c>
      <c r="AA87" s="2" t="s">
        <v>20</v>
      </c>
      <c r="AB87" s="2" t="s">
        <v>20</v>
      </c>
      <c r="AC87" s="2" t="s">
        <v>20</v>
      </c>
      <c r="AD87" s="2" t="s">
        <v>20</v>
      </c>
      <c r="AE87" s="2" t="s">
        <v>20</v>
      </c>
      <c r="AF87">
        <v>321.72956499999998</v>
      </c>
      <c r="AG87" s="2" t="s">
        <v>20</v>
      </c>
      <c r="AH87" s="2" t="s">
        <v>20</v>
      </c>
      <c r="AI87" s="2" t="s">
        <v>20</v>
      </c>
      <c r="AJ87" s="2" t="s">
        <v>20</v>
      </c>
      <c r="AK87" s="2" t="s">
        <v>20</v>
      </c>
      <c r="AL87" s="2" t="s">
        <v>20</v>
      </c>
      <c r="AM87" s="2" t="s">
        <v>20</v>
      </c>
      <c r="AN87" s="2" t="s">
        <v>20</v>
      </c>
      <c r="AO87" s="2" t="s">
        <v>20</v>
      </c>
      <c r="AP87" s="2" t="s">
        <v>20</v>
      </c>
      <c r="AQ87" s="2" t="s">
        <v>20</v>
      </c>
    </row>
    <row r="88" spans="2:43" x14ac:dyDescent="0.2">
      <c r="B88" s="3">
        <v>45895</v>
      </c>
      <c r="C88">
        <v>151.1082432</v>
      </c>
      <c r="D88">
        <v>58.065696000000003</v>
      </c>
      <c r="E88">
        <v>303.84851040000001</v>
      </c>
      <c r="F88">
        <v>82.915408799999994</v>
      </c>
      <c r="G88">
        <v>38.1034656</v>
      </c>
      <c r="H88">
        <v>151.8898968</v>
      </c>
      <c r="I88">
        <v>62.214472800000003</v>
      </c>
      <c r="J88">
        <v>285.02869679999998</v>
      </c>
      <c r="K88">
        <v>17.857778400000001</v>
      </c>
      <c r="L88">
        <v>48.453933599999999</v>
      </c>
      <c r="M88">
        <v>89.443504799999999</v>
      </c>
      <c r="N88">
        <v>12.927348</v>
      </c>
      <c r="O88">
        <v>92.003205600000001</v>
      </c>
      <c r="P88">
        <v>74.411704799999995</v>
      </c>
      <c r="Q88">
        <v>27.375055199999998</v>
      </c>
      <c r="R88">
        <v>38.094875999999999</v>
      </c>
      <c r="S88">
        <v>52.525404000000002</v>
      </c>
      <c r="T88">
        <v>21.267849600000002</v>
      </c>
      <c r="U88">
        <v>66.0883824</v>
      </c>
      <c r="V88">
        <v>21.2420808</v>
      </c>
      <c r="W88" s="3">
        <v>45854</v>
      </c>
      <c r="X88" s="2" t="s">
        <v>20</v>
      </c>
      <c r="Y88" s="2" t="s">
        <v>20</v>
      </c>
      <c r="Z88" s="2" t="s">
        <v>20</v>
      </c>
      <c r="AA88" s="2" t="s">
        <v>20</v>
      </c>
      <c r="AB88" s="2" t="s">
        <v>20</v>
      </c>
      <c r="AC88" s="2" t="s">
        <v>20</v>
      </c>
      <c r="AD88" s="2" t="s">
        <v>20</v>
      </c>
      <c r="AE88" s="2" t="s">
        <v>20</v>
      </c>
      <c r="AF88">
        <v>321.72956499999998</v>
      </c>
      <c r="AG88" s="2" t="s">
        <v>20</v>
      </c>
      <c r="AH88" s="2" t="s">
        <v>20</v>
      </c>
      <c r="AI88" s="2" t="s">
        <v>20</v>
      </c>
      <c r="AJ88" s="2" t="s">
        <v>20</v>
      </c>
      <c r="AK88" s="2" t="s">
        <v>20</v>
      </c>
      <c r="AL88" s="2" t="s">
        <v>20</v>
      </c>
      <c r="AM88" s="2" t="s">
        <v>20</v>
      </c>
      <c r="AN88" s="2" t="s">
        <v>20</v>
      </c>
      <c r="AO88" s="2" t="s">
        <v>20</v>
      </c>
      <c r="AP88" s="2" t="s">
        <v>20</v>
      </c>
      <c r="AQ88" s="2" t="s">
        <v>20</v>
      </c>
    </row>
    <row r="89" spans="2:43" x14ac:dyDescent="0.2">
      <c r="B89" s="3">
        <v>45896</v>
      </c>
      <c r="C89">
        <v>150.9413145</v>
      </c>
      <c r="D89">
        <v>58.322727100000002</v>
      </c>
      <c r="E89">
        <v>308.55962310000001</v>
      </c>
      <c r="F89">
        <v>81.919928900000002</v>
      </c>
      <c r="G89">
        <v>38.463610799999998</v>
      </c>
      <c r="H89">
        <v>153.10682610000001</v>
      </c>
      <c r="I89">
        <v>62.206898700000004</v>
      </c>
      <c r="J89">
        <v>287.31698549999999</v>
      </c>
      <c r="K89">
        <v>17.831097499999998</v>
      </c>
      <c r="L89">
        <v>48.6896378</v>
      </c>
      <c r="M89">
        <v>89.550779300000002</v>
      </c>
      <c r="N89">
        <v>12.958696399999999</v>
      </c>
      <c r="O89">
        <v>92.266262100000006</v>
      </c>
      <c r="P89">
        <v>74.203145500000005</v>
      </c>
      <c r="Q89">
        <v>27.790732200000001</v>
      </c>
      <c r="R89">
        <v>37.698807100000003</v>
      </c>
      <c r="S89">
        <v>52.642555799999997</v>
      </c>
      <c r="T89">
        <v>21.380130399999999</v>
      </c>
      <c r="U89">
        <v>67.259759099999997</v>
      </c>
      <c r="V89">
        <v>21.569182999999999</v>
      </c>
      <c r="W89" s="3">
        <v>45854</v>
      </c>
      <c r="X89" s="2" t="s">
        <v>20</v>
      </c>
      <c r="Y89" s="2" t="s">
        <v>20</v>
      </c>
      <c r="Z89" s="2" t="s">
        <v>20</v>
      </c>
      <c r="AA89" s="2" t="s">
        <v>20</v>
      </c>
      <c r="AB89" s="2" t="s">
        <v>20</v>
      </c>
      <c r="AC89" s="2" t="s">
        <v>20</v>
      </c>
      <c r="AD89" s="2" t="s">
        <v>20</v>
      </c>
      <c r="AE89" s="2" t="s">
        <v>20</v>
      </c>
      <c r="AF89">
        <v>321.72956499999998</v>
      </c>
      <c r="AG89" s="2" t="s">
        <v>20</v>
      </c>
      <c r="AH89" s="2" t="s">
        <v>20</v>
      </c>
      <c r="AI89" s="2" t="s">
        <v>20</v>
      </c>
      <c r="AJ89" s="2" t="s">
        <v>20</v>
      </c>
      <c r="AK89" s="2" t="s">
        <v>20</v>
      </c>
      <c r="AL89" s="2" t="s">
        <v>20</v>
      </c>
      <c r="AM89" s="2" t="s">
        <v>20</v>
      </c>
      <c r="AN89" s="2" t="s">
        <v>20</v>
      </c>
      <c r="AO89" s="2" t="s">
        <v>20</v>
      </c>
      <c r="AP89" s="2" t="s">
        <v>20</v>
      </c>
      <c r="AQ89" s="2" t="s">
        <v>20</v>
      </c>
    </row>
    <row r="90" spans="2:43" x14ac:dyDescent="0.2">
      <c r="B90" s="3">
        <v>45897</v>
      </c>
      <c r="C90">
        <v>150.79648320000001</v>
      </c>
      <c r="D90">
        <v>57.815590800000003</v>
      </c>
      <c r="E90">
        <v>313.16635680000002</v>
      </c>
      <c r="F90">
        <v>82.143679199999994</v>
      </c>
      <c r="G90">
        <v>37.639199400000003</v>
      </c>
      <c r="H90">
        <v>153.5357472</v>
      </c>
      <c r="I90">
        <v>62.4637794</v>
      </c>
      <c r="J90">
        <v>288.99235199999998</v>
      </c>
      <c r="K90">
        <v>17.5826508</v>
      </c>
      <c r="L90">
        <v>48.151125</v>
      </c>
      <c r="M90">
        <v>89.950581600000007</v>
      </c>
      <c r="N90">
        <v>12.831739799999999</v>
      </c>
      <c r="O90">
        <v>91.166129999999995</v>
      </c>
      <c r="P90">
        <v>74.739106199999995</v>
      </c>
      <c r="Q90">
        <v>27.812089799999999</v>
      </c>
      <c r="R90">
        <v>37.981607400000001</v>
      </c>
      <c r="S90">
        <v>53.047559399999997</v>
      </c>
      <c r="T90">
        <v>21.734347799999998</v>
      </c>
      <c r="U90">
        <v>67.103407799999999</v>
      </c>
      <c r="V90">
        <v>20.946809399999999</v>
      </c>
      <c r="W90" s="3">
        <v>45854</v>
      </c>
      <c r="X90" s="2" t="s">
        <v>20</v>
      </c>
      <c r="Y90" s="2" t="s">
        <v>20</v>
      </c>
      <c r="Z90" s="2" t="s">
        <v>20</v>
      </c>
      <c r="AA90" s="2" t="s">
        <v>20</v>
      </c>
      <c r="AB90" s="2" t="s">
        <v>20</v>
      </c>
      <c r="AC90" s="2" t="s">
        <v>20</v>
      </c>
      <c r="AD90" s="2" t="s">
        <v>20</v>
      </c>
      <c r="AE90" s="2" t="s">
        <v>20</v>
      </c>
      <c r="AF90">
        <v>321.72956499999998</v>
      </c>
      <c r="AG90" s="2" t="s">
        <v>20</v>
      </c>
      <c r="AH90" s="2" t="s">
        <v>20</v>
      </c>
      <c r="AI90" s="2" t="s">
        <v>20</v>
      </c>
      <c r="AJ90" s="2" t="s">
        <v>20</v>
      </c>
      <c r="AK90" s="2" t="s">
        <v>20</v>
      </c>
      <c r="AL90" s="2" t="s">
        <v>20</v>
      </c>
      <c r="AM90" s="2" t="s">
        <v>20</v>
      </c>
      <c r="AN90" s="2" t="s">
        <v>20</v>
      </c>
      <c r="AO90" s="2" t="s">
        <v>20</v>
      </c>
      <c r="AP90" s="2" t="s">
        <v>20</v>
      </c>
      <c r="AQ90" s="2" t="s">
        <v>20</v>
      </c>
    </row>
    <row r="91" spans="2:43" x14ac:dyDescent="0.2">
      <c r="B91" s="3">
        <v>45898</v>
      </c>
      <c r="C91">
        <v>149.006967</v>
      </c>
      <c r="D91">
        <v>58.267629599999999</v>
      </c>
      <c r="E91">
        <v>310.86910139999998</v>
      </c>
      <c r="F91">
        <v>80.237812500000004</v>
      </c>
      <c r="G91">
        <v>35.552839800000001</v>
      </c>
      <c r="H91">
        <v>154.62147419999999</v>
      </c>
      <c r="I91">
        <v>63.676727999999997</v>
      </c>
      <c r="J91">
        <v>290.89309559999998</v>
      </c>
      <c r="K91">
        <v>17.7250677</v>
      </c>
      <c r="L91">
        <v>49.238201099999998</v>
      </c>
      <c r="M91">
        <v>89.866349999999997</v>
      </c>
      <c r="N91">
        <v>13.0776936</v>
      </c>
      <c r="O91">
        <v>90.884835300000006</v>
      </c>
      <c r="P91">
        <v>74.144018099999997</v>
      </c>
      <c r="Q91">
        <v>27.293694299999999</v>
      </c>
      <c r="R91">
        <v>38.000627999999999</v>
      </c>
      <c r="S91">
        <v>52.875648599999998</v>
      </c>
      <c r="T91">
        <v>21.2598108</v>
      </c>
      <c r="U91">
        <v>67.724993100000006</v>
      </c>
      <c r="V91">
        <v>20.6179083</v>
      </c>
      <c r="W91" s="3">
        <v>45854</v>
      </c>
      <c r="X91" s="2" t="s">
        <v>20</v>
      </c>
      <c r="Y91" s="2" t="s">
        <v>20</v>
      </c>
      <c r="Z91" s="2" t="s">
        <v>20</v>
      </c>
      <c r="AA91" s="2" t="s">
        <v>20</v>
      </c>
      <c r="AB91" s="2" t="s">
        <v>20</v>
      </c>
      <c r="AC91" s="2" t="s">
        <v>20</v>
      </c>
      <c r="AD91" s="2" t="s">
        <v>20</v>
      </c>
      <c r="AE91" s="2" t="s">
        <v>20</v>
      </c>
      <c r="AF91">
        <v>321.72956499999998</v>
      </c>
      <c r="AG91" s="2" t="s">
        <v>20</v>
      </c>
      <c r="AH91" s="2" t="s">
        <v>20</v>
      </c>
      <c r="AI91" s="2" t="s">
        <v>20</v>
      </c>
      <c r="AJ91" s="2" t="s">
        <v>20</v>
      </c>
      <c r="AK91" s="2" t="s">
        <v>20</v>
      </c>
      <c r="AL91" s="2" t="s">
        <v>20</v>
      </c>
      <c r="AM91" s="2" t="s">
        <v>20</v>
      </c>
      <c r="AN91" s="2" t="s">
        <v>20</v>
      </c>
      <c r="AO91" s="2" t="s">
        <v>20</v>
      </c>
      <c r="AP91" s="2" t="s">
        <v>20</v>
      </c>
      <c r="AQ91" s="2" t="s">
        <v>20</v>
      </c>
    </row>
    <row r="92" spans="2:43" x14ac:dyDescent="0.2">
      <c r="B92" s="3">
        <v>45902</v>
      </c>
      <c r="C92">
        <v>148.83928499999999</v>
      </c>
      <c r="D92">
        <v>58.360259999999997</v>
      </c>
      <c r="E92">
        <v>304.24324000000001</v>
      </c>
      <c r="F92">
        <v>79.746992500000005</v>
      </c>
      <c r="G92">
        <v>35.040215000000003</v>
      </c>
      <c r="H92">
        <v>153.69404750000001</v>
      </c>
      <c r="I92">
        <v>65.182704999999999</v>
      </c>
      <c r="J92">
        <v>296.37250999999998</v>
      </c>
      <c r="K92">
        <v>17.855215000000001</v>
      </c>
      <c r="L92">
        <v>48.590587499999998</v>
      </c>
      <c r="M92">
        <v>89.946290000000005</v>
      </c>
      <c r="N92">
        <v>13.16371</v>
      </c>
      <c r="O92">
        <v>90.461839999999995</v>
      </c>
      <c r="P92">
        <v>75.124227500000003</v>
      </c>
      <c r="Q92">
        <v>26.774229999999999</v>
      </c>
      <c r="R92">
        <v>38.614694999999998</v>
      </c>
      <c r="S92">
        <v>52.525952500000002</v>
      </c>
      <c r="T92">
        <v>21.240659999999998</v>
      </c>
      <c r="U92">
        <v>66.145065000000002</v>
      </c>
      <c r="V92">
        <v>20.7852575</v>
      </c>
      <c r="W92" s="3">
        <v>45854</v>
      </c>
      <c r="X92" s="2" t="s">
        <v>20</v>
      </c>
      <c r="Y92" s="2" t="s">
        <v>20</v>
      </c>
      <c r="Z92" s="2" t="s">
        <v>20</v>
      </c>
      <c r="AA92" s="2" t="s">
        <v>20</v>
      </c>
      <c r="AB92" s="2" t="s">
        <v>20</v>
      </c>
      <c r="AC92" s="2" t="s">
        <v>20</v>
      </c>
      <c r="AD92" s="2" t="s">
        <v>20</v>
      </c>
      <c r="AE92" s="2" t="s">
        <v>20</v>
      </c>
      <c r="AF92">
        <v>321.72956499999998</v>
      </c>
      <c r="AG92" s="2" t="s">
        <v>20</v>
      </c>
      <c r="AH92" s="2" t="s">
        <v>20</v>
      </c>
      <c r="AI92" s="2" t="s">
        <v>20</v>
      </c>
      <c r="AJ92" s="2" t="s">
        <v>20</v>
      </c>
      <c r="AK92" s="2" t="s">
        <v>20</v>
      </c>
      <c r="AL92" s="2" t="s">
        <v>20</v>
      </c>
      <c r="AM92" s="2" t="s">
        <v>20</v>
      </c>
      <c r="AN92" s="2" t="s">
        <v>20</v>
      </c>
      <c r="AO92" s="2" t="s">
        <v>20</v>
      </c>
      <c r="AP92" s="2" t="s">
        <v>20</v>
      </c>
      <c r="AQ92" s="2" t="s">
        <v>20</v>
      </c>
    </row>
    <row r="93" spans="2:43" x14ac:dyDescent="0.2">
      <c r="B93" s="3">
        <v>45903</v>
      </c>
      <c r="C93">
        <v>149.63564439999999</v>
      </c>
      <c r="D93">
        <v>57.842421999999999</v>
      </c>
      <c r="E93">
        <v>304.43380000000002</v>
      </c>
      <c r="F93">
        <v>79.701626399999995</v>
      </c>
      <c r="G93">
        <v>34.388156000000002</v>
      </c>
      <c r="H93">
        <v>154.24074160000001</v>
      </c>
      <c r="I93">
        <v>64.677175199999994</v>
      </c>
      <c r="J93">
        <v>294.59758679999999</v>
      </c>
      <c r="K93">
        <v>17.537102000000001</v>
      </c>
      <c r="L93">
        <v>48.495018000000002</v>
      </c>
      <c r="M93">
        <v>91.038569600000002</v>
      </c>
      <c r="N93">
        <v>13.163546</v>
      </c>
      <c r="O93">
        <v>90.103829200000007</v>
      </c>
      <c r="P93">
        <v>72.695361199999994</v>
      </c>
      <c r="Q93">
        <v>26.867354800000001</v>
      </c>
      <c r="R93">
        <v>39.627847600000003</v>
      </c>
      <c r="S93">
        <v>52.542701200000003</v>
      </c>
      <c r="T93">
        <v>21.730570400000001</v>
      </c>
      <c r="U93">
        <v>66.512353599999997</v>
      </c>
      <c r="V93">
        <v>20.624317999999999</v>
      </c>
      <c r="W93" s="3">
        <v>45854</v>
      </c>
      <c r="X93" s="2" t="s">
        <v>20</v>
      </c>
      <c r="Y93" s="2" t="s">
        <v>20</v>
      </c>
      <c r="Z93" s="2" t="s">
        <v>20</v>
      </c>
      <c r="AA93" s="2" t="s">
        <v>20</v>
      </c>
      <c r="AB93" s="2" t="s">
        <v>20</v>
      </c>
      <c r="AC93" s="2" t="s">
        <v>20</v>
      </c>
      <c r="AD93" s="2" t="s">
        <v>20</v>
      </c>
      <c r="AE93" s="2" t="s">
        <v>20</v>
      </c>
      <c r="AF93">
        <v>321.72956499999998</v>
      </c>
      <c r="AG93" s="2" t="s">
        <v>20</v>
      </c>
      <c r="AH93" s="2" t="s">
        <v>20</v>
      </c>
      <c r="AI93" s="2" t="s">
        <v>20</v>
      </c>
      <c r="AJ93" s="2" t="s">
        <v>20</v>
      </c>
      <c r="AK93" s="2" t="s">
        <v>20</v>
      </c>
      <c r="AL93" s="2" t="s">
        <v>20</v>
      </c>
      <c r="AM93" s="2" t="s">
        <v>20</v>
      </c>
      <c r="AN93" s="2" t="s">
        <v>20</v>
      </c>
      <c r="AO93" s="2" t="s">
        <v>20</v>
      </c>
      <c r="AP93" s="2" t="s">
        <v>20</v>
      </c>
      <c r="AQ93" s="2" t="s">
        <v>20</v>
      </c>
    </row>
    <row r="94" spans="2:43" x14ac:dyDescent="0.2">
      <c r="B94" s="3">
        <v>45904</v>
      </c>
      <c r="C94">
        <v>154.11573319999999</v>
      </c>
      <c r="D94">
        <v>58.133556800000001</v>
      </c>
      <c r="E94">
        <v>309.08990640000002</v>
      </c>
      <c r="F94">
        <v>78.959311200000002</v>
      </c>
      <c r="G94">
        <v>34.938507999999999</v>
      </c>
      <c r="H94">
        <v>155.82402880000001</v>
      </c>
      <c r="I94">
        <v>64.279987199999994</v>
      </c>
      <c r="J94">
        <v>297.42370679999999</v>
      </c>
      <c r="K94">
        <v>17.632357599999999</v>
      </c>
      <c r="L94">
        <v>47.8751988</v>
      </c>
      <c r="M94">
        <v>91.037561999999994</v>
      </c>
      <c r="N94">
        <v>13.0740412</v>
      </c>
      <c r="O94">
        <v>91.509703999999999</v>
      </c>
      <c r="P94">
        <v>72.263479200000006</v>
      </c>
      <c r="Q94">
        <v>27.264054399999999</v>
      </c>
      <c r="R94">
        <v>39.548330800000002</v>
      </c>
      <c r="S94">
        <v>51.978541999999997</v>
      </c>
      <c r="T94">
        <v>21.967479600000001</v>
      </c>
      <c r="U94">
        <v>66.262983599999998</v>
      </c>
      <c r="V94">
        <v>20.842923200000001</v>
      </c>
      <c r="W94" s="3">
        <v>45854</v>
      </c>
      <c r="X94" s="2" t="s">
        <v>20</v>
      </c>
      <c r="Y94" s="2" t="s">
        <v>20</v>
      </c>
      <c r="Z94" s="2" t="s">
        <v>20</v>
      </c>
      <c r="AA94" s="2" t="s">
        <v>20</v>
      </c>
      <c r="AB94" s="2" t="s">
        <v>20</v>
      </c>
      <c r="AC94" s="2" t="s">
        <v>20</v>
      </c>
      <c r="AD94" s="2" t="s">
        <v>20</v>
      </c>
      <c r="AE94" s="2" t="s">
        <v>20</v>
      </c>
      <c r="AF94">
        <v>321.72956499999998</v>
      </c>
      <c r="AG94" s="2" t="s">
        <v>20</v>
      </c>
      <c r="AH94" s="2" t="s">
        <v>20</v>
      </c>
      <c r="AI94" s="2" t="s">
        <v>20</v>
      </c>
      <c r="AJ94" s="2" t="s">
        <v>20</v>
      </c>
      <c r="AK94" s="2" t="s">
        <v>20</v>
      </c>
      <c r="AL94" s="2" t="s">
        <v>20</v>
      </c>
      <c r="AM94" s="2" t="s">
        <v>20</v>
      </c>
      <c r="AN94" s="2" t="s">
        <v>20</v>
      </c>
      <c r="AO94" s="2" t="s">
        <v>20</v>
      </c>
      <c r="AP94" s="2" t="s">
        <v>20</v>
      </c>
      <c r="AQ94" s="2" t="s">
        <v>20</v>
      </c>
    </row>
    <row r="95" spans="2:43" x14ac:dyDescent="0.2">
      <c r="B95" s="3">
        <v>45905</v>
      </c>
      <c r="C95">
        <v>152.08657199999999</v>
      </c>
      <c r="D95">
        <v>57.958468600000003</v>
      </c>
      <c r="E95">
        <v>300.64835420000003</v>
      </c>
      <c r="F95">
        <v>77.6563254</v>
      </c>
      <c r="G95">
        <v>34.488318599999999</v>
      </c>
      <c r="H95">
        <v>155.54308499999999</v>
      </c>
      <c r="I95">
        <v>65.008048200000005</v>
      </c>
      <c r="J95">
        <v>297.37106779999999</v>
      </c>
      <c r="K95">
        <v>15.8914252</v>
      </c>
      <c r="L95">
        <v>49.500680000000003</v>
      </c>
      <c r="M95">
        <v>90.970301399999997</v>
      </c>
      <c r="N95">
        <v>12.8787114</v>
      </c>
      <c r="O95">
        <v>90.219256599999994</v>
      </c>
      <c r="P95">
        <v>72.100300799999999</v>
      </c>
      <c r="Q95">
        <v>26.943732199999999</v>
      </c>
      <c r="R95">
        <v>39.549336400000001</v>
      </c>
      <c r="S95">
        <v>52.214682799999999</v>
      </c>
      <c r="T95">
        <v>21.899783599999999</v>
      </c>
      <c r="U95">
        <v>67.047817600000002</v>
      </c>
      <c r="V95">
        <v>21.455984399999998</v>
      </c>
      <c r="W95" s="3">
        <v>45854</v>
      </c>
      <c r="X95" s="2" t="s">
        <v>20</v>
      </c>
      <c r="Y95" s="2" t="s">
        <v>20</v>
      </c>
      <c r="Z95" s="2" t="s">
        <v>20</v>
      </c>
      <c r="AA95" s="2" t="s">
        <v>20</v>
      </c>
      <c r="AB95" s="2" t="s">
        <v>20</v>
      </c>
      <c r="AC95" s="2" t="s">
        <v>20</v>
      </c>
      <c r="AD95" s="2" t="s">
        <v>20</v>
      </c>
      <c r="AE95" s="2" t="s">
        <v>20</v>
      </c>
      <c r="AF95">
        <v>321.72956499999998</v>
      </c>
      <c r="AG95" s="2" t="s">
        <v>20</v>
      </c>
      <c r="AH95" s="2" t="s">
        <v>20</v>
      </c>
      <c r="AI95" s="2" t="s">
        <v>20</v>
      </c>
      <c r="AJ95" s="2" t="s">
        <v>20</v>
      </c>
      <c r="AK95" s="2" t="s">
        <v>20</v>
      </c>
      <c r="AL95" s="2" t="s">
        <v>20</v>
      </c>
      <c r="AM95" s="2" t="s">
        <v>20</v>
      </c>
      <c r="AN95" s="2" t="s">
        <v>20</v>
      </c>
      <c r="AO95" s="2" t="s">
        <v>20</v>
      </c>
      <c r="AP95" s="2" t="s">
        <v>20</v>
      </c>
      <c r="AQ95" s="2" t="s">
        <v>20</v>
      </c>
    </row>
    <row r="96" spans="2:43" x14ac:dyDescent="0.2">
      <c r="B96" s="3">
        <v>45908</v>
      </c>
      <c r="C96">
        <v>152.55138600000001</v>
      </c>
      <c r="D96">
        <v>57.881616000000001</v>
      </c>
      <c r="E96">
        <v>298.47121199999998</v>
      </c>
      <c r="F96">
        <v>80.224872000000005</v>
      </c>
      <c r="G96">
        <v>34.042008000000003</v>
      </c>
      <c r="H96">
        <v>155.20401000000001</v>
      </c>
      <c r="I96">
        <v>64.402649999999994</v>
      </c>
      <c r="J96">
        <v>297.19591200000002</v>
      </c>
      <c r="K96">
        <v>15.669186</v>
      </c>
      <c r="L96">
        <v>48.946013999999998</v>
      </c>
      <c r="M96">
        <v>91.626053999999996</v>
      </c>
      <c r="N96">
        <v>12.378912</v>
      </c>
      <c r="O96">
        <v>90.886380000000003</v>
      </c>
      <c r="P96">
        <v>71.841899999999995</v>
      </c>
      <c r="Q96">
        <v>26.832312000000002</v>
      </c>
      <c r="R96">
        <v>39.670332000000002</v>
      </c>
      <c r="S96">
        <v>52.508352000000002</v>
      </c>
      <c r="T96">
        <v>20.855405999999999</v>
      </c>
      <c r="U96">
        <v>67.063776000000004</v>
      </c>
      <c r="V96">
        <v>21.110465999999999</v>
      </c>
      <c r="W96" s="3">
        <v>45854</v>
      </c>
      <c r="X96" s="2" t="s">
        <v>20</v>
      </c>
      <c r="Y96" s="2" t="s">
        <v>20</v>
      </c>
      <c r="Z96" s="2" t="s">
        <v>20</v>
      </c>
      <c r="AA96" s="2" t="s">
        <v>20</v>
      </c>
      <c r="AB96" s="2" t="s">
        <v>20</v>
      </c>
      <c r="AC96" s="2" t="s">
        <v>20</v>
      </c>
      <c r="AD96" s="2" t="s">
        <v>20</v>
      </c>
      <c r="AE96" s="2" t="s">
        <v>20</v>
      </c>
      <c r="AF96">
        <v>321.72956499999998</v>
      </c>
      <c r="AG96" s="2" t="s">
        <v>20</v>
      </c>
      <c r="AH96" s="2" t="s">
        <v>20</v>
      </c>
      <c r="AI96" s="2" t="s">
        <v>20</v>
      </c>
      <c r="AJ96" s="2" t="s">
        <v>20</v>
      </c>
      <c r="AK96" s="2" t="s">
        <v>20</v>
      </c>
      <c r="AL96" s="2" t="s">
        <v>20</v>
      </c>
      <c r="AM96" s="2" t="s">
        <v>20</v>
      </c>
      <c r="AN96" s="2" t="s">
        <v>20</v>
      </c>
      <c r="AO96" s="2" t="s">
        <v>20</v>
      </c>
      <c r="AP96" s="2" t="s">
        <v>20</v>
      </c>
      <c r="AQ96" s="2" t="s">
        <v>20</v>
      </c>
    </row>
    <row r="97" spans="2:43" x14ac:dyDescent="0.2">
      <c r="B97" s="3">
        <v>45909</v>
      </c>
      <c r="C97">
        <v>152.89545480000001</v>
      </c>
      <c r="D97">
        <v>58.311787600000002</v>
      </c>
      <c r="E97">
        <v>294.9845206</v>
      </c>
      <c r="F97">
        <v>81.539117000000005</v>
      </c>
      <c r="G97">
        <v>36.664839200000003</v>
      </c>
      <c r="H97">
        <v>153.2457014</v>
      </c>
      <c r="I97">
        <v>64.8554192</v>
      </c>
      <c r="J97">
        <v>301.40001319999999</v>
      </c>
      <c r="K97">
        <v>16.1198862</v>
      </c>
      <c r="L97">
        <v>48.7953312</v>
      </c>
      <c r="M97">
        <v>90.252568999999994</v>
      </c>
      <c r="N97">
        <v>12.7882722</v>
      </c>
      <c r="O97">
        <v>89.722927799999994</v>
      </c>
      <c r="P97">
        <v>72.321651599999996</v>
      </c>
      <c r="Q97">
        <v>26.968988199999998</v>
      </c>
      <c r="R97">
        <v>37.493471399999997</v>
      </c>
      <c r="S97">
        <v>51.836496799999999</v>
      </c>
      <c r="T97">
        <v>21.672576200000002</v>
      </c>
      <c r="U97">
        <v>66.768961599999997</v>
      </c>
      <c r="V97">
        <v>20.9037422</v>
      </c>
      <c r="W97" s="3">
        <v>45854</v>
      </c>
      <c r="X97" s="2" t="s">
        <v>20</v>
      </c>
      <c r="Y97" s="2" t="s">
        <v>20</v>
      </c>
      <c r="Z97" s="2" t="s">
        <v>20</v>
      </c>
      <c r="AA97" s="2" t="s">
        <v>20</v>
      </c>
      <c r="AB97" s="2" t="s">
        <v>20</v>
      </c>
      <c r="AC97" s="2" t="s">
        <v>20</v>
      </c>
      <c r="AD97" s="2" t="s">
        <v>20</v>
      </c>
      <c r="AE97" s="2" t="s">
        <v>20</v>
      </c>
      <c r="AF97">
        <v>321.72956499999998</v>
      </c>
      <c r="AG97" s="2" t="s">
        <v>20</v>
      </c>
      <c r="AH97" s="2" t="s">
        <v>20</v>
      </c>
      <c r="AI97" s="2" t="s">
        <v>20</v>
      </c>
      <c r="AJ97" s="2" t="s">
        <v>20</v>
      </c>
      <c r="AK97" s="2" t="s">
        <v>20</v>
      </c>
      <c r="AL97" s="2" t="s">
        <v>20</v>
      </c>
      <c r="AM97" s="2" t="s">
        <v>20</v>
      </c>
      <c r="AN97" s="2" t="s">
        <v>20</v>
      </c>
      <c r="AO97" s="2" t="s">
        <v>20</v>
      </c>
      <c r="AP97" s="2" t="s">
        <v>20</v>
      </c>
      <c r="AQ97" s="2" t="s">
        <v>20</v>
      </c>
    </row>
    <row r="98" spans="2:43" x14ac:dyDescent="0.2">
      <c r="B98" s="3">
        <v>45910</v>
      </c>
      <c r="C98">
        <v>157.18759800000001</v>
      </c>
      <c r="D98">
        <v>59.223292499999999</v>
      </c>
      <c r="E98">
        <v>292.054215</v>
      </c>
      <c r="F98">
        <v>80.569334100000006</v>
      </c>
      <c r="G98">
        <v>37.552271099999999</v>
      </c>
      <c r="H98">
        <v>153.27928829999999</v>
      </c>
      <c r="I98">
        <v>67.074120300000004</v>
      </c>
      <c r="J98">
        <v>288.7274481</v>
      </c>
      <c r="K98">
        <v>15.7957287</v>
      </c>
      <c r="L98">
        <v>47.780582699999997</v>
      </c>
      <c r="M98">
        <v>91.9436271</v>
      </c>
      <c r="N98">
        <v>13.0505046</v>
      </c>
      <c r="O98">
        <v>90.660812100000001</v>
      </c>
      <c r="P98">
        <v>74.317749000000006</v>
      </c>
      <c r="Q98">
        <v>26.8193856</v>
      </c>
      <c r="R98">
        <v>38.381824799999997</v>
      </c>
      <c r="S98">
        <v>52.5013419</v>
      </c>
      <c r="T98">
        <v>21.747990300000001</v>
      </c>
      <c r="U98">
        <v>65.637367499999996</v>
      </c>
      <c r="V98">
        <v>20.7901551</v>
      </c>
      <c r="W98" s="3">
        <v>45854</v>
      </c>
      <c r="X98" s="2" t="s">
        <v>20</v>
      </c>
      <c r="Y98" s="2" t="s">
        <v>20</v>
      </c>
      <c r="Z98" s="2" t="s">
        <v>20</v>
      </c>
      <c r="AA98" s="2" t="s">
        <v>20</v>
      </c>
      <c r="AB98" s="2" t="s">
        <v>20</v>
      </c>
      <c r="AC98" s="2" t="s">
        <v>20</v>
      </c>
      <c r="AD98" s="2" t="s">
        <v>20</v>
      </c>
      <c r="AE98" s="2" t="s">
        <v>20</v>
      </c>
      <c r="AF98">
        <v>321.72956499999998</v>
      </c>
      <c r="AG98" s="2" t="s">
        <v>20</v>
      </c>
      <c r="AH98" s="2" t="s">
        <v>20</v>
      </c>
      <c r="AI98" s="2" t="s">
        <v>20</v>
      </c>
      <c r="AJ98" s="2" t="s">
        <v>20</v>
      </c>
      <c r="AK98" s="2" t="s">
        <v>20</v>
      </c>
      <c r="AL98" s="2" t="s">
        <v>20</v>
      </c>
      <c r="AM98" s="2" t="s">
        <v>20</v>
      </c>
      <c r="AN98" s="2" t="s">
        <v>20</v>
      </c>
      <c r="AO98" s="2" t="s">
        <v>20</v>
      </c>
      <c r="AP98" s="2" t="s">
        <v>20</v>
      </c>
      <c r="AQ98" s="2" t="s">
        <v>20</v>
      </c>
    </row>
    <row r="99" spans="2:43" x14ac:dyDescent="0.2">
      <c r="B99" s="3">
        <v>45911</v>
      </c>
      <c r="C99">
        <v>157.002183</v>
      </c>
      <c r="D99">
        <v>59.192234999999997</v>
      </c>
      <c r="E99">
        <v>298.50102900000002</v>
      </c>
      <c r="F99">
        <v>80.695763999999997</v>
      </c>
      <c r="G99">
        <v>37.458584999999999</v>
      </c>
      <c r="H99">
        <v>156.73796999999999</v>
      </c>
      <c r="I99">
        <v>67.885694999999998</v>
      </c>
      <c r="J99">
        <v>288.02626199999997</v>
      </c>
      <c r="K99">
        <v>16.065854999999999</v>
      </c>
      <c r="L99">
        <v>48.683376000000003</v>
      </c>
      <c r="M99">
        <v>93.207527999999996</v>
      </c>
      <c r="N99">
        <v>13.406679</v>
      </c>
      <c r="O99">
        <v>92.985929999999996</v>
      </c>
      <c r="P99">
        <v>73.408598999999995</v>
      </c>
      <c r="Q99">
        <v>27.674181000000001</v>
      </c>
      <c r="R99">
        <v>39.137616000000001</v>
      </c>
      <c r="S99">
        <v>51.513012000000003</v>
      </c>
      <c r="T99">
        <v>22.960961999999999</v>
      </c>
      <c r="U99">
        <v>67.502160000000003</v>
      </c>
      <c r="V99">
        <v>21.639897000000001</v>
      </c>
      <c r="W99" s="3">
        <v>45854</v>
      </c>
      <c r="X99" s="2" t="s">
        <v>20</v>
      </c>
      <c r="Y99" s="2" t="s">
        <v>20</v>
      </c>
      <c r="Z99" s="2" t="s">
        <v>20</v>
      </c>
      <c r="AA99" s="2" t="s">
        <v>20</v>
      </c>
      <c r="AB99" s="2" t="s">
        <v>20</v>
      </c>
      <c r="AC99" s="2" t="s">
        <v>20</v>
      </c>
      <c r="AD99" s="2" t="s">
        <v>20</v>
      </c>
      <c r="AE99" s="2" t="s">
        <v>20</v>
      </c>
      <c r="AF99">
        <v>321.72956499999998</v>
      </c>
      <c r="AG99" s="2" t="s">
        <v>20</v>
      </c>
      <c r="AH99" s="2" t="s">
        <v>20</v>
      </c>
      <c r="AI99" s="2" t="s">
        <v>20</v>
      </c>
      <c r="AJ99" s="2" t="s">
        <v>20</v>
      </c>
      <c r="AK99" s="2" t="s">
        <v>20</v>
      </c>
      <c r="AL99" s="2" t="s">
        <v>20</v>
      </c>
      <c r="AM99" s="2" t="s">
        <v>20</v>
      </c>
      <c r="AN99" s="2" t="s">
        <v>20</v>
      </c>
      <c r="AO99" s="2" t="s">
        <v>20</v>
      </c>
      <c r="AP99" s="2" t="s">
        <v>20</v>
      </c>
      <c r="AQ99" s="2" t="s">
        <v>20</v>
      </c>
    </row>
    <row r="100" spans="2:43" x14ac:dyDescent="0.2">
      <c r="B100" s="3">
        <v>45912</v>
      </c>
      <c r="C100">
        <v>158.331771</v>
      </c>
      <c r="D100">
        <v>59.430878999999997</v>
      </c>
      <c r="E100">
        <v>286.73076600000002</v>
      </c>
      <c r="F100">
        <v>81.727046999999999</v>
      </c>
      <c r="G100">
        <v>38.353499999999997</v>
      </c>
      <c r="H100">
        <v>155.519181</v>
      </c>
      <c r="I100">
        <v>67.544775000000001</v>
      </c>
      <c r="J100">
        <v>291.29909400000003</v>
      </c>
      <c r="K100">
        <v>16.185176999999999</v>
      </c>
      <c r="L100">
        <v>48.086765999999997</v>
      </c>
      <c r="M100">
        <v>90.838133999999997</v>
      </c>
      <c r="N100">
        <v>13.168035</v>
      </c>
      <c r="O100">
        <v>92.926269000000005</v>
      </c>
      <c r="P100">
        <v>72.982449000000003</v>
      </c>
      <c r="Q100">
        <v>26.855972999999999</v>
      </c>
      <c r="R100">
        <v>38.114856000000003</v>
      </c>
      <c r="S100">
        <v>51.027200999999998</v>
      </c>
      <c r="T100">
        <v>22.713795000000001</v>
      </c>
      <c r="U100">
        <v>65.490731999999994</v>
      </c>
      <c r="V100">
        <v>20.037572999999998</v>
      </c>
      <c r="W100" s="3">
        <v>45854</v>
      </c>
      <c r="X100" s="2" t="s">
        <v>20</v>
      </c>
      <c r="Y100" s="2" t="s">
        <v>20</v>
      </c>
      <c r="Z100" s="2" t="s">
        <v>20</v>
      </c>
      <c r="AA100" s="2" t="s">
        <v>20</v>
      </c>
      <c r="AB100" s="2" t="s">
        <v>20</v>
      </c>
      <c r="AC100" s="2" t="s">
        <v>20</v>
      </c>
      <c r="AD100" s="2" t="s">
        <v>20</v>
      </c>
      <c r="AE100" s="2" t="s">
        <v>20</v>
      </c>
      <c r="AF100">
        <v>321.72956499999998</v>
      </c>
      <c r="AG100" s="2" t="s">
        <v>20</v>
      </c>
      <c r="AH100" s="2" t="s">
        <v>20</v>
      </c>
      <c r="AI100" s="2" t="s">
        <v>20</v>
      </c>
      <c r="AJ100" s="2" t="s">
        <v>20</v>
      </c>
      <c r="AK100" s="2" t="s">
        <v>20</v>
      </c>
      <c r="AL100" s="2" t="s">
        <v>20</v>
      </c>
      <c r="AM100" s="2" t="s">
        <v>20</v>
      </c>
      <c r="AN100" s="2" t="s">
        <v>20</v>
      </c>
      <c r="AO100" s="2" t="s">
        <v>20</v>
      </c>
      <c r="AP100" s="2" t="s">
        <v>20</v>
      </c>
      <c r="AQ100" s="2" t="s">
        <v>20</v>
      </c>
    </row>
    <row r="101" spans="2:43" x14ac:dyDescent="0.2">
      <c r="B101" s="3">
        <v>45915</v>
      </c>
      <c r="C101">
        <v>160.92684499999999</v>
      </c>
      <c r="D101">
        <v>59.396248999999997</v>
      </c>
      <c r="E101">
        <v>280.43362860000002</v>
      </c>
      <c r="F101">
        <v>84.056109000000006</v>
      </c>
      <c r="G101">
        <v>38.5884292</v>
      </c>
      <c r="H101">
        <v>156.2584784</v>
      </c>
      <c r="I101">
        <v>67.482982399999997</v>
      </c>
      <c r="J101">
        <v>289.3621986</v>
      </c>
      <c r="K101">
        <v>15.518705000000001</v>
      </c>
      <c r="L101">
        <v>47.695570600000003</v>
      </c>
      <c r="M101">
        <v>88.903047000000001</v>
      </c>
      <c r="N101">
        <v>13.044215599999999</v>
      </c>
      <c r="O101">
        <v>91.666651999999999</v>
      </c>
      <c r="P101">
        <v>72.576519000000005</v>
      </c>
      <c r="Q101">
        <v>26.564621599999999</v>
      </c>
      <c r="R101">
        <v>38.8095176</v>
      </c>
      <c r="S101">
        <v>49.676862800000002</v>
      </c>
      <c r="T101">
        <v>22.117343399999999</v>
      </c>
      <c r="U101">
        <v>65.016996399999996</v>
      </c>
      <c r="V101">
        <v>20.306119200000001</v>
      </c>
      <c r="W101" s="3">
        <v>45854</v>
      </c>
      <c r="X101" s="2" t="s">
        <v>20</v>
      </c>
      <c r="Y101" s="2" t="s">
        <v>20</v>
      </c>
      <c r="Z101" s="2" t="s">
        <v>20</v>
      </c>
      <c r="AA101" s="2" t="s">
        <v>20</v>
      </c>
      <c r="AB101" s="2" t="s">
        <v>20</v>
      </c>
      <c r="AC101" s="2" t="s">
        <v>20</v>
      </c>
      <c r="AD101" s="2" t="s">
        <v>20</v>
      </c>
      <c r="AE101" s="2" t="s">
        <v>20</v>
      </c>
      <c r="AF101">
        <v>321.72956499999998</v>
      </c>
      <c r="AG101" s="2" t="s">
        <v>20</v>
      </c>
      <c r="AH101" s="2" t="s">
        <v>20</v>
      </c>
      <c r="AI101" s="2" t="s">
        <v>20</v>
      </c>
      <c r="AJ101" s="2" t="s">
        <v>20</v>
      </c>
      <c r="AK101" s="2" t="s">
        <v>20</v>
      </c>
      <c r="AL101" s="2" t="s">
        <v>20</v>
      </c>
      <c r="AM101" s="2" t="s">
        <v>20</v>
      </c>
      <c r="AN101" s="2" t="s">
        <v>20</v>
      </c>
      <c r="AO101" s="2" t="s">
        <v>20</v>
      </c>
      <c r="AP101" s="2" t="s">
        <v>20</v>
      </c>
      <c r="AQ101" s="2" t="s">
        <v>20</v>
      </c>
    </row>
    <row r="102" spans="2:43" x14ac:dyDescent="0.2">
      <c r="B102" s="3">
        <v>45916</v>
      </c>
      <c r="C102">
        <v>157.98004040000001</v>
      </c>
      <c r="D102">
        <v>57.365311800000001</v>
      </c>
      <c r="E102">
        <v>271.10945800000002</v>
      </c>
      <c r="F102">
        <v>82.445254199999994</v>
      </c>
      <c r="G102">
        <v>37.847453399999999</v>
      </c>
      <c r="H102">
        <v>152.97416480000001</v>
      </c>
      <c r="I102">
        <v>66.593314800000002</v>
      </c>
      <c r="J102">
        <v>279.89923620000002</v>
      </c>
      <c r="K102">
        <v>15.278876199999999</v>
      </c>
      <c r="L102">
        <v>48.659807600000001</v>
      </c>
      <c r="M102">
        <v>87.813507999999999</v>
      </c>
      <c r="N102">
        <v>12.598962999999999</v>
      </c>
      <c r="O102">
        <v>89.785519600000001</v>
      </c>
      <c r="P102">
        <v>71.599190399999998</v>
      </c>
      <c r="Q102">
        <v>26.293488</v>
      </c>
      <c r="R102">
        <v>38.176121999999999</v>
      </c>
      <c r="S102">
        <v>48.760936399999999</v>
      </c>
      <c r="T102">
        <v>21.5572892</v>
      </c>
      <c r="U102">
        <v>64.368481200000005</v>
      </c>
      <c r="V102">
        <v>20.933661600000001</v>
      </c>
      <c r="W102" s="3">
        <v>45854</v>
      </c>
      <c r="X102" s="2" t="s">
        <v>20</v>
      </c>
      <c r="Y102" s="2" t="s">
        <v>20</v>
      </c>
      <c r="Z102" s="2" t="s">
        <v>20</v>
      </c>
      <c r="AA102" s="2" t="s">
        <v>20</v>
      </c>
      <c r="AB102" s="2" t="s">
        <v>20</v>
      </c>
      <c r="AC102" s="2" t="s">
        <v>20</v>
      </c>
      <c r="AD102" s="2" t="s">
        <v>20</v>
      </c>
      <c r="AE102" s="2" t="s">
        <v>20</v>
      </c>
      <c r="AF102">
        <v>321.72956499999998</v>
      </c>
      <c r="AG102" s="2" t="s">
        <v>20</v>
      </c>
      <c r="AH102" s="2" t="s">
        <v>20</v>
      </c>
      <c r="AI102" s="2" t="s">
        <v>20</v>
      </c>
      <c r="AJ102" s="2" t="s">
        <v>20</v>
      </c>
      <c r="AK102" s="2" t="s">
        <v>20</v>
      </c>
      <c r="AL102" s="2" t="s">
        <v>20</v>
      </c>
      <c r="AM102" s="2" t="s">
        <v>20</v>
      </c>
      <c r="AN102" s="2" t="s">
        <v>20</v>
      </c>
      <c r="AO102" s="2" t="s">
        <v>20</v>
      </c>
      <c r="AP102" s="2" t="s">
        <v>20</v>
      </c>
      <c r="AQ102" s="2" t="s">
        <v>20</v>
      </c>
    </row>
    <row r="103" spans="2:43" x14ac:dyDescent="0.2">
      <c r="B103" s="3">
        <v>45917</v>
      </c>
      <c r="C103">
        <v>156.95117400000001</v>
      </c>
      <c r="D103">
        <v>57.010044000000001</v>
      </c>
      <c r="E103">
        <v>273.51106199999998</v>
      </c>
      <c r="F103">
        <v>78.691469999999995</v>
      </c>
      <c r="G103">
        <v>38.012340000000002</v>
      </c>
      <c r="H103">
        <v>153.708696</v>
      </c>
      <c r="I103">
        <v>66.618954000000002</v>
      </c>
      <c r="J103">
        <v>272.79145199999999</v>
      </c>
      <c r="K103">
        <v>15.526643999999999</v>
      </c>
      <c r="L103">
        <v>47.113289999999999</v>
      </c>
      <c r="M103">
        <v>89.324765999999997</v>
      </c>
      <c r="N103">
        <v>12.775194000000001</v>
      </c>
      <c r="O103">
        <v>90.366084000000001</v>
      </c>
      <c r="P103">
        <v>71.275254000000004</v>
      </c>
      <c r="Q103">
        <v>26.405453999999999</v>
      </c>
      <c r="R103">
        <v>38.173194000000002</v>
      </c>
      <c r="S103">
        <v>49.797012000000002</v>
      </c>
      <c r="T103">
        <v>21.486708</v>
      </c>
      <c r="U103">
        <v>64.206143999999995</v>
      </c>
      <c r="V103">
        <v>21.164999999999999</v>
      </c>
      <c r="W103" s="3">
        <v>45854</v>
      </c>
      <c r="X103" s="2" t="s">
        <v>20</v>
      </c>
      <c r="Y103" s="2" t="s">
        <v>20</v>
      </c>
      <c r="Z103" s="2" t="s">
        <v>20</v>
      </c>
      <c r="AA103" s="2" t="s">
        <v>20</v>
      </c>
      <c r="AB103" s="2" t="s">
        <v>20</v>
      </c>
      <c r="AC103" s="2" t="s">
        <v>20</v>
      </c>
      <c r="AD103" s="2" t="s">
        <v>20</v>
      </c>
      <c r="AE103" s="2" t="s">
        <v>20</v>
      </c>
      <c r="AF103">
        <v>321.72956499999998</v>
      </c>
      <c r="AG103" s="2" t="s">
        <v>20</v>
      </c>
      <c r="AH103" s="2" t="s">
        <v>20</v>
      </c>
      <c r="AI103" s="2" t="s">
        <v>20</v>
      </c>
      <c r="AJ103" s="2" t="s">
        <v>20</v>
      </c>
      <c r="AK103" s="2" t="s">
        <v>20</v>
      </c>
      <c r="AL103" s="2" t="s">
        <v>20</v>
      </c>
      <c r="AM103" s="2" t="s">
        <v>20</v>
      </c>
      <c r="AN103" s="2" t="s">
        <v>20</v>
      </c>
      <c r="AO103" s="2" t="s">
        <v>20</v>
      </c>
      <c r="AP103" s="2" t="s">
        <v>20</v>
      </c>
      <c r="AQ103" s="2" t="s">
        <v>20</v>
      </c>
    </row>
    <row r="104" spans="2:43" x14ac:dyDescent="0.2">
      <c r="B104" s="3">
        <v>45918</v>
      </c>
      <c r="C104">
        <v>162.7685664</v>
      </c>
      <c r="D104">
        <v>57.669826200000003</v>
      </c>
      <c r="E104">
        <v>276.43675259999998</v>
      </c>
      <c r="F104">
        <v>80.349162000000007</v>
      </c>
      <c r="G104">
        <v>38.978252400000002</v>
      </c>
      <c r="H104">
        <v>152.7991614</v>
      </c>
      <c r="I104">
        <v>66.451387199999999</v>
      </c>
      <c r="J104">
        <v>282.96989459999998</v>
      </c>
      <c r="K104">
        <v>15.357125999999999</v>
      </c>
      <c r="L104">
        <v>47.912536199999998</v>
      </c>
      <c r="M104">
        <v>89.410714799999994</v>
      </c>
      <c r="N104">
        <v>12.642054</v>
      </c>
      <c r="O104">
        <v>90.836127599999998</v>
      </c>
      <c r="P104">
        <v>71.355485999999999</v>
      </c>
      <c r="Q104">
        <v>26.684066999999999</v>
      </c>
      <c r="R104">
        <v>38.121307799999997</v>
      </c>
      <c r="S104">
        <v>50.4579162</v>
      </c>
      <c r="T104">
        <v>21.559368599999999</v>
      </c>
      <c r="U104">
        <v>65.407781400000005</v>
      </c>
      <c r="V104">
        <v>21.593306999999999</v>
      </c>
      <c r="W104" s="3">
        <v>45854</v>
      </c>
      <c r="X104" s="2" t="s">
        <v>20</v>
      </c>
      <c r="Y104" s="2" t="s">
        <v>20</v>
      </c>
      <c r="Z104" s="2" t="s">
        <v>20</v>
      </c>
      <c r="AA104" s="2" t="s">
        <v>20</v>
      </c>
      <c r="AB104" s="2" t="s">
        <v>20</v>
      </c>
      <c r="AC104" s="2" t="s">
        <v>20</v>
      </c>
      <c r="AD104" s="2" t="s">
        <v>20</v>
      </c>
      <c r="AE104" s="2" t="s">
        <v>20</v>
      </c>
      <c r="AF104">
        <v>321.72956499999998</v>
      </c>
      <c r="AG104" s="2" t="s">
        <v>20</v>
      </c>
      <c r="AH104" s="2" t="s">
        <v>20</v>
      </c>
      <c r="AI104" s="2" t="s">
        <v>20</v>
      </c>
      <c r="AJ104" s="2" t="s">
        <v>20</v>
      </c>
      <c r="AK104" s="2" t="s">
        <v>20</v>
      </c>
      <c r="AL104" s="2" t="s">
        <v>20</v>
      </c>
      <c r="AM104" s="2" t="s">
        <v>20</v>
      </c>
      <c r="AN104" s="2" t="s">
        <v>20</v>
      </c>
      <c r="AO104" s="2" t="s">
        <v>20</v>
      </c>
      <c r="AP104" s="2" t="s">
        <v>20</v>
      </c>
      <c r="AQ104" s="2" t="s">
        <v>20</v>
      </c>
    </row>
    <row r="105" spans="2:43" x14ac:dyDescent="0.2">
      <c r="B105" s="3">
        <v>45919</v>
      </c>
      <c r="C105">
        <v>161.98084499999999</v>
      </c>
      <c r="D105">
        <v>57.161194999999999</v>
      </c>
      <c r="E105">
        <v>279.80290000000002</v>
      </c>
      <c r="F105">
        <v>83.881264999999999</v>
      </c>
      <c r="G105">
        <v>39.007215000000002</v>
      </c>
      <c r="H105">
        <v>153.88308000000001</v>
      </c>
      <c r="I105">
        <v>69.584580000000003</v>
      </c>
      <c r="J105">
        <v>281.71026000000001</v>
      </c>
      <c r="K105">
        <v>15.61651</v>
      </c>
      <c r="L105">
        <v>47.394489999999998</v>
      </c>
      <c r="M105">
        <v>90.522964999999999</v>
      </c>
      <c r="N105">
        <v>12.695865</v>
      </c>
      <c r="O105">
        <v>91.025350000000003</v>
      </c>
      <c r="P105">
        <v>72.454134999999994</v>
      </c>
      <c r="Q105">
        <v>25.987780000000001</v>
      </c>
      <c r="R105">
        <v>38.26641</v>
      </c>
      <c r="S105">
        <v>50.885640000000002</v>
      </c>
      <c r="T105">
        <v>21.483345</v>
      </c>
      <c r="U105">
        <v>64.952420000000004</v>
      </c>
      <c r="V105">
        <v>21.491859999999999</v>
      </c>
      <c r="W105" s="3">
        <v>45854</v>
      </c>
      <c r="X105" s="2" t="s">
        <v>20</v>
      </c>
      <c r="Y105" s="2" t="s">
        <v>20</v>
      </c>
      <c r="Z105" s="2" t="s">
        <v>20</v>
      </c>
      <c r="AA105" s="2" t="s">
        <v>20</v>
      </c>
      <c r="AB105" s="2" t="s">
        <v>20</v>
      </c>
      <c r="AC105" s="2" t="s">
        <v>20</v>
      </c>
      <c r="AD105" s="2" t="s">
        <v>20</v>
      </c>
      <c r="AE105" s="2" t="s">
        <v>20</v>
      </c>
      <c r="AF105">
        <v>321.72956499999998</v>
      </c>
      <c r="AG105" s="2" t="s">
        <v>20</v>
      </c>
      <c r="AH105" s="2" t="s">
        <v>20</v>
      </c>
      <c r="AI105" s="2" t="s">
        <v>20</v>
      </c>
      <c r="AJ105" s="2" t="s">
        <v>20</v>
      </c>
      <c r="AK105" s="2" t="s">
        <v>20</v>
      </c>
      <c r="AL105" s="2" t="s">
        <v>20</v>
      </c>
      <c r="AM105" s="2" t="s">
        <v>20</v>
      </c>
      <c r="AN105" s="2" t="s">
        <v>20</v>
      </c>
      <c r="AO105" s="2" t="s">
        <v>20</v>
      </c>
      <c r="AP105" s="2" t="s">
        <v>20</v>
      </c>
      <c r="AQ105" s="2" t="s">
        <v>20</v>
      </c>
    </row>
    <row r="106" spans="2:43" x14ac:dyDescent="0.2">
      <c r="B106" s="3">
        <v>45922</v>
      </c>
      <c r="C106">
        <v>162.81061650000001</v>
      </c>
      <c r="D106">
        <v>56.879920300000002</v>
      </c>
      <c r="E106">
        <v>278.96834439999998</v>
      </c>
      <c r="F106">
        <v>84.214140900000004</v>
      </c>
      <c r="G106">
        <v>39.713419700000003</v>
      </c>
      <c r="H106">
        <v>153.4817334</v>
      </c>
      <c r="I106">
        <v>70.936793199999997</v>
      </c>
      <c r="J106">
        <v>283.95052720000001</v>
      </c>
      <c r="K106">
        <v>14.378850699999999</v>
      </c>
      <c r="L106">
        <v>46.915554700000001</v>
      </c>
      <c r="M106">
        <v>88.272755799999999</v>
      </c>
      <c r="N106">
        <v>12.4300377</v>
      </c>
      <c r="O106">
        <v>89.662344200000007</v>
      </c>
      <c r="P106">
        <v>72.563628399999999</v>
      </c>
      <c r="Q106">
        <v>26.020890099999999</v>
      </c>
      <c r="R106">
        <v>38.2645196</v>
      </c>
      <c r="S106">
        <v>49.898085899999998</v>
      </c>
      <c r="T106">
        <v>21.513200900000001</v>
      </c>
      <c r="U106">
        <v>64.971730800000003</v>
      </c>
      <c r="V106">
        <v>22.504553600000001</v>
      </c>
      <c r="W106" s="3">
        <v>45854</v>
      </c>
      <c r="X106" s="2" t="s">
        <v>20</v>
      </c>
      <c r="Y106" s="2" t="s">
        <v>20</v>
      </c>
      <c r="Z106" s="2" t="s">
        <v>20</v>
      </c>
      <c r="AA106" s="2" t="s">
        <v>20</v>
      </c>
      <c r="AB106" s="2" t="s">
        <v>20</v>
      </c>
      <c r="AC106" s="2" t="s">
        <v>20</v>
      </c>
      <c r="AD106" s="2" t="s">
        <v>20</v>
      </c>
      <c r="AE106" s="2" t="s">
        <v>20</v>
      </c>
      <c r="AF106">
        <v>321.72956499999998</v>
      </c>
      <c r="AG106" s="2" t="s">
        <v>20</v>
      </c>
      <c r="AH106" s="2" t="s">
        <v>20</v>
      </c>
      <c r="AI106" s="2" t="s">
        <v>20</v>
      </c>
      <c r="AJ106" s="2" t="s">
        <v>20</v>
      </c>
      <c r="AK106" s="2" t="s">
        <v>20</v>
      </c>
      <c r="AL106" s="2" t="s">
        <v>20</v>
      </c>
      <c r="AM106" s="2" t="s">
        <v>20</v>
      </c>
      <c r="AN106" s="2" t="s">
        <v>20</v>
      </c>
      <c r="AO106" s="2" t="s">
        <v>20</v>
      </c>
      <c r="AP106" s="2" t="s">
        <v>20</v>
      </c>
      <c r="AQ106" s="2" t="s">
        <v>20</v>
      </c>
    </row>
    <row r="107" spans="2:43" x14ac:dyDescent="0.2">
      <c r="B107" s="3">
        <v>45923</v>
      </c>
      <c r="C107">
        <v>163.84224040000001</v>
      </c>
      <c r="D107">
        <v>58.010885199999997</v>
      </c>
      <c r="E107">
        <v>279.80476420000002</v>
      </c>
      <c r="F107">
        <v>82.775964000000002</v>
      </c>
      <c r="G107">
        <v>39.771396199999998</v>
      </c>
      <c r="H107">
        <v>155.84394940000001</v>
      </c>
      <c r="I107">
        <v>71.662994600000005</v>
      </c>
      <c r="J107">
        <v>277.44336399999997</v>
      </c>
      <c r="K107">
        <v>14.5915912</v>
      </c>
      <c r="L107">
        <v>45.975361599999999</v>
      </c>
      <c r="M107">
        <v>88.133549400000007</v>
      </c>
      <c r="N107">
        <v>12.467177400000001</v>
      </c>
      <c r="O107">
        <v>89.199988200000007</v>
      </c>
      <c r="P107">
        <v>73.753553199999999</v>
      </c>
      <c r="Q107">
        <v>25.9923298</v>
      </c>
      <c r="R107">
        <v>38.391796800000002</v>
      </c>
      <c r="S107">
        <v>49.724825000000003</v>
      </c>
      <c r="T107">
        <v>21.641936600000001</v>
      </c>
      <c r="U107">
        <v>63.707022600000002</v>
      </c>
      <c r="V107">
        <v>21.8281402</v>
      </c>
      <c r="W107" s="3">
        <v>45854</v>
      </c>
      <c r="X107" s="2" t="s">
        <v>20</v>
      </c>
      <c r="Y107" s="2" t="s">
        <v>20</v>
      </c>
      <c r="Z107" s="2" t="s">
        <v>20</v>
      </c>
      <c r="AA107" s="2" t="s">
        <v>20</v>
      </c>
      <c r="AB107" s="2" t="s">
        <v>20</v>
      </c>
      <c r="AC107" s="2" t="s">
        <v>20</v>
      </c>
      <c r="AD107" s="2" t="s">
        <v>20</v>
      </c>
      <c r="AE107" s="2" t="s">
        <v>20</v>
      </c>
      <c r="AF107">
        <v>321.72956499999998</v>
      </c>
      <c r="AG107" s="2" t="s">
        <v>20</v>
      </c>
      <c r="AH107" s="2" t="s">
        <v>20</v>
      </c>
      <c r="AI107" s="2" t="s">
        <v>20</v>
      </c>
      <c r="AJ107" s="2" t="s">
        <v>20</v>
      </c>
      <c r="AK107" s="2" t="s">
        <v>20</v>
      </c>
      <c r="AL107" s="2" t="s">
        <v>20</v>
      </c>
      <c r="AM107" s="2" t="s">
        <v>20</v>
      </c>
      <c r="AN107" s="2" t="s">
        <v>20</v>
      </c>
      <c r="AO107" s="2" t="s">
        <v>20</v>
      </c>
      <c r="AP107" s="2" t="s">
        <v>20</v>
      </c>
      <c r="AQ107" s="2" t="s">
        <v>20</v>
      </c>
    </row>
    <row r="108" spans="2:43" x14ac:dyDescent="0.2">
      <c r="B108" s="3">
        <v>45924</v>
      </c>
      <c r="C108">
        <v>162.06934219999999</v>
      </c>
      <c r="D108">
        <v>58.345644800000002</v>
      </c>
      <c r="E108">
        <v>278.63283030000002</v>
      </c>
      <c r="F108">
        <v>83.309537800000001</v>
      </c>
      <c r="G108">
        <v>39.362862</v>
      </c>
      <c r="H108">
        <v>156.02859129999999</v>
      </c>
      <c r="I108">
        <v>71.117274699999996</v>
      </c>
      <c r="J108">
        <v>278.58170969999998</v>
      </c>
      <c r="K108">
        <v>14.3648886</v>
      </c>
      <c r="L108">
        <v>45.812577699999999</v>
      </c>
      <c r="M108">
        <v>86.385293899999994</v>
      </c>
      <c r="N108">
        <v>12.4904666</v>
      </c>
      <c r="O108">
        <v>89.997816299999997</v>
      </c>
      <c r="P108">
        <v>78.086716499999994</v>
      </c>
      <c r="Q108">
        <v>25.875543700000001</v>
      </c>
      <c r="R108">
        <v>32.095216700000002</v>
      </c>
      <c r="S108">
        <v>49.169497100000001</v>
      </c>
      <c r="T108">
        <v>21.4962123</v>
      </c>
      <c r="U108">
        <v>64.9487223</v>
      </c>
      <c r="V108">
        <v>22.0500188</v>
      </c>
      <c r="W108" s="3">
        <v>45854</v>
      </c>
      <c r="X108" s="2" t="s">
        <v>20</v>
      </c>
      <c r="Y108" s="2" t="s">
        <v>20</v>
      </c>
      <c r="Z108" s="2" t="s">
        <v>20</v>
      </c>
      <c r="AA108" s="2" t="s">
        <v>20</v>
      </c>
      <c r="AB108" s="2" t="s">
        <v>20</v>
      </c>
      <c r="AC108" s="2" t="s">
        <v>20</v>
      </c>
      <c r="AD108" s="2" t="s">
        <v>20</v>
      </c>
      <c r="AE108" s="2" t="s">
        <v>20</v>
      </c>
      <c r="AF108">
        <v>321.72956499999998</v>
      </c>
      <c r="AG108" s="2" t="s">
        <v>20</v>
      </c>
      <c r="AH108" s="2" t="s">
        <v>20</v>
      </c>
      <c r="AI108" s="2" t="s">
        <v>20</v>
      </c>
      <c r="AJ108" s="2" t="s">
        <v>20</v>
      </c>
      <c r="AK108" s="2" t="s">
        <v>20</v>
      </c>
      <c r="AL108" s="2" t="s">
        <v>20</v>
      </c>
      <c r="AM108" s="2" t="s">
        <v>20</v>
      </c>
      <c r="AN108" s="2" t="s">
        <v>20</v>
      </c>
      <c r="AO108" s="2" t="s">
        <v>20</v>
      </c>
      <c r="AP108" s="2" t="s">
        <v>20</v>
      </c>
      <c r="AQ108" s="2" t="s">
        <v>20</v>
      </c>
    </row>
    <row r="109" spans="2:43" x14ac:dyDescent="0.2">
      <c r="B109" s="3">
        <v>45925</v>
      </c>
      <c r="C109">
        <v>162.75270950000001</v>
      </c>
      <c r="D109">
        <v>58.448668599999998</v>
      </c>
      <c r="E109">
        <v>278.20983310000003</v>
      </c>
      <c r="F109">
        <v>83.669551999999996</v>
      </c>
      <c r="G109">
        <v>39.640164800000001</v>
      </c>
      <c r="H109">
        <v>156.54607469999999</v>
      </c>
      <c r="I109">
        <v>71.727780899999999</v>
      </c>
      <c r="J109">
        <v>277.39542660000001</v>
      </c>
      <c r="K109">
        <v>13.8620559</v>
      </c>
      <c r="L109">
        <v>45.289574100000003</v>
      </c>
      <c r="M109">
        <v>84.998320500000005</v>
      </c>
      <c r="N109">
        <v>12.378978800000001</v>
      </c>
      <c r="O109">
        <v>89.576142300000001</v>
      </c>
      <c r="P109">
        <v>76.905691700000006</v>
      </c>
      <c r="Q109">
        <v>26.129589599999999</v>
      </c>
      <c r="R109">
        <v>30.295921799999999</v>
      </c>
      <c r="S109">
        <v>48.641499799999998</v>
      </c>
      <c r="T109">
        <v>21.431750000000001</v>
      </c>
      <c r="U109">
        <v>64.6210126</v>
      </c>
      <c r="V109">
        <v>21.097414700000002</v>
      </c>
      <c r="W109" s="3">
        <v>45854</v>
      </c>
      <c r="X109" s="2" t="s">
        <v>20</v>
      </c>
      <c r="Y109" s="2" t="s">
        <v>20</v>
      </c>
      <c r="Z109" s="2" t="s">
        <v>20</v>
      </c>
      <c r="AA109" s="2" t="s">
        <v>20</v>
      </c>
      <c r="AB109" s="2" t="s">
        <v>20</v>
      </c>
      <c r="AC109" s="2" t="s">
        <v>20</v>
      </c>
      <c r="AD109" s="2" t="s">
        <v>20</v>
      </c>
      <c r="AE109" s="2" t="s">
        <v>20</v>
      </c>
      <c r="AF109">
        <v>321.72956499999998</v>
      </c>
      <c r="AG109" s="2" t="s">
        <v>20</v>
      </c>
      <c r="AH109" s="2" t="s">
        <v>20</v>
      </c>
      <c r="AI109" s="2" t="s">
        <v>20</v>
      </c>
      <c r="AJ109" s="2" t="s">
        <v>20</v>
      </c>
      <c r="AK109" s="2" t="s">
        <v>20</v>
      </c>
      <c r="AL109" s="2" t="s">
        <v>20</v>
      </c>
      <c r="AM109" s="2" t="s">
        <v>20</v>
      </c>
      <c r="AN109" s="2" t="s">
        <v>20</v>
      </c>
      <c r="AO109" s="2" t="s">
        <v>20</v>
      </c>
      <c r="AP109" s="2" t="s">
        <v>20</v>
      </c>
      <c r="AQ109" s="2" t="s">
        <v>20</v>
      </c>
    </row>
    <row r="110" spans="2:43" x14ac:dyDescent="0.2">
      <c r="B110" s="3">
        <v>45926</v>
      </c>
      <c r="C110">
        <v>165.07178450000001</v>
      </c>
      <c r="D110">
        <v>58.969470000000001</v>
      </c>
      <c r="E110">
        <v>279.37000069999999</v>
      </c>
      <c r="F110">
        <v>84.138323499999998</v>
      </c>
      <c r="G110">
        <v>39.1591466</v>
      </c>
      <c r="H110">
        <v>158.43985570000001</v>
      </c>
      <c r="I110">
        <v>72.857207500000001</v>
      </c>
      <c r="J110">
        <v>271.77233999999999</v>
      </c>
      <c r="K110">
        <v>14.033024599999999</v>
      </c>
      <c r="L110">
        <v>47.192668599999998</v>
      </c>
      <c r="M110">
        <v>83.676823299999995</v>
      </c>
      <c r="N110">
        <v>12.793811099999999</v>
      </c>
      <c r="O110">
        <v>89.419936899999996</v>
      </c>
      <c r="P110">
        <v>78.7370619</v>
      </c>
      <c r="Q110">
        <v>26.168770599999998</v>
      </c>
      <c r="R110">
        <v>30.553022500000001</v>
      </c>
      <c r="S110">
        <v>48.884836</v>
      </c>
      <c r="T110">
        <v>21.399935200000002</v>
      </c>
      <c r="U110">
        <v>64.994611500000005</v>
      </c>
      <c r="V110">
        <v>20.929888699999999</v>
      </c>
      <c r="W110" s="3">
        <v>45854</v>
      </c>
      <c r="X110" s="2" t="s">
        <v>20</v>
      </c>
      <c r="Y110" s="2" t="s">
        <v>20</v>
      </c>
      <c r="Z110" s="2" t="s">
        <v>20</v>
      </c>
      <c r="AA110" s="2" t="s">
        <v>20</v>
      </c>
      <c r="AB110" s="2" t="s">
        <v>20</v>
      </c>
      <c r="AC110" s="2" t="s">
        <v>20</v>
      </c>
      <c r="AD110" s="2" t="s">
        <v>20</v>
      </c>
      <c r="AE110" s="2" t="s">
        <v>20</v>
      </c>
      <c r="AF110">
        <v>321.72956499999998</v>
      </c>
      <c r="AG110" s="2" t="s">
        <v>20</v>
      </c>
      <c r="AH110" s="2" t="s">
        <v>20</v>
      </c>
      <c r="AI110" s="2" t="s">
        <v>20</v>
      </c>
      <c r="AJ110" s="2" t="s">
        <v>20</v>
      </c>
      <c r="AK110" s="2" t="s">
        <v>20</v>
      </c>
      <c r="AL110" s="2" t="s">
        <v>20</v>
      </c>
      <c r="AM110" s="2" t="s">
        <v>20</v>
      </c>
      <c r="AN110" s="2" t="s">
        <v>20</v>
      </c>
      <c r="AO110" s="2" t="s">
        <v>20</v>
      </c>
      <c r="AP110" s="2" t="s">
        <v>20</v>
      </c>
      <c r="AQ110" s="2" t="s">
        <v>20</v>
      </c>
    </row>
    <row r="111" spans="2:43" x14ac:dyDescent="0.2">
      <c r="B111" s="3">
        <v>45929</v>
      </c>
      <c r="C111">
        <v>163.6847296</v>
      </c>
      <c r="D111">
        <v>59.019295999999997</v>
      </c>
      <c r="E111">
        <v>278.65295359999999</v>
      </c>
      <c r="F111">
        <v>84.921261599999994</v>
      </c>
      <c r="G111">
        <v>39.539516800000001</v>
      </c>
      <c r="H111">
        <v>158.50774799999999</v>
      </c>
      <c r="I111">
        <v>72.102475200000001</v>
      </c>
      <c r="J111">
        <v>264.92158560000001</v>
      </c>
      <c r="K111">
        <v>13.936059200000001</v>
      </c>
      <c r="L111">
        <v>47.479829600000002</v>
      </c>
      <c r="M111">
        <v>84.128083200000006</v>
      </c>
      <c r="N111">
        <v>12.8443728</v>
      </c>
      <c r="O111">
        <v>89.620630399999996</v>
      </c>
      <c r="P111">
        <v>77.1941688</v>
      </c>
      <c r="Q111">
        <v>25.074672</v>
      </c>
      <c r="R111">
        <v>31.658905600000001</v>
      </c>
      <c r="S111">
        <v>49.1770608</v>
      </c>
      <c r="T111">
        <v>21.108779999999999</v>
      </c>
      <c r="U111">
        <v>65.015042399999999</v>
      </c>
      <c r="V111">
        <v>21.6034504</v>
      </c>
      <c r="W111" s="3">
        <v>45854</v>
      </c>
      <c r="X111" s="2" t="s">
        <v>20</v>
      </c>
      <c r="Y111" s="2" t="s">
        <v>20</v>
      </c>
      <c r="Z111" s="2" t="s">
        <v>20</v>
      </c>
      <c r="AA111" s="2" t="s">
        <v>20</v>
      </c>
      <c r="AB111" s="2" t="s">
        <v>20</v>
      </c>
      <c r="AC111" s="2" t="s">
        <v>20</v>
      </c>
      <c r="AD111" s="2" t="s">
        <v>20</v>
      </c>
      <c r="AE111" s="2" t="s">
        <v>20</v>
      </c>
      <c r="AF111">
        <v>321.72956499999998</v>
      </c>
      <c r="AG111" s="2" t="s">
        <v>20</v>
      </c>
      <c r="AH111" s="2" t="s">
        <v>20</v>
      </c>
      <c r="AI111" s="2" t="s">
        <v>20</v>
      </c>
      <c r="AJ111" s="2" t="s">
        <v>20</v>
      </c>
      <c r="AK111" s="2" t="s">
        <v>20</v>
      </c>
      <c r="AL111" s="2" t="s">
        <v>20</v>
      </c>
      <c r="AM111" s="2" t="s">
        <v>20</v>
      </c>
      <c r="AN111" s="2" t="s">
        <v>20</v>
      </c>
      <c r="AO111" s="2" t="s">
        <v>20</v>
      </c>
      <c r="AP111" s="2" t="s">
        <v>20</v>
      </c>
      <c r="AQ111" s="2" t="s">
        <v>20</v>
      </c>
    </row>
    <row r="112" spans="2:43" x14ac:dyDescent="0.2">
      <c r="B112" s="3">
        <v>45930</v>
      </c>
      <c r="C112">
        <v>167.24682899999999</v>
      </c>
      <c r="D112">
        <v>59.652476999999998</v>
      </c>
      <c r="E112">
        <v>275.78723400000001</v>
      </c>
      <c r="F112">
        <v>83.499831</v>
      </c>
      <c r="G112">
        <v>40.859262000000001</v>
      </c>
      <c r="H112">
        <v>159.95114100000001</v>
      </c>
      <c r="I112">
        <v>71.857412999999994</v>
      </c>
      <c r="J112">
        <v>263.13057900000001</v>
      </c>
      <c r="K112">
        <v>13.832829</v>
      </c>
      <c r="L112">
        <v>49.501584000000001</v>
      </c>
      <c r="M112">
        <v>82.246949999999998</v>
      </c>
      <c r="N112">
        <v>12.852684</v>
      </c>
      <c r="O112">
        <v>90.863703000000001</v>
      </c>
      <c r="P112">
        <v>76.451310000000007</v>
      </c>
      <c r="Q112">
        <v>24.639993</v>
      </c>
      <c r="R112">
        <v>33.427205999999998</v>
      </c>
      <c r="S112">
        <v>48.368025000000003</v>
      </c>
      <c r="T112">
        <v>20.992149000000001</v>
      </c>
      <c r="U112">
        <v>64.570248000000007</v>
      </c>
      <c r="V112">
        <v>22.014908999999999</v>
      </c>
      <c r="W112" s="3">
        <v>45854</v>
      </c>
      <c r="X112" s="2" t="s">
        <v>20</v>
      </c>
      <c r="Y112" s="2" t="s">
        <v>20</v>
      </c>
      <c r="Z112" s="2" t="s">
        <v>20</v>
      </c>
      <c r="AA112" s="2" t="s">
        <v>20</v>
      </c>
      <c r="AB112" s="2" t="s">
        <v>20</v>
      </c>
      <c r="AC112" s="2" t="s">
        <v>20</v>
      </c>
      <c r="AD112" s="2" t="s">
        <v>20</v>
      </c>
      <c r="AE112" s="2" t="s">
        <v>20</v>
      </c>
      <c r="AF112">
        <v>321.72956499999998</v>
      </c>
      <c r="AG112" s="2" t="s">
        <v>20</v>
      </c>
      <c r="AH112" s="2" t="s">
        <v>20</v>
      </c>
      <c r="AI112" s="2" t="s">
        <v>20</v>
      </c>
      <c r="AJ112" s="2" t="s">
        <v>20</v>
      </c>
      <c r="AK112" s="2" t="s">
        <v>20</v>
      </c>
      <c r="AL112" s="2" t="s">
        <v>20</v>
      </c>
      <c r="AM112" s="2" t="s">
        <v>20</v>
      </c>
      <c r="AN112" s="2" t="s">
        <v>20</v>
      </c>
      <c r="AO112" s="2" t="s">
        <v>20</v>
      </c>
      <c r="AP112" s="2" t="s">
        <v>20</v>
      </c>
      <c r="AQ112" s="2" t="s">
        <v>20</v>
      </c>
    </row>
    <row r="113" spans="2:43" x14ac:dyDescent="0.2">
      <c r="B113" s="3">
        <v>45931</v>
      </c>
      <c r="C113">
        <v>166.1271615</v>
      </c>
      <c r="D113">
        <v>59.954128799999999</v>
      </c>
      <c r="E113">
        <v>269.43549180000002</v>
      </c>
      <c r="F113">
        <v>82.368719900000002</v>
      </c>
      <c r="G113">
        <v>44.667190099999999</v>
      </c>
      <c r="H113">
        <v>158.3771184</v>
      </c>
      <c r="I113">
        <v>73.280110500000006</v>
      </c>
      <c r="J113">
        <v>260.87548820000001</v>
      </c>
      <c r="K113">
        <v>13.5135515</v>
      </c>
      <c r="L113">
        <v>52.869105900000001</v>
      </c>
      <c r="M113">
        <v>79.418758499999996</v>
      </c>
      <c r="N113">
        <v>13.351559399999999</v>
      </c>
      <c r="O113">
        <v>90.408643600000005</v>
      </c>
      <c r="P113">
        <v>73.689353699999998</v>
      </c>
      <c r="Q113">
        <v>24.179452399999999</v>
      </c>
      <c r="R113">
        <v>33.327743099999999</v>
      </c>
      <c r="S113">
        <v>47.838824899999999</v>
      </c>
      <c r="T113">
        <v>20.6241521</v>
      </c>
      <c r="U113">
        <v>64.660425599999996</v>
      </c>
      <c r="V113">
        <v>23.531483999999999</v>
      </c>
      <c r="W113" s="3">
        <v>45854</v>
      </c>
      <c r="X113" s="2" t="s">
        <v>20</v>
      </c>
      <c r="Y113" s="2" t="s">
        <v>20</v>
      </c>
      <c r="Z113" s="2" t="s">
        <v>20</v>
      </c>
      <c r="AA113" s="2" t="s">
        <v>20</v>
      </c>
      <c r="AB113" s="2" t="s">
        <v>20</v>
      </c>
      <c r="AC113" s="2" t="s">
        <v>20</v>
      </c>
      <c r="AD113" s="2" t="s">
        <v>20</v>
      </c>
      <c r="AE113" s="2" t="s">
        <v>20</v>
      </c>
      <c r="AF113">
        <v>321.72956499999998</v>
      </c>
      <c r="AG113" s="2" t="s">
        <v>20</v>
      </c>
      <c r="AH113" s="2" t="s">
        <v>20</v>
      </c>
      <c r="AI113" s="2" t="s">
        <v>20</v>
      </c>
      <c r="AJ113" s="2" t="s">
        <v>20</v>
      </c>
      <c r="AK113" s="2" t="s">
        <v>20</v>
      </c>
      <c r="AL113" s="2" t="s">
        <v>20</v>
      </c>
      <c r="AM113" s="2" t="s">
        <v>20</v>
      </c>
      <c r="AN113" s="2" t="s">
        <v>20</v>
      </c>
      <c r="AO113" s="2" t="s">
        <v>20</v>
      </c>
      <c r="AP113" s="2" t="s">
        <v>20</v>
      </c>
      <c r="AQ113" s="2" t="s">
        <v>20</v>
      </c>
    </row>
    <row r="114" spans="2:43" x14ac:dyDescent="0.2">
      <c r="B114" s="3">
        <v>45932</v>
      </c>
      <c r="C114">
        <v>163.1211744</v>
      </c>
      <c r="D114">
        <v>59.407591199999999</v>
      </c>
      <c r="E114">
        <v>273.2715048</v>
      </c>
      <c r="F114">
        <v>82.474024799999995</v>
      </c>
      <c r="G114">
        <v>44.818199999999997</v>
      </c>
      <c r="H114">
        <v>157.93933680000001</v>
      </c>
      <c r="I114">
        <v>73.783562399999994</v>
      </c>
      <c r="J114">
        <v>266.52743279999999</v>
      </c>
      <c r="K114">
        <v>13.428386400000001</v>
      </c>
      <c r="L114">
        <v>53.0476752</v>
      </c>
      <c r="M114">
        <v>80.954474399999995</v>
      </c>
      <c r="N114">
        <v>13.3430184</v>
      </c>
      <c r="O114">
        <v>90.882772799999998</v>
      </c>
      <c r="P114">
        <v>76.694611199999997</v>
      </c>
      <c r="Q114">
        <v>24.628668000000001</v>
      </c>
      <c r="R114">
        <v>33.1825416</v>
      </c>
      <c r="S114">
        <v>48.728054399999998</v>
      </c>
      <c r="T114">
        <v>20.974917600000001</v>
      </c>
      <c r="U114">
        <v>66.595576800000003</v>
      </c>
      <c r="V114">
        <v>24.218901599999999</v>
      </c>
      <c r="W114" s="3">
        <v>45854</v>
      </c>
      <c r="X114" s="2" t="s">
        <v>20</v>
      </c>
      <c r="Y114" s="2" t="s">
        <v>20</v>
      </c>
      <c r="Z114" s="2" t="s">
        <v>20</v>
      </c>
      <c r="AA114" s="2" t="s">
        <v>20</v>
      </c>
      <c r="AB114" s="2" t="s">
        <v>20</v>
      </c>
      <c r="AC114" s="2" t="s">
        <v>20</v>
      </c>
      <c r="AD114" s="2" t="s">
        <v>20</v>
      </c>
      <c r="AE114" s="2" t="s">
        <v>20</v>
      </c>
      <c r="AF114">
        <v>321.72956499999998</v>
      </c>
      <c r="AG114" s="2" t="s">
        <v>20</v>
      </c>
      <c r="AH114" s="2" t="s">
        <v>20</v>
      </c>
      <c r="AI114" s="2" t="s">
        <v>20</v>
      </c>
      <c r="AJ114" s="2" t="s">
        <v>20</v>
      </c>
      <c r="AK114" s="2" t="s">
        <v>20</v>
      </c>
      <c r="AL114" s="2" t="s">
        <v>20</v>
      </c>
      <c r="AM114" s="2" t="s">
        <v>20</v>
      </c>
      <c r="AN114" s="2" t="s">
        <v>20</v>
      </c>
      <c r="AO114" s="2" t="s">
        <v>20</v>
      </c>
      <c r="AP114" s="2" t="s">
        <v>20</v>
      </c>
      <c r="AQ114" s="2" t="s">
        <v>20</v>
      </c>
    </row>
    <row r="115" spans="2:43" x14ac:dyDescent="0.2">
      <c r="B115" s="3">
        <v>45933</v>
      </c>
      <c r="C115">
        <v>161.18800999999999</v>
      </c>
      <c r="D115">
        <v>59.415987199999996</v>
      </c>
      <c r="E115">
        <v>267.48266599999999</v>
      </c>
      <c r="F115">
        <v>82.276151999999996</v>
      </c>
      <c r="G115">
        <v>44.255371199999999</v>
      </c>
      <c r="H115">
        <v>157.76409559999999</v>
      </c>
      <c r="I115">
        <v>73.980399199999994</v>
      </c>
      <c r="J115">
        <v>263.27942780000001</v>
      </c>
      <c r="K115">
        <v>13.4656932</v>
      </c>
      <c r="L115">
        <v>53.573188000000002</v>
      </c>
      <c r="M115">
        <v>81.194467599999996</v>
      </c>
      <c r="N115">
        <v>13.542348</v>
      </c>
      <c r="O115">
        <v>91.253280799999999</v>
      </c>
      <c r="P115">
        <v>76.731454799999995</v>
      </c>
      <c r="Q115">
        <v>24.3336404</v>
      </c>
      <c r="R115">
        <v>33.787732400000003</v>
      </c>
      <c r="S115">
        <v>48.7694872</v>
      </c>
      <c r="T115">
        <v>20.713830399999999</v>
      </c>
      <c r="U115">
        <v>66.059403200000006</v>
      </c>
      <c r="V115">
        <v>24.2655028</v>
      </c>
      <c r="W115" s="3">
        <v>45854</v>
      </c>
      <c r="X115" s="2" t="s">
        <v>20</v>
      </c>
      <c r="Y115" s="2" t="s">
        <v>20</v>
      </c>
      <c r="Z115" s="2" t="s">
        <v>20</v>
      </c>
      <c r="AA115" s="2" t="s">
        <v>20</v>
      </c>
      <c r="AB115" s="2" t="s">
        <v>20</v>
      </c>
      <c r="AC115" s="2" t="s">
        <v>20</v>
      </c>
      <c r="AD115" s="2" t="s">
        <v>20</v>
      </c>
      <c r="AE115" s="2" t="s">
        <v>20</v>
      </c>
      <c r="AF115">
        <v>321.72956499999998</v>
      </c>
      <c r="AG115" s="2" t="s">
        <v>20</v>
      </c>
      <c r="AH115" s="2" t="s">
        <v>20</v>
      </c>
      <c r="AI115" s="2" t="s">
        <v>20</v>
      </c>
      <c r="AJ115" s="2" t="s">
        <v>20</v>
      </c>
      <c r="AK115" s="2" t="s">
        <v>20</v>
      </c>
      <c r="AL115" s="2" t="s">
        <v>20</v>
      </c>
      <c r="AM115" s="2" t="s">
        <v>20</v>
      </c>
      <c r="AN115" s="2" t="s">
        <v>20</v>
      </c>
      <c r="AO115" s="2" t="s">
        <v>20</v>
      </c>
      <c r="AP115" s="2" t="s">
        <v>20</v>
      </c>
      <c r="AQ115" s="2" t="s">
        <v>20</v>
      </c>
    </row>
    <row r="116" spans="2:43" x14ac:dyDescent="0.2">
      <c r="B116" s="3">
        <v>45936</v>
      </c>
      <c r="C116">
        <v>162.67753920000001</v>
      </c>
      <c r="D116">
        <v>59.142270000000003</v>
      </c>
      <c r="E116">
        <v>270.98689200000001</v>
      </c>
      <c r="F116">
        <v>85.489403999999993</v>
      </c>
      <c r="G116">
        <v>46.647664800000001</v>
      </c>
      <c r="H116">
        <v>153.01834679999999</v>
      </c>
      <c r="I116">
        <v>75.591080399999996</v>
      </c>
      <c r="J116">
        <v>266.1957276</v>
      </c>
      <c r="K116">
        <v>13.3998876</v>
      </c>
      <c r="L116">
        <v>54.146135999999998</v>
      </c>
      <c r="M116">
        <v>82.901662799999997</v>
      </c>
      <c r="N116">
        <v>13.698801599999999</v>
      </c>
      <c r="O116">
        <v>90.613643999999994</v>
      </c>
      <c r="P116">
        <v>78.622922399999993</v>
      </c>
      <c r="Q116">
        <v>24.8440236</v>
      </c>
      <c r="R116">
        <v>34.4348928</v>
      </c>
      <c r="S116">
        <v>49.756370400000002</v>
      </c>
      <c r="T116">
        <v>20.582363999999998</v>
      </c>
      <c r="U116">
        <v>66.990897599999997</v>
      </c>
      <c r="V116">
        <v>23.520261600000001</v>
      </c>
      <c r="W116" s="3">
        <v>45854</v>
      </c>
      <c r="X116" s="2" t="s">
        <v>20</v>
      </c>
      <c r="Y116" s="2" t="s">
        <v>20</v>
      </c>
      <c r="Z116" s="2" t="s">
        <v>20</v>
      </c>
      <c r="AA116" s="2" t="s">
        <v>20</v>
      </c>
      <c r="AB116" s="2" t="s">
        <v>20</v>
      </c>
      <c r="AC116" s="2" t="s">
        <v>20</v>
      </c>
      <c r="AD116" s="2" t="s">
        <v>20</v>
      </c>
      <c r="AE116" s="2" t="s">
        <v>20</v>
      </c>
      <c r="AF116">
        <v>321.72956499999998</v>
      </c>
      <c r="AG116" s="2" t="s">
        <v>20</v>
      </c>
      <c r="AH116" s="2" t="s">
        <v>20</v>
      </c>
      <c r="AI116" s="2" t="s">
        <v>20</v>
      </c>
      <c r="AJ116" s="2" t="s">
        <v>20</v>
      </c>
      <c r="AK116" s="2" t="s">
        <v>20</v>
      </c>
      <c r="AL116" s="2" t="s">
        <v>20</v>
      </c>
      <c r="AM116" s="2" t="s">
        <v>20</v>
      </c>
      <c r="AN116" s="2" t="s">
        <v>20</v>
      </c>
      <c r="AO116" s="2" t="s">
        <v>20</v>
      </c>
      <c r="AP116" s="2" t="s">
        <v>20</v>
      </c>
      <c r="AQ116" s="2" t="s">
        <v>20</v>
      </c>
    </row>
    <row r="117" spans="2:43" x14ac:dyDescent="0.2">
      <c r="B117" s="3">
        <v>45937</v>
      </c>
      <c r="C117">
        <v>164.27268000000001</v>
      </c>
      <c r="D117">
        <v>59.073300000000003</v>
      </c>
      <c r="E117">
        <v>270.05549999999999</v>
      </c>
      <c r="F117">
        <v>83.912400000000005</v>
      </c>
      <c r="G117">
        <v>47.250059999999998</v>
      </c>
      <c r="H117">
        <v>153.51336000000001</v>
      </c>
      <c r="I117">
        <v>74.603099999999998</v>
      </c>
      <c r="J117">
        <v>268.94009999999997</v>
      </c>
      <c r="K117">
        <v>13.91676</v>
      </c>
      <c r="L117">
        <v>54.319980000000001</v>
      </c>
      <c r="M117">
        <v>82.925700000000006</v>
      </c>
      <c r="N117">
        <v>13.8996</v>
      </c>
      <c r="O117">
        <v>89.952719999999999</v>
      </c>
      <c r="P117">
        <v>78.910259999999994</v>
      </c>
      <c r="Q117">
        <v>24.633179999999999</v>
      </c>
      <c r="R117">
        <v>34.912019999999998</v>
      </c>
      <c r="S117">
        <v>48.588540000000002</v>
      </c>
      <c r="T117">
        <v>20.5062</v>
      </c>
      <c r="U117">
        <v>65.722800000000007</v>
      </c>
      <c r="V117">
        <v>23.457719999999998</v>
      </c>
      <c r="W117" s="3">
        <v>45854</v>
      </c>
      <c r="X117" s="2" t="s">
        <v>20</v>
      </c>
      <c r="Y117" s="2" t="s">
        <v>20</v>
      </c>
      <c r="Z117" s="2" t="s">
        <v>20</v>
      </c>
      <c r="AA117" s="2" t="s">
        <v>20</v>
      </c>
      <c r="AB117" s="2" t="s">
        <v>20</v>
      </c>
      <c r="AC117" s="2" t="s">
        <v>20</v>
      </c>
      <c r="AD117" s="2" t="s">
        <v>20</v>
      </c>
      <c r="AE117" s="2" t="s">
        <v>20</v>
      </c>
      <c r="AF117">
        <v>321.72956499999998</v>
      </c>
      <c r="AG117" s="2" t="s">
        <v>20</v>
      </c>
      <c r="AH117" s="2" t="s">
        <v>20</v>
      </c>
      <c r="AI117" s="2" t="s">
        <v>20</v>
      </c>
      <c r="AJ117" s="2" t="s">
        <v>20</v>
      </c>
      <c r="AK117" s="2" t="s">
        <v>20</v>
      </c>
      <c r="AL117" s="2" t="s">
        <v>20</v>
      </c>
      <c r="AM117" s="2" t="s">
        <v>20</v>
      </c>
      <c r="AN117" s="2" t="s">
        <v>20</v>
      </c>
      <c r="AO117" s="2" t="s">
        <v>20</v>
      </c>
      <c r="AP117" s="2" t="s">
        <v>20</v>
      </c>
      <c r="AQ117" s="2" t="s">
        <v>20</v>
      </c>
    </row>
    <row r="118" spans="2:43" x14ac:dyDescent="0.2">
      <c r="B118" s="3">
        <v>45938</v>
      </c>
      <c r="C118">
        <v>164.845831</v>
      </c>
      <c r="D118">
        <v>58.489519999999999</v>
      </c>
      <c r="E118">
        <v>265.1897634</v>
      </c>
      <c r="F118">
        <v>85.394699200000005</v>
      </c>
      <c r="G118">
        <v>50.473015199999999</v>
      </c>
      <c r="H118">
        <v>153.30275219999999</v>
      </c>
      <c r="I118">
        <v>76.036376000000004</v>
      </c>
      <c r="J118">
        <v>271.36556860000002</v>
      </c>
      <c r="K118">
        <v>13.831051199999999</v>
      </c>
      <c r="L118">
        <v>55.066162800000001</v>
      </c>
      <c r="M118">
        <v>84.371132599999996</v>
      </c>
      <c r="N118">
        <v>14.3815408</v>
      </c>
      <c r="O118">
        <v>89.454560000000001</v>
      </c>
      <c r="P118">
        <v>78.006096600000006</v>
      </c>
      <c r="Q118">
        <v>24.875248800000001</v>
      </c>
      <c r="R118">
        <v>36.856999000000002</v>
      </c>
      <c r="S118">
        <v>49.131196799999998</v>
      </c>
      <c r="T118">
        <v>20.368115199999998</v>
      </c>
      <c r="U118">
        <v>65.989940799999999</v>
      </c>
      <c r="V118">
        <v>24.0151088</v>
      </c>
      <c r="W118" s="3">
        <v>45854</v>
      </c>
      <c r="X118" s="2" t="s">
        <v>20</v>
      </c>
      <c r="Y118" s="2" t="s">
        <v>20</v>
      </c>
      <c r="Z118" s="2" t="s">
        <v>20</v>
      </c>
      <c r="AA118" s="2" t="s">
        <v>20</v>
      </c>
      <c r="AB118" s="2" t="s">
        <v>20</v>
      </c>
      <c r="AC118" s="2" t="s">
        <v>20</v>
      </c>
      <c r="AD118" s="2" t="s">
        <v>20</v>
      </c>
      <c r="AE118" s="2" t="s">
        <v>20</v>
      </c>
      <c r="AF118">
        <v>321.72956499999998</v>
      </c>
      <c r="AG118" s="2" t="s">
        <v>20</v>
      </c>
      <c r="AH118" s="2" t="s">
        <v>20</v>
      </c>
      <c r="AI118" s="2" t="s">
        <v>20</v>
      </c>
      <c r="AJ118" s="2" t="s">
        <v>20</v>
      </c>
      <c r="AK118" s="2" t="s">
        <v>20</v>
      </c>
      <c r="AL118" s="2" t="s">
        <v>20</v>
      </c>
      <c r="AM118" s="2" t="s">
        <v>20</v>
      </c>
      <c r="AN118" s="2" t="s">
        <v>20</v>
      </c>
      <c r="AO118" s="2" t="s">
        <v>20</v>
      </c>
      <c r="AP118" s="2" t="s">
        <v>20</v>
      </c>
      <c r="AQ118" s="2" t="s">
        <v>20</v>
      </c>
    </row>
    <row r="119" spans="2:43" x14ac:dyDescent="0.2">
      <c r="B119" s="3">
        <v>45939</v>
      </c>
      <c r="C119">
        <v>163.3058489</v>
      </c>
      <c r="D119">
        <v>58.540342699999997</v>
      </c>
      <c r="E119">
        <v>265.49416170000001</v>
      </c>
      <c r="F119">
        <v>83.023679999999999</v>
      </c>
      <c r="G119">
        <v>50.142843399999997</v>
      </c>
      <c r="H119">
        <v>154.6661972</v>
      </c>
      <c r="I119">
        <v>73.692164300000002</v>
      </c>
      <c r="J119">
        <v>277.07423540000002</v>
      </c>
      <c r="K119">
        <v>14.5637372</v>
      </c>
      <c r="L119">
        <v>55.850721399999998</v>
      </c>
      <c r="M119">
        <v>87.641872199999995</v>
      </c>
      <c r="N119">
        <v>14.0448392</v>
      </c>
      <c r="O119">
        <v>88.965062099999997</v>
      </c>
      <c r="P119">
        <v>76.6325863</v>
      </c>
      <c r="Q119">
        <v>24.6044135</v>
      </c>
      <c r="R119">
        <v>37.455787299999997</v>
      </c>
      <c r="S119">
        <v>51.517923099999997</v>
      </c>
      <c r="T119">
        <v>20.141890700000001</v>
      </c>
      <c r="U119">
        <v>65.294664999999995</v>
      </c>
      <c r="V119">
        <v>23.808769900000001</v>
      </c>
      <c r="W119" s="3">
        <v>45854</v>
      </c>
      <c r="X119" s="2" t="s">
        <v>20</v>
      </c>
      <c r="Y119" s="2" t="s">
        <v>20</v>
      </c>
      <c r="Z119" s="2" t="s">
        <v>20</v>
      </c>
      <c r="AA119" s="2" t="s">
        <v>20</v>
      </c>
      <c r="AB119" s="2" t="s">
        <v>20</v>
      </c>
      <c r="AC119" s="2" t="s">
        <v>20</v>
      </c>
      <c r="AD119" s="2" t="s">
        <v>20</v>
      </c>
      <c r="AE119" s="2" t="s">
        <v>20</v>
      </c>
      <c r="AF119">
        <v>321.72956499999998</v>
      </c>
      <c r="AG119" s="2" t="s">
        <v>20</v>
      </c>
      <c r="AH119" s="2" t="s">
        <v>20</v>
      </c>
      <c r="AI119" s="2" t="s">
        <v>20</v>
      </c>
      <c r="AJ119" s="2" t="s">
        <v>20</v>
      </c>
      <c r="AK119" s="2" t="s">
        <v>20</v>
      </c>
      <c r="AL119" s="2" t="s">
        <v>20</v>
      </c>
      <c r="AM119" s="2" t="s">
        <v>20</v>
      </c>
      <c r="AN119" s="2" t="s">
        <v>20</v>
      </c>
      <c r="AO119" s="2" t="s">
        <v>20</v>
      </c>
      <c r="AP119" s="2" t="s">
        <v>20</v>
      </c>
      <c r="AQ119" s="2" t="s">
        <v>20</v>
      </c>
    </row>
    <row r="120" spans="2:43" x14ac:dyDescent="0.2">
      <c r="B120" s="3">
        <v>45940</v>
      </c>
      <c r="C120">
        <v>158.45178569999999</v>
      </c>
      <c r="D120">
        <v>58.297242900000001</v>
      </c>
      <c r="E120">
        <v>262.19557259999999</v>
      </c>
      <c r="F120">
        <v>80.392182000000005</v>
      </c>
      <c r="G120">
        <v>45.498187799999997</v>
      </c>
      <c r="H120">
        <v>150.88596899999999</v>
      </c>
      <c r="I120">
        <v>73.282552199999998</v>
      </c>
      <c r="J120">
        <v>270.7167996</v>
      </c>
      <c r="K120">
        <v>14.3311545</v>
      </c>
      <c r="L120">
        <v>54.871537500000002</v>
      </c>
      <c r="M120">
        <v>83.206769100000002</v>
      </c>
      <c r="N120">
        <v>13.651177799999999</v>
      </c>
      <c r="O120">
        <v>87.682565100000005</v>
      </c>
      <c r="P120">
        <v>75.176158200000003</v>
      </c>
      <c r="Q120">
        <v>23.833613700000001</v>
      </c>
      <c r="R120">
        <v>35.186642399999997</v>
      </c>
      <c r="S120">
        <v>49.474760400000001</v>
      </c>
      <c r="T120">
        <v>19.3233885</v>
      </c>
      <c r="U120">
        <v>63.039865200000001</v>
      </c>
      <c r="V120">
        <v>23.093385900000001</v>
      </c>
      <c r="W120" s="3">
        <v>45854</v>
      </c>
      <c r="X120" s="2" t="s">
        <v>20</v>
      </c>
      <c r="Y120" s="2" t="s">
        <v>20</v>
      </c>
      <c r="Z120" s="2" t="s">
        <v>20</v>
      </c>
      <c r="AA120" s="2" t="s">
        <v>20</v>
      </c>
      <c r="AB120" s="2" t="s">
        <v>20</v>
      </c>
      <c r="AC120" s="2" t="s">
        <v>20</v>
      </c>
      <c r="AD120" s="2" t="s">
        <v>20</v>
      </c>
      <c r="AE120" s="2" t="s">
        <v>20</v>
      </c>
      <c r="AF120">
        <v>321.72956499999998</v>
      </c>
      <c r="AG120" s="2" t="s">
        <v>20</v>
      </c>
      <c r="AH120" s="2" t="s">
        <v>20</v>
      </c>
      <c r="AI120" s="2" t="s">
        <v>20</v>
      </c>
      <c r="AJ120" s="2" t="s">
        <v>20</v>
      </c>
      <c r="AK120" s="2" t="s">
        <v>20</v>
      </c>
      <c r="AL120" s="2" t="s">
        <v>20</v>
      </c>
      <c r="AM120" s="2" t="s">
        <v>20</v>
      </c>
      <c r="AN120" s="2" t="s">
        <v>20</v>
      </c>
      <c r="AO120" s="2" t="s">
        <v>20</v>
      </c>
      <c r="AP120" s="2" t="s">
        <v>20</v>
      </c>
      <c r="AQ120" s="2" t="s">
        <v>20</v>
      </c>
    </row>
    <row r="121" spans="2:43" x14ac:dyDescent="0.2">
      <c r="B121" s="3">
        <v>45943</v>
      </c>
      <c r="C121">
        <v>164.23685549999999</v>
      </c>
      <c r="D121">
        <v>58.307152500000001</v>
      </c>
      <c r="E121">
        <v>264.71187900000001</v>
      </c>
      <c r="F121">
        <v>81.327455999999998</v>
      </c>
      <c r="G121">
        <v>47.328637499999999</v>
      </c>
      <c r="H121">
        <v>152.575425</v>
      </c>
      <c r="I121">
        <v>77.281829999999999</v>
      </c>
      <c r="J121">
        <v>271.92139200000003</v>
      </c>
      <c r="K121">
        <v>14.021379</v>
      </c>
      <c r="L121">
        <v>55.160554500000003</v>
      </c>
      <c r="M121">
        <v>85.796662499999996</v>
      </c>
      <c r="N121">
        <v>13.8052665</v>
      </c>
      <c r="O121">
        <v>87.689807999999999</v>
      </c>
      <c r="P121">
        <v>76.253134500000002</v>
      </c>
      <c r="Q121">
        <v>24.282400500000001</v>
      </c>
      <c r="R121">
        <v>36.981171000000003</v>
      </c>
      <c r="S121">
        <v>50.760503999999997</v>
      </c>
      <c r="T121">
        <v>19.916927999999999</v>
      </c>
      <c r="U121">
        <v>63.796410000000002</v>
      </c>
      <c r="V121">
        <v>23.115393000000001</v>
      </c>
      <c r="W121" s="3">
        <v>45854</v>
      </c>
      <c r="X121" s="2" t="s">
        <v>20</v>
      </c>
      <c r="Y121" s="2" t="s">
        <v>20</v>
      </c>
      <c r="Z121" s="2" t="s">
        <v>20</v>
      </c>
      <c r="AA121" s="2" t="s">
        <v>20</v>
      </c>
      <c r="AB121" s="2" t="s">
        <v>20</v>
      </c>
      <c r="AC121" s="2" t="s">
        <v>20</v>
      </c>
      <c r="AD121" s="2" t="s">
        <v>20</v>
      </c>
      <c r="AE121" s="2" t="s">
        <v>20</v>
      </c>
      <c r="AF121">
        <v>321.72956499999998</v>
      </c>
      <c r="AG121" s="2" t="s">
        <v>20</v>
      </c>
      <c r="AH121" s="2" t="s">
        <v>20</v>
      </c>
      <c r="AI121" s="2" t="s">
        <v>20</v>
      </c>
      <c r="AJ121" s="2" t="s">
        <v>20</v>
      </c>
      <c r="AK121" s="2" t="s">
        <v>20</v>
      </c>
      <c r="AL121" s="2" t="s">
        <v>20</v>
      </c>
      <c r="AM121" s="2" t="s">
        <v>20</v>
      </c>
      <c r="AN121" s="2" t="s">
        <v>20</v>
      </c>
      <c r="AO121" s="2" t="s">
        <v>20</v>
      </c>
      <c r="AP121" s="2" t="s">
        <v>20</v>
      </c>
      <c r="AQ121" s="2" t="s">
        <v>20</v>
      </c>
    </row>
    <row r="122" spans="2:43" x14ac:dyDescent="0.2">
      <c r="B122" s="3">
        <v>45944</v>
      </c>
      <c r="C122">
        <v>166.33395100000001</v>
      </c>
      <c r="D122">
        <v>58.561132000000001</v>
      </c>
      <c r="E122">
        <v>270.45316200000002</v>
      </c>
      <c r="F122">
        <v>81.215225000000004</v>
      </c>
      <c r="G122">
        <v>45.764887000000002</v>
      </c>
      <c r="H122">
        <v>151.512711</v>
      </c>
      <c r="I122">
        <v>78.018317999999994</v>
      </c>
      <c r="J122">
        <v>274.27911</v>
      </c>
      <c r="K122">
        <v>13.916454999999999</v>
      </c>
      <c r="L122">
        <v>55.286672000000003</v>
      </c>
      <c r="M122">
        <v>88.884354999999999</v>
      </c>
      <c r="N122">
        <v>14.131880000000001</v>
      </c>
      <c r="O122">
        <v>87.884782999999999</v>
      </c>
      <c r="P122">
        <v>74.735241000000002</v>
      </c>
      <c r="Q122">
        <v>24.954832</v>
      </c>
      <c r="R122">
        <v>36.165548999999999</v>
      </c>
      <c r="S122">
        <v>52.796359000000002</v>
      </c>
      <c r="T122">
        <v>20.465375000000002</v>
      </c>
      <c r="U122">
        <v>63.843353</v>
      </c>
      <c r="V122">
        <v>22.619624999999999</v>
      </c>
      <c r="W122" s="3">
        <v>45854</v>
      </c>
      <c r="X122" s="2" t="s">
        <v>20</v>
      </c>
      <c r="Y122" s="2" t="s">
        <v>20</v>
      </c>
      <c r="Z122" s="2" t="s">
        <v>20</v>
      </c>
      <c r="AA122" s="2" t="s">
        <v>20</v>
      </c>
      <c r="AB122" s="2" t="s">
        <v>20</v>
      </c>
      <c r="AC122" s="2" t="s">
        <v>20</v>
      </c>
      <c r="AD122" s="2" t="s">
        <v>20</v>
      </c>
      <c r="AE122" s="2" t="s">
        <v>20</v>
      </c>
      <c r="AF122">
        <v>321.72956499999998</v>
      </c>
      <c r="AG122" s="2" t="s">
        <v>20</v>
      </c>
      <c r="AH122" s="2" t="s">
        <v>20</v>
      </c>
      <c r="AI122" s="2" t="s">
        <v>20</v>
      </c>
      <c r="AJ122" s="2" t="s">
        <v>20</v>
      </c>
      <c r="AK122" s="2" t="s">
        <v>20</v>
      </c>
      <c r="AL122" s="2" t="s">
        <v>20</v>
      </c>
      <c r="AM122" s="2" t="s">
        <v>20</v>
      </c>
      <c r="AN122" s="2" t="s">
        <v>20</v>
      </c>
      <c r="AO122" s="2" t="s">
        <v>20</v>
      </c>
      <c r="AP122" s="2" t="s">
        <v>20</v>
      </c>
      <c r="AQ122" s="2" t="s">
        <v>20</v>
      </c>
    </row>
    <row r="123" spans="2:43" x14ac:dyDescent="0.2">
      <c r="B123" s="3">
        <v>45945</v>
      </c>
      <c r="C123">
        <v>165.09455819999999</v>
      </c>
      <c r="D123">
        <v>59.153087399999997</v>
      </c>
      <c r="E123">
        <v>267.18064559999999</v>
      </c>
      <c r="F123">
        <v>81.160543200000006</v>
      </c>
      <c r="G123">
        <v>46.316120400000003</v>
      </c>
      <c r="H123">
        <v>153.1505976</v>
      </c>
      <c r="I123">
        <v>80.353402799999998</v>
      </c>
      <c r="J123">
        <v>268.28831700000001</v>
      </c>
      <c r="K123">
        <v>13.961811600000001</v>
      </c>
      <c r="L123">
        <v>54.937066799999997</v>
      </c>
      <c r="M123">
        <v>89.343573000000006</v>
      </c>
      <c r="N123">
        <v>14.3224488</v>
      </c>
      <c r="O123">
        <v>87.471694200000002</v>
      </c>
      <c r="P123">
        <v>73.363910399999995</v>
      </c>
      <c r="Q123">
        <v>24.7637544</v>
      </c>
      <c r="R123">
        <v>35.814708600000003</v>
      </c>
      <c r="S123">
        <v>52.979322000000003</v>
      </c>
      <c r="T123">
        <v>20.2472028</v>
      </c>
      <c r="U123">
        <v>63.257482199999998</v>
      </c>
      <c r="V123">
        <v>23.802055200000002</v>
      </c>
      <c r="W123" s="3">
        <v>45854</v>
      </c>
      <c r="X123" s="2" t="s">
        <v>20</v>
      </c>
      <c r="Y123" s="2" t="s">
        <v>20</v>
      </c>
      <c r="Z123" s="2" t="s">
        <v>20</v>
      </c>
      <c r="AA123" s="2" t="s">
        <v>20</v>
      </c>
      <c r="AB123" s="2" t="s">
        <v>20</v>
      </c>
      <c r="AC123" s="2" t="s">
        <v>20</v>
      </c>
      <c r="AD123" s="2" t="s">
        <v>20</v>
      </c>
      <c r="AE123" s="2" t="s">
        <v>20</v>
      </c>
      <c r="AF123">
        <v>321.72956499999998</v>
      </c>
      <c r="AG123" s="2" t="s">
        <v>20</v>
      </c>
      <c r="AH123" s="2" t="s">
        <v>20</v>
      </c>
      <c r="AI123" s="2" t="s">
        <v>20</v>
      </c>
      <c r="AJ123" s="2" t="s">
        <v>20</v>
      </c>
      <c r="AK123" s="2" t="s">
        <v>20</v>
      </c>
      <c r="AL123" s="2" t="s">
        <v>20</v>
      </c>
      <c r="AM123" s="2" t="s">
        <v>20</v>
      </c>
      <c r="AN123" s="2" t="s">
        <v>20</v>
      </c>
      <c r="AO123" s="2" t="s">
        <v>20</v>
      </c>
      <c r="AP123" s="2" t="s">
        <v>20</v>
      </c>
      <c r="AQ123" s="2" t="s">
        <v>20</v>
      </c>
    </row>
    <row r="124" spans="2:43" x14ac:dyDescent="0.2">
      <c r="B124" s="3">
        <v>45946</v>
      </c>
      <c r="C124">
        <v>164.01099199999999</v>
      </c>
      <c r="D124">
        <v>59.510457500000001</v>
      </c>
      <c r="E124">
        <v>255.42008150000001</v>
      </c>
      <c r="F124">
        <v>79.164738</v>
      </c>
      <c r="G124">
        <v>46.068196</v>
      </c>
      <c r="H124">
        <v>151.22758099999999</v>
      </c>
      <c r="I124">
        <v>84.084725500000005</v>
      </c>
      <c r="J124">
        <v>270.63353849999999</v>
      </c>
      <c r="K124">
        <v>12.073221500000001</v>
      </c>
      <c r="L124">
        <v>55.583024000000002</v>
      </c>
      <c r="M124">
        <v>84.016273499999997</v>
      </c>
      <c r="N124">
        <v>14.118225000000001</v>
      </c>
      <c r="O124">
        <v>87.199291500000001</v>
      </c>
      <c r="P124">
        <v>71.036062999999999</v>
      </c>
      <c r="Q124">
        <v>24.1378865</v>
      </c>
      <c r="R124">
        <v>35.680605</v>
      </c>
      <c r="S124">
        <v>51.681260000000002</v>
      </c>
      <c r="T124">
        <v>19.551602500000001</v>
      </c>
      <c r="U124">
        <v>62.428224</v>
      </c>
      <c r="V124">
        <v>23.222341</v>
      </c>
      <c r="W124" s="3">
        <v>45854</v>
      </c>
      <c r="X124" s="2" t="s">
        <v>20</v>
      </c>
      <c r="Y124" s="2" t="s">
        <v>20</v>
      </c>
      <c r="Z124" s="2" t="s">
        <v>20</v>
      </c>
      <c r="AA124" s="2" t="s">
        <v>20</v>
      </c>
      <c r="AB124" s="2" t="s">
        <v>20</v>
      </c>
      <c r="AC124" s="2" t="s">
        <v>20</v>
      </c>
      <c r="AD124" s="2" t="s">
        <v>20</v>
      </c>
      <c r="AE124" s="2" t="s">
        <v>20</v>
      </c>
      <c r="AF124">
        <v>321.72956499999998</v>
      </c>
      <c r="AG124" s="2" t="s">
        <v>20</v>
      </c>
      <c r="AH124" s="2" t="s">
        <v>20</v>
      </c>
      <c r="AI124" s="2" t="s">
        <v>20</v>
      </c>
      <c r="AJ124" s="2" t="s">
        <v>20</v>
      </c>
      <c r="AK124" s="2" t="s">
        <v>20</v>
      </c>
      <c r="AL124" s="2" t="s">
        <v>20</v>
      </c>
      <c r="AM124" s="2" t="s">
        <v>20</v>
      </c>
      <c r="AN124" s="2" t="s">
        <v>20</v>
      </c>
      <c r="AO124" s="2" t="s">
        <v>20</v>
      </c>
      <c r="AP124" s="2" t="s">
        <v>20</v>
      </c>
      <c r="AQ124" s="2" t="s">
        <v>20</v>
      </c>
    </row>
    <row r="125" spans="2:43" x14ac:dyDescent="0.2">
      <c r="B125" s="3">
        <v>45947</v>
      </c>
      <c r="C125">
        <v>162.80234400000001</v>
      </c>
      <c r="D125">
        <v>60.613146</v>
      </c>
      <c r="E125">
        <v>257.75607300000001</v>
      </c>
      <c r="F125">
        <v>79.221090000000004</v>
      </c>
      <c r="G125">
        <v>44.786093999999999</v>
      </c>
      <c r="H125">
        <v>152.854647</v>
      </c>
      <c r="I125">
        <v>77.907891000000006</v>
      </c>
      <c r="J125">
        <v>273.44579700000003</v>
      </c>
      <c r="K125">
        <v>13.123407</v>
      </c>
      <c r="L125">
        <v>55.798082999999998</v>
      </c>
      <c r="M125">
        <v>85.091862000000006</v>
      </c>
      <c r="N125">
        <v>14.093286000000001</v>
      </c>
      <c r="O125">
        <v>88.198908000000003</v>
      </c>
      <c r="P125">
        <v>71.676632999999995</v>
      </c>
      <c r="Q125">
        <v>24.298473000000001</v>
      </c>
      <c r="R125">
        <v>35.344794</v>
      </c>
      <c r="S125">
        <v>51.189011999999998</v>
      </c>
      <c r="T125">
        <v>19.689402000000001</v>
      </c>
      <c r="U125">
        <v>62.535738000000002</v>
      </c>
      <c r="V125">
        <v>22.324383000000001</v>
      </c>
      <c r="W125" s="3">
        <v>45854</v>
      </c>
      <c r="X125" s="2" t="s">
        <v>20</v>
      </c>
      <c r="Y125" s="2" t="s">
        <v>20</v>
      </c>
      <c r="Z125" s="2" t="s">
        <v>20</v>
      </c>
      <c r="AA125" s="2" t="s">
        <v>20</v>
      </c>
      <c r="AB125" s="2" t="s">
        <v>20</v>
      </c>
      <c r="AC125" s="2" t="s">
        <v>20</v>
      </c>
      <c r="AD125" s="2" t="s">
        <v>20</v>
      </c>
      <c r="AE125" s="2" t="s">
        <v>20</v>
      </c>
      <c r="AF125">
        <v>321.72956499999998</v>
      </c>
      <c r="AG125" s="2" t="s">
        <v>20</v>
      </c>
      <c r="AH125" s="2" t="s">
        <v>20</v>
      </c>
      <c r="AI125" s="2" t="s">
        <v>20</v>
      </c>
      <c r="AJ125" s="2" t="s">
        <v>20</v>
      </c>
      <c r="AK125" s="2" t="s">
        <v>20</v>
      </c>
      <c r="AL125" s="2" t="s">
        <v>20</v>
      </c>
      <c r="AM125" s="2" t="s">
        <v>20</v>
      </c>
      <c r="AN125" s="2" t="s">
        <v>20</v>
      </c>
      <c r="AO125" s="2" t="s">
        <v>20</v>
      </c>
      <c r="AP125" s="2" t="s">
        <v>20</v>
      </c>
      <c r="AQ125" s="2" t="s">
        <v>20</v>
      </c>
    </row>
    <row r="126" spans="2:43" x14ac:dyDescent="0.2">
      <c r="B126" s="3">
        <v>45950</v>
      </c>
      <c r="C126">
        <v>165.39585719999999</v>
      </c>
      <c r="D126">
        <v>61.426364999999997</v>
      </c>
      <c r="E126">
        <v>260.17287240000002</v>
      </c>
      <c r="F126">
        <v>80.498607000000007</v>
      </c>
      <c r="G126">
        <v>47.285414400000001</v>
      </c>
      <c r="H126">
        <v>153.3253617</v>
      </c>
      <c r="I126">
        <v>81.520947899999996</v>
      </c>
      <c r="J126">
        <v>280.80010349999998</v>
      </c>
      <c r="K126">
        <v>12.8522856</v>
      </c>
      <c r="L126">
        <v>56.417753699999999</v>
      </c>
      <c r="M126">
        <v>87.0192519</v>
      </c>
      <c r="N126">
        <v>14.329954799999999</v>
      </c>
      <c r="O126">
        <v>89.330257799999998</v>
      </c>
      <c r="P126">
        <v>72.105102299999999</v>
      </c>
      <c r="Q126">
        <v>24.793914600000001</v>
      </c>
      <c r="R126">
        <v>36.245850900000001</v>
      </c>
      <c r="S126">
        <v>53.050042500000004</v>
      </c>
      <c r="T126">
        <v>19.974307499999998</v>
      </c>
      <c r="U126">
        <v>63.788917499999997</v>
      </c>
      <c r="V126">
        <v>23.402156399999999</v>
      </c>
      <c r="W126" s="3">
        <v>45854</v>
      </c>
      <c r="X126" s="2" t="s">
        <v>20</v>
      </c>
      <c r="Y126" s="2" t="s">
        <v>20</v>
      </c>
      <c r="Z126" s="2" t="s">
        <v>20</v>
      </c>
      <c r="AA126" s="2" t="s">
        <v>20</v>
      </c>
      <c r="AB126" s="2" t="s">
        <v>20</v>
      </c>
      <c r="AC126" s="2" t="s">
        <v>20</v>
      </c>
      <c r="AD126" s="2" t="s">
        <v>20</v>
      </c>
      <c r="AE126" s="2" t="s">
        <v>20</v>
      </c>
      <c r="AF126">
        <v>321.72956499999998</v>
      </c>
      <c r="AG126" s="2" t="s">
        <v>20</v>
      </c>
      <c r="AH126" s="2" t="s">
        <v>20</v>
      </c>
      <c r="AI126" s="2" t="s">
        <v>20</v>
      </c>
      <c r="AJ126" s="2" t="s">
        <v>20</v>
      </c>
      <c r="AK126" s="2" t="s">
        <v>20</v>
      </c>
      <c r="AL126" s="2" t="s">
        <v>20</v>
      </c>
      <c r="AM126" s="2" t="s">
        <v>20</v>
      </c>
      <c r="AN126" s="2" t="s">
        <v>20</v>
      </c>
      <c r="AO126" s="2" t="s">
        <v>20</v>
      </c>
      <c r="AP126" s="2" t="s">
        <v>20</v>
      </c>
      <c r="AQ126" s="2" t="s">
        <v>20</v>
      </c>
    </row>
    <row r="127" spans="2:43" x14ac:dyDescent="0.2">
      <c r="B127" s="3">
        <v>45951</v>
      </c>
      <c r="C127">
        <v>170.0125396</v>
      </c>
      <c r="D127">
        <v>60.5623328</v>
      </c>
      <c r="E127">
        <v>273.13405160000002</v>
      </c>
      <c r="F127">
        <v>80.212326599999997</v>
      </c>
      <c r="G127">
        <v>47.266900399999997</v>
      </c>
      <c r="H127">
        <v>154.0959584</v>
      </c>
      <c r="I127">
        <v>74.4268304</v>
      </c>
      <c r="J127">
        <v>283.64451339999999</v>
      </c>
      <c r="K127">
        <v>12.8729446</v>
      </c>
      <c r="L127">
        <v>55.742522999999998</v>
      </c>
      <c r="M127">
        <v>86.316844200000006</v>
      </c>
      <c r="N127">
        <v>14.442185</v>
      </c>
      <c r="O127">
        <v>89.489813799999993</v>
      </c>
      <c r="P127">
        <v>71.814303800000005</v>
      </c>
      <c r="Q127">
        <v>25.840733400000001</v>
      </c>
      <c r="R127">
        <v>35.618308200000001</v>
      </c>
      <c r="S127">
        <v>53.733550399999999</v>
      </c>
      <c r="T127">
        <v>20.624302400000001</v>
      </c>
      <c r="U127">
        <v>65.6408086</v>
      </c>
      <c r="V127">
        <v>23.702427799999999</v>
      </c>
      <c r="W127" s="3">
        <v>45854</v>
      </c>
      <c r="X127" s="2" t="s">
        <v>20</v>
      </c>
      <c r="Y127" s="2" t="s">
        <v>20</v>
      </c>
      <c r="Z127" s="2" t="s">
        <v>20</v>
      </c>
      <c r="AA127" s="2" t="s">
        <v>20</v>
      </c>
      <c r="AB127" s="2" t="s">
        <v>20</v>
      </c>
      <c r="AC127" s="2" t="s">
        <v>20</v>
      </c>
      <c r="AD127" s="2" t="s">
        <v>20</v>
      </c>
      <c r="AE127" s="2" t="s">
        <v>20</v>
      </c>
      <c r="AF127">
        <v>321.72956499999998</v>
      </c>
      <c r="AG127" s="2" t="s">
        <v>20</v>
      </c>
      <c r="AH127" s="2" t="s">
        <v>20</v>
      </c>
      <c r="AI127" s="2" t="s">
        <v>20</v>
      </c>
      <c r="AJ127" s="2" t="s">
        <v>20</v>
      </c>
      <c r="AK127" s="2" t="s">
        <v>20</v>
      </c>
      <c r="AL127" s="2" t="s">
        <v>20</v>
      </c>
      <c r="AM127" s="2" t="s">
        <v>20</v>
      </c>
      <c r="AN127" s="2" t="s">
        <v>20</v>
      </c>
      <c r="AO127" s="2" t="s">
        <v>20</v>
      </c>
      <c r="AP127" s="2" t="s">
        <v>20</v>
      </c>
      <c r="AQ127" s="2" t="s">
        <v>20</v>
      </c>
    </row>
    <row r="128" spans="2:43" x14ac:dyDescent="0.2">
      <c r="B128" s="3">
        <v>45952</v>
      </c>
      <c r="C128">
        <v>164.71213589999999</v>
      </c>
      <c r="D128">
        <v>60.689311799999999</v>
      </c>
      <c r="E128">
        <v>273.88571339999999</v>
      </c>
      <c r="F128">
        <v>79.423239300000006</v>
      </c>
      <c r="G128">
        <v>45.219825</v>
      </c>
      <c r="H128">
        <v>155.02217340000001</v>
      </c>
      <c r="I128">
        <v>74.944323299999994</v>
      </c>
      <c r="J128">
        <v>283.56706259999999</v>
      </c>
      <c r="K128">
        <v>13.0836027</v>
      </c>
      <c r="L128">
        <v>55.771117500000003</v>
      </c>
      <c r="M128">
        <v>82.920239100000003</v>
      </c>
      <c r="N128">
        <v>14.2808514</v>
      </c>
      <c r="O128">
        <v>89.406053999999997</v>
      </c>
      <c r="P128">
        <v>74.014086899999995</v>
      </c>
      <c r="Q128">
        <v>25.8399</v>
      </c>
      <c r="R128">
        <v>35.125037399999997</v>
      </c>
      <c r="S128">
        <v>51.6798</v>
      </c>
      <c r="T128">
        <v>20.3532279</v>
      </c>
      <c r="U128">
        <v>64.349964299999996</v>
      </c>
      <c r="V128">
        <v>23.126710500000002</v>
      </c>
      <c r="W128" s="3">
        <v>45854</v>
      </c>
      <c r="X128" s="2" t="s">
        <v>20</v>
      </c>
      <c r="Y128" s="2" t="s">
        <v>20</v>
      </c>
      <c r="Z128" s="2" t="s">
        <v>20</v>
      </c>
      <c r="AA128" s="2" t="s">
        <v>20</v>
      </c>
      <c r="AB128" s="2" t="s">
        <v>20</v>
      </c>
      <c r="AC128" s="2" t="s">
        <v>20</v>
      </c>
      <c r="AD128" s="2" t="s">
        <v>20</v>
      </c>
      <c r="AE128" s="2" t="s">
        <v>20</v>
      </c>
      <c r="AF128">
        <v>321.72956499999998</v>
      </c>
      <c r="AG128" s="2" t="s">
        <v>20</v>
      </c>
      <c r="AH128" s="2" t="s">
        <v>20</v>
      </c>
      <c r="AI128" s="2" t="s">
        <v>20</v>
      </c>
      <c r="AJ128" s="2" t="s">
        <v>20</v>
      </c>
      <c r="AK128" s="2" t="s">
        <v>20</v>
      </c>
      <c r="AL128" s="2" t="s">
        <v>20</v>
      </c>
      <c r="AM128" s="2" t="s">
        <v>20</v>
      </c>
      <c r="AN128" s="2" t="s">
        <v>20</v>
      </c>
      <c r="AO128" s="2" t="s">
        <v>20</v>
      </c>
      <c r="AP128" s="2" t="s">
        <v>20</v>
      </c>
      <c r="AQ128" s="2" t="s">
        <v>20</v>
      </c>
    </row>
    <row r="129" spans="2:43" x14ac:dyDescent="0.2">
      <c r="B129" s="3">
        <v>45953</v>
      </c>
      <c r="C129">
        <v>172.24808100000001</v>
      </c>
      <c r="D129">
        <v>60.222267600000002</v>
      </c>
      <c r="E129">
        <v>272.77347279999998</v>
      </c>
      <c r="F129">
        <v>81.441234100000003</v>
      </c>
      <c r="G129">
        <v>41.2500152</v>
      </c>
      <c r="H129">
        <v>153.83535509999999</v>
      </c>
      <c r="I129">
        <v>76.534617100000006</v>
      </c>
      <c r="J129">
        <v>278.43760259999999</v>
      </c>
      <c r="K129">
        <v>12.989622900000001</v>
      </c>
      <c r="L129">
        <v>56.090379599999999</v>
      </c>
      <c r="M129">
        <v>82.3623008</v>
      </c>
      <c r="N129">
        <v>14.031203</v>
      </c>
      <c r="O129">
        <v>90.273144700000003</v>
      </c>
      <c r="P129">
        <v>74.830213299999997</v>
      </c>
      <c r="Q129">
        <v>25.342246400000001</v>
      </c>
      <c r="R129">
        <v>35.491196299999999</v>
      </c>
      <c r="S129">
        <v>50.589803699999997</v>
      </c>
      <c r="T129">
        <v>20.2118188</v>
      </c>
      <c r="U129">
        <v>64.225034100000002</v>
      </c>
      <c r="V129">
        <v>22.596262500000002</v>
      </c>
      <c r="W129" s="3">
        <v>45854</v>
      </c>
      <c r="X129" s="2" t="s">
        <v>20</v>
      </c>
      <c r="Y129" s="2" t="s">
        <v>20</v>
      </c>
      <c r="Z129" s="2" t="s">
        <v>20</v>
      </c>
      <c r="AA129" s="2" t="s">
        <v>20</v>
      </c>
      <c r="AB129" s="2" t="s">
        <v>20</v>
      </c>
      <c r="AC129" s="2" t="s">
        <v>20</v>
      </c>
      <c r="AD129" s="2" t="s">
        <v>20</v>
      </c>
      <c r="AE129" s="2" t="s">
        <v>20</v>
      </c>
      <c r="AF129">
        <v>321.72956499999998</v>
      </c>
      <c r="AG129" s="2" t="s">
        <v>20</v>
      </c>
      <c r="AH129" s="2" t="s">
        <v>20</v>
      </c>
      <c r="AI129" s="2" t="s">
        <v>20</v>
      </c>
      <c r="AJ129" s="2" t="s">
        <v>20</v>
      </c>
      <c r="AK129" s="2" t="s">
        <v>20</v>
      </c>
      <c r="AL129" s="2" t="s">
        <v>20</v>
      </c>
      <c r="AM129" s="2" t="s">
        <v>20</v>
      </c>
      <c r="AN129" s="2" t="s">
        <v>20</v>
      </c>
      <c r="AO129" s="2" t="s">
        <v>20</v>
      </c>
      <c r="AP129" s="2" t="s">
        <v>20</v>
      </c>
      <c r="AQ129" s="2" t="s">
        <v>20</v>
      </c>
    </row>
    <row r="130" spans="2:43" x14ac:dyDescent="0.2">
      <c r="B130" s="3">
        <v>45954</v>
      </c>
      <c r="C130">
        <v>170.76227220000001</v>
      </c>
      <c r="D130">
        <v>60.550885800000003</v>
      </c>
      <c r="E130">
        <v>272.21661899999998</v>
      </c>
      <c r="F130">
        <v>80.920895400000006</v>
      </c>
      <c r="G130">
        <v>41.5400238</v>
      </c>
      <c r="H130">
        <v>153.19657979999999</v>
      </c>
      <c r="I130">
        <v>71.716541399999997</v>
      </c>
      <c r="J130">
        <v>276.05320019999999</v>
      </c>
      <c r="K130">
        <v>12.9033</v>
      </c>
      <c r="L130">
        <v>57.101403599999998</v>
      </c>
      <c r="M130">
        <v>85.428448200000005</v>
      </c>
      <c r="N130">
        <v>14.107608000000001</v>
      </c>
      <c r="O130">
        <v>90.022023000000004</v>
      </c>
      <c r="P130">
        <v>74.383223400000006</v>
      </c>
      <c r="Q130">
        <v>25.290468000000001</v>
      </c>
      <c r="R130">
        <v>35.587301400000001</v>
      </c>
      <c r="S130">
        <v>52.430408999999997</v>
      </c>
      <c r="T130">
        <v>20.189363400000001</v>
      </c>
      <c r="U130">
        <v>64.559511000000001</v>
      </c>
      <c r="V130">
        <v>23.0022828</v>
      </c>
      <c r="W130" s="3">
        <v>45854</v>
      </c>
      <c r="X130" s="2" t="s">
        <v>20</v>
      </c>
      <c r="Y130" s="2" t="s">
        <v>20</v>
      </c>
      <c r="Z130" s="2" t="s">
        <v>20</v>
      </c>
      <c r="AA130" s="2" t="s">
        <v>20</v>
      </c>
      <c r="AB130" s="2" t="s">
        <v>20</v>
      </c>
      <c r="AC130" s="2" t="s">
        <v>20</v>
      </c>
      <c r="AD130" s="2" t="s">
        <v>20</v>
      </c>
      <c r="AE130" s="2" t="s">
        <v>20</v>
      </c>
      <c r="AF130">
        <v>321.72956499999998</v>
      </c>
      <c r="AG130" s="2" t="s">
        <v>20</v>
      </c>
      <c r="AH130" s="2" t="s">
        <v>20</v>
      </c>
      <c r="AI130" s="2" t="s">
        <v>20</v>
      </c>
      <c r="AJ130" s="2" t="s">
        <v>20</v>
      </c>
      <c r="AK130" s="2" t="s">
        <v>20</v>
      </c>
      <c r="AL130" s="2" t="s">
        <v>20</v>
      </c>
      <c r="AM130" s="2" t="s">
        <v>20</v>
      </c>
      <c r="AN130" s="2" t="s">
        <v>20</v>
      </c>
      <c r="AO130" s="2" t="s">
        <v>20</v>
      </c>
      <c r="AP130" s="2" t="s">
        <v>20</v>
      </c>
      <c r="AQ130" s="2" t="s">
        <v>20</v>
      </c>
    </row>
    <row r="131" spans="2:43" x14ac:dyDescent="0.2">
      <c r="B131" s="3">
        <v>45957</v>
      </c>
      <c r="C131">
        <v>173.35835760000001</v>
      </c>
      <c r="D131">
        <v>61.453579499999996</v>
      </c>
      <c r="E131">
        <v>275.06811140000002</v>
      </c>
      <c r="F131">
        <v>82.814173800000006</v>
      </c>
      <c r="G131">
        <v>44.292957299999998</v>
      </c>
      <c r="H131">
        <v>154.4112442</v>
      </c>
      <c r="I131">
        <v>67.534520700000002</v>
      </c>
      <c r="J131">
        <v>279.82636200000002</v>
      </c>
      <c r="K131">
        <v>12.952061199999999</v>
      </c>
      <c r="L131">
        <v>57.176307299999998</v>
      </c>
      <c r="M131">
        <v>84.858332000000004</v>
      </c>
      <c r="N131">
        <v>14.1115627</v>
      </c>
      <c r="O131">
        <v>89.427626799999999</v>
      </c>
      <c r="P131">
        <v>74.199507100000005</v>
      </c>
      <c r="Q131">
        <v>25.2685438</v>
      </c>
      <c r="R131">
        <v>35.300379</v>
      </c>
      <c r="S131">
        <v>51.919900499999997</v>
      </c>
      <c r="T131">
        <v>20.192503899999998</v>
      </c>
      <c r="U131">
        <v>64.837606100000002</v>
      </c>
      <c r="V131">
        <v>22.898007400000001</v>
      </c>
      <c r="W131" s="3">
        <v>45854</v>
      </c>
      <c r="X131" s="2" t="s">
        <v>20</v>
      </c>
      <c r="Y131" s="2" t="s">
        <v>20</v>
      </c>
      <c r="Z131" s="2" t="s">
        <v>20</v>
      </c>
      <c r="AA131" s="2" t="s">
        <v>20</v>
      </c>
      <c r="AB131" s="2" t="s">
        <v>20</v>
      </c>
      <c r="AC131" s="2" t="s">
        <v>20</v>
      </c>
      <c r="AD131" s="2" t="s">
        <v>20</v>
      </c>
      <c r="AE131" s="2" t="s">
        <v>20</v>
      </c>
      <c r="AF131">
        <v>321.72956499999998</v>
      </c>
      <c r="AG131" s="2" t="s">
        <v>20</v>
      </c>
      <c r="AH131" s="2" t="s">
        <v>20</v>
      </c>
      <c r="AI131" s="2" t="s">
        <v>20</v>
      </c>
      <c r="AJ131" s="2" t="s">
        <v>20</v>
      </c>
      <c r="AK131" s="2" t="s">
        <v>20</v>
      </c>
      <c r="AL131" s="2" t="s">
        <v>20</v>
      </c>
      <c r="AM131" s="2" t="s">
        <v>20</v>
      </c>
      <c r="AN131" s="2" t="s">
        <v>20</v>
      </c>
      <c r="AO131" s="2" t="s">
        <v>20</v>
      </c>
      <c r="AP131" s="2" t="s">
        <v>20</v>
      </c>
      <c r="AQ131" s="2" t="s">
        <v>20</v>
      </c>
    </row>
    <row r="132" spans="2:43" x14ac:dyDescent="0.2">
      <c r="B132" s="3">
        <v>45958</v>
      </c>
      <c r="C132">
        <v>172.5667048</v>
      </c>
      <c r="D132">
        <v>60.128818500000001</v>
      </c>
      <c r="E132">
        <v>251.45949150000001</v>
      </c>
      <c r="F132">
        <v>81.914249100000006</v>
      </c>
      <c r="G132">
        <v>44.944253199999999</v>
      </c>
      <c r="H132">
        <v>151.73406489999999</v>
      </c>
      <c r="I132">
        <v>68.103075799999999</v>
      </c>
      <c r="J132">
        <v>278.40372580000002</v>
      </c>
      <c r="K132">
        <v>12.454948699999999</v>
      </c>
      <c r="L132">
        <v>56.2833209</v>
      </c>
      <c r="M132">
        <v>81.493647800000005</v>
      </c>
      <c r="N132">
        <v>13.836924399999999</v>
      </c>
      <c r="O132">
        <v>88.008676100000002</v>
      </c>
      <c r="P132">
        <v>73.905657000000005</v>
      </c>
      <c r="Q132">
        <v>23.914188200000002</v>
      </c>
      <c r="R132">
        <v>35.339092899999997</v>
      </c>
      <c r="S132">
        <v>49.665288199999999</v>
      </c>
      <c r="T132">
        <v>19.184569499999998</v>
      </c>
      <c r="U132">
        <v>65.021527500000005</v>
      </c>
      <c r="V132">
        <v>21.759679500000001</v>
      </c>
      <c r="W132" s="3">
        <v>45854</v>
      </c>
      <c r="X132" s="2" t="s">
        <v>20</v>
      </c>
      <c r="Y132" s="2" t="s">
        <v>20</v>
      </c>
      <c r="Z132" s="2" t="s">
        <v>20</v>
      </c>
      <c r="AA132" s="2" t="s">
        <v>20</v>
      </c>
      <c r="AB132" s="2" t="s">
        <v>20</v>
      </c>
      <c r="AC132" s="2" t="s">
        <v>20</v>
      </c>
      <c r="AD132" s="2" t="s">
        <v>20</v>
      </c>
      <c r="AE132" s="2" t="s">
        <v>20</v>
      </c>
      <c r="AF132">
        <v>321.72956499999998</v>
      </c>
      <c r="AG132" s="2" t="s">
        <v>20</v>
      </c>
      <c r="AH132" s="2" t="s">
        <v>20</v>
      </c>
      <c r="AI132" s="2" t="s">
        <v>20</v>
      </c>
      <c r="AJ132" s="2" t="s">
        <v>20</v>
      </c>
      <c r="AK132" s="2" t="s">
        <v>20</v>
      </c>
      <c r="AL132" s="2" t="s">
        <v>20</v>
      </c>
      <c r="AM132" s="2" t="s">
        <v>20</v>
      </c>
      <c r="AN132" s="2" t="s">
        <v>20</v>
      </c>
      <c r="AO132" s="2" t="s">
        <v>20</v>
      </c>
      <c r="AP132" s="2" t="s">
        <v>20</v>
      </c>
      <c r="AQ132" s="2" t="s">
        <v>20</v>
      </c>
    </row>
    <row r="133" spans="2:43" x14ac:dyDescent="0.2">
      <c r="B133" s="3">
        <v>45959</v>
      </c>
      <c r="C133">
        <v>175.42824719999999</v>
      </c>
      <c r="D133">
        <v>60.1601292</v>
      </c>
      <c r="E133">
        <v>241.442307</v>
      </c>
      <c r="F133">
        <v>82.558526400000005</v>
      </c>
      <c r="G133">
        <v>45.426156599999999</v>
      </c>
      <c r="H133">
        <v>149.70198959999999</v>
      </c>
      <c r="I133">
        <v>68.6866938</v>
      </c>
      <c r="J133">
        <v>272.58280380000002</v>
      </c>
      <c r="K133">
        <v>12.337223399999999</v>
      </c>
      <c r="L133">
        <v>54.470005200000003</v>
      </c>
      <c r="M133">
        <v>82.705090200000001</v>
      </c>
      <c r="N133">
        <v>13.5873264</v>
      </c>
      <c r="O133">
        <v>85.782929999999993</v>
      </c>
      <c r="P133">
        <v>72.549081000000001</v>
      </c>
      <c r="Q133">
        <v>24.027841800000001</v>
      </c>
      <c r="R133">
        <v>36.373686599999999</v>
      </c>
      <c r="S133">
        <v>50.659346399999997</v>
      </c>
      <c r="T133">
        <v>19.156750800000001</v>
      </c>
      <c r="U133">
        <v>62.944841400000001</v>
      </c>
      <c r="V133">
        <v>21.294858000000001</v>
      </c>
      <c r="W133" s="3">
        <v>45854</v>
      </c>
      <c r="X133" s="2" t="s">
        <v>20</v>
      </c>
      <c r="Y133" s="2" t="s">
        <v>20</v>
      </c>
      <c r="Z133" s="2" t="s">
        <v>20</v>
      </c>
      <c r="AA133" s="2" t="s">
        <v>20</v>
      </c>
      <c r="AB133" s="2" t="s">
        <v>20</v>
      </c>
      <c r="AC133" s="2" t="s">
        <v>20</v>
      </c>
      <c r="AD133" s="2" t="s">
        <v>20</v>
      </c>
      <c r="AE133" s="2" t="s">
        <v>20</v>
      </c>
      <c r="AF133">
        <v>321.72956499999998</v>
      </c>
      <c r="AG133" s="2" t="s">
        <v>20</v>
      </c>
      <c r="AH133" s="2" t="s">
        <v>20</v>
      </c>
      <c r="AI133" s="2" t="s">
        <v>20</v>
      </c>
      <c r="AJ133" s="2" t="s">
        <v>20</v>
      </c>
      <c r="AK133" s="2" t="s">
        <v>20</v>
      </c>
      <c r="AL133" s="2" t="s">
        <v>20</v>
      </c>
      <c r="AM133" s="2" t="s">
        <v>20</v>
      </c>
      <c r="AN133" s="2" t="s">
        <v>20</v>
      </c>
      <c r="AO133" s="2" t="s">
        <v>20</v>
      </c>
      <c r="AP133" s="2" t="s">
        <v>20</v>
      </c>
      <c r="AQ133" s="2" t="s">
        <v>20</v>
      </c>
    </row>
    <row r="134" spans="2:43" x14ac:dyDescent="0.2">
      <c r="B134" s="3">
        <v>45960</v>
      </c>
      <c r="C134">
        <v>174.4664836</v>
      </c>
      <c r="D134">
        <v>64.297604800000002</v>
      </c>
      <c r="E134">
        <v>246.0274004</v>
      </c>
      <c r="F134">
        <v>83.432973200000006</v>
      </c>
      <c r="G134">
        <v>43.553931599999999</v>
      </c>
      <c r="H134">
        <v>149.892278</v>
      </c>
      <c r="I134">
        <v>71.171810800000003</v>
      </c>
      <c r="J134">
        <v>269.73692599999998</v>
      </c>
      <c r="K134">
        <v>12.313043199999999</v>
      </c>
      <c r="L134">
        <v>53.774449199999999</v>
      </c>
      <c r="M134">
        <v>80.743818399999995</v>
      </c>
      <c r="N134">
        <v>13.748412</v>
      </c>
      <c r="O134">
        <v>86.796578400000001</v>
      </c>
      <c r="P134">
        <v>71.604150799999999</v>
      </c>
      <c r="Q134">
        <v>24.4963844</v>
      </c>
      <c r="R134">
        <v>36.083096400000002</v>
      </c>
      <c r="S134">
        <v>49.3905216</v>
      </c>
      <c r="T134">
        <v>19.2131896</v>
      </c>
      <c r="U134">
        <v>63.925792399999999</v>
      </c>
      <c r="V134">
        <v>24.332095200000001</v>
      </c>
      <c r="W134" s="3">
        <v>45854</v>
      </c>
      <c r="X134" s="2" t="s">
        <v>20</v>
      </c>
      <c r="Y134" s="2" t="s">
        <v>20</v>
      </c>
      <c r="Z134" s="2" t="s">
        <v>20</v>
      </c>
      <c r="AA134" s="2" t="s">
        <v>20</v>
      </c>
      <c r="AB134" s="2" t="s">
        <v>20</v>
      </c>
      <c r="AC134" s="2" t="s">
        <v>20</v>
      </c>
      <c r="AD134" s="2" t="s">
        <v>20</v>
      </c>
      <c r="AE134" s="2" t="s">
        <v>20</v>
      </c>
      <c r="AF134">
        <v>321.72956499999998</v>
      </c>
      <c r="AG134" s="2" t="s">
        <v>20</v>
      </c>
      <c r="AH134" s="2" t="s">
        <v>20</v>
      </c>
      <c r="AI134" s="2" t="s">
        <v>20</v>
      </c>
      <c r="AJ134" s="2" t="s">
        <v>20</v>
      </c>
      <c r="AK134" s="2" t="s">
        <v>20</v>
      </c>
      <c r="AL134" s="2" t="s">
        <v>20</v>
      </c>
      <c r="AM134" s="2" t="s">
        <v>20</v>
      </c>
      <c r="AN134" s="2" t="s">
        <v>20</v>
      </c>
      <c r="AO134" s="2" t="s">
        <v>20</v>
      </c>
      <c r="AP134" s="2" t="s">
        <v>20</v>
      </c>
      <c r="AQ134" s="2" t="s">
        <v>20</v>
      </c>
    </row>
    <row r="135" spans="2:43" x14ac:dyDescent="0.2">
      <c r="B135" s="3">
        <v>45961</v>
      </c>
      <c r="C135">
        <v>178.55865</v>
      </c>
      <c r="D135">
        <v>63.975929999999998</v>
      </c>
      <c r="E135">
        <v>248.68161000000001</v>
      </c>
      <c r="F135">
        <v>83.665499999999994</v>
      </c>
      <c r="G135">
        <v>45.049320000000002</v>
      </c>
      <c r="H135">
        <v>152.38391999999999</v>
      </c>
      <c r="I135">
        <v>70.200990000000004</v>
      </c>
      <c r="J135">
        <v>271.37966999999998</v>
      </c>
      <c r="K135">
        <v>12.45879</v>
      </c>
      <c r="L135">
        <v>53.519910000000003</v>
      </c>
      <c r="M135">
        <v>81.532679999999999</v>
      </c>
      <c r="N135">
        <v>13.83732</v>
      </c>
      <c r="O135">
        <v>85.55556</v>
      </c>
      <c r="P135">
        <v>72.212429999999998</v>
      </c>
      <c r="Q135">
        <v>24.995609999999999</v>
      </c>
      <c r="R135">
        <v>36.1539</v>
      </c>
      <c r="S135">
        <v>49.748460000000001</v>
      </c>
      <c r="T135">
        <v>19.438140000000001</v>
      </c>
      <c r="U135">
        <v>65.111699999999999</v>
      </c>
      <c r="V135">
        <v>23.547720000000002</v>
      </c>
      <c r="W135" s="3">
        <v>45854</v>
      </c>
      <c r="X135" s="2" t="s">
        <v>20</v>
      </c>
      <c r="Y135" s="2" t="s">
        <v>20</v>
      </c>
      <c r="Z135" s="2" t="s">
        <v>20</v>
      </c>
      <c r="AA135" s="2" t="s">
        <v>20</v>
      </c>
      <c r="AB135" s="2" t="s">
        <v>20</v>
      </c>
      <c r="AC135" s="2" t="s">
        <v>20</v>
      </c>
      <c r="AD135" s="2" t="s">
        <v>20</v>
      </c>
      <c r="AE135" s="2" t="s">
        <v>20</v>
      </c>
      <c r="AF135">
        <v>321.72956499999998</v>
      </c>
      <c r="AG135" s="2" t="s">
        <v>20</v>
      </c>
      <c r="AH135" s="2" t="s">
        <v>20</v>
      </c>
      <c r="AI135" s="2" t="s">
        <v>20</v>
      </c>
      <c r="AJ135" s="2" t="s">
        <v>20</v>
      </c>
      <c r="AK135" s="2" t="s">
        <v>20</v>
      </c>
      <c r="AL135" s="2" t="s">
        <v>20</v>
      </c>
      <c r="AM135" s="2" t="s">
        <v>20</v>
      </c>
      <c r="AN135" s="2" t="s">
        <v>20</v>
      </c>
      <c r="AO135" s="2" t="s">
        <v>20</v>
      </c>
      <c r="AP135" s="2" t="s">
        <v>20</v>
      </c>
      <c r="AQ135" s="2" t="s">
        <v>20</v>
      </c>
    </row>
    <row r="136" spans="2:43" x14ac:dyDescent="0.2">
      <c r="B136" s="3">
        <v>45964</v>
      </c>
      <c r="C136">
        <v>179.49373539999999</v>
      </c>
      <c r="D136">
        <v>64.360407300000006</v>
      </c>
      <c r="E136">
        <v>241.188738</v>
      </c>
      <c r="F136">
        <v>86.577901199999999</v>
      </c>
      <c r="G136">
        <v>44.061657500000003</v>
      </c>
      <c r="H136">
        <v>153.38666069999999</v>
      </c>
      <c r="I136">
        <v>70.863300199999998</v>
      </c>
      <c r="J136">
        <v>276.75930169999998</v>
      </c>
      <c r="K136">
        <v>14.0129094</v>
      </c>
      <c r="L136">
        <v>54.488859599999998</v>
      </c>
      <c r="M136">
        <v>83.443663099999995</v>
      </c>
      <c r="N136">
        <v>13.8132211</v>
      </c>
      <c r="O136">
        <v>85.900697399999999</v>
      </c>
      <c r="P136">
        <v>73.285606099999995</v>
      </c>
      <c r="Q136">
        <v>24.926309100000001</v>
      </c>
      <c r="R136">
        <v>35.752887800000003</v>
      </c>
      <c r="S136">
        <v>50.790284999999997</v>
      </c>
      <c r="T136">
        <v>19.256897800000001</v>
      </c>
      <c r="U136">
        <v>64.707691299999993</v>
      </c>
      <c r="V136">
        <v>21.6271111</v>
      </c>
      <c r="W136" s="3">
        <v>45854</v>
      </c>
      <c r="X136" s="2" t="s">
        <v>20</v>
      </c>
      <c r="Y136" s="2" t="s">
        <v>20</v>
      </c>
      <c r="Z136" s="2" t="s">
        <v>20</v>
      </c>
      <c r="AA136" s="2" t="s">
        <v>20</v>
      </c>
      <c r="AB136" s="2" t="s">
        <v>20</v>
      </c>
      <c r="AC136" s="2" t="s">
        <v>20</v>
      </c>
      <c r="AD136" s="2" t="s">
        <v>20</v>
      </c>
      <c r="AE136" s="2" t="s">
        <v>20</v>
      </c>
      <c r="AF136">
        <v>321.72956499999998</v>
      </c>
      <c r="AG136" s="2" t="s">
        <v>20</v>
      </c>
      <c r="AH136" s="2" t="s">
        <v>20</v>
      </c>
      <c r="AI136" s="2" t="s">
        <v>20</v>
      </c>
      <c r="AJ136" s="2" t="s">
        <v>20</v>
      </c>
      <c r="AK136" s="2" t="s">
        <v>20</v>
      </c>
      <c r="AL136" s="2" t="s">
        <v>20</v>
      </c>
      <c r="AM136" s="2" t="s">
        <v>20</v>
      </c>
      <c r="AN136" s="2" t="s">
        <v>20</v>
      </c>
      <c r="AO136" s="2" t="s">
        <v>20</v>
      </c>
      <c r="AP136" s="2" t="s">
        <v>20</v>
      </c>
      <c r="AQ136" s="2" t="s">
        <v>20</v>
      </c>
    </row>
    <row r="137" spans="2:43" x14ac:dyDescent="0.2">
      <c r="B137" s="3">
        <v>45965</v>
      </c>
      <c r="C137">
        <v>178.55806860000001</v>
      </c>
      <c r="D137">
        <v>65.250075600000002</v>
      </c>
      <c r="E137">
        <v>224.15996340000001</v>
      </c>
      <c r="F137">
        <v>82.450943100000003</v>
      </c>
      <c r="G137">
        <v>41.282082000000003</v>
      </c>
      <c r="H137">
        <v>159.02310869999999</v>
      </c>
      <c r="I137">
        <v>68.716376999999994</v>
      </c>
      <c r="J137">
        <v>278.93275110000002</v>
      </c>
      <c r="K137">
        <v>13.908752099999999</v>
      </c>
      <c r="L137">
        <v>54.006369300000003</v>
      </c>
      <c r="M137">
        <v>79.054316099999994</v>
      </c>
      <c r="N137">
        <v>14.0742288</v>
      </c>
      <c r="O137">
        <v>86.770755899999997</v>
      </c>
      <c r="P137">
        <v>73.637131499999995</v>
      </c>
      <c r="Q137">
        <v>22.739982300000001</v>
      </c>
      <c r="R137">
        <v>34.332060599999998</v>
      </c>
      <c r="S137">
        <v>48.467254500000003</v>
      </c>
      <c r="T137">
        <v>16.364774700000002</v>
      </c>
      <c r="U137">
        <v>62.680832100000003</v>
      </c>
      <c r="V137">
        <v>20.684587499999999</v>
      </c>
      <c r="W137" s="3">
        <v>45854</v>
      </c>
      <c r="X137" s="2" t="s">
        <v>20</v>
      </c>
      <c r="Y137" s="2" t="s">
        <v>20</v>
      </c>
      <c r="Z137" s="2" t="s">
        <v>20</v>
      </c>
      <c r="AA137" s="2" t="s">
        <v>20</v>
      </c>
      <c r="AB137" s="2" t="s">
        <v>20</v>
      </c>
      <c r="AC137" s="2" t="s">
        <v>20</v>
      </c>
      <c r="AD137" s="2" t="s">
        <v>20</v>
      </c>
      <c r="AE137" s="2" t="s">
        <v>20</v>
      </c>
      <c r="AF137">
        <v>321.72956499999998</v>
      </c>
      <c r="AG137" s="2" t="s">
        <v>20</v>
      </c>
      <c r="AH137" s="2" t="s">
        <v>20</v>
      </c>
      <c r="AI137" s="2" t="s">
        <v>20</v>
      </c>
      <c r="AJ137" s="2" t="s">
        <v>20</v>
      </c>
      <c r="AK137" s="2" t="s">
        <v>20</v>
      </c>
      <c r="AL137" s="2" t="s">
        <v>20</v>
      </c>
      <c r="AM137" s="2" t="s">
        <v>20</v>
      </c>
      <c r="AN137" s="2" t="s">
        <v>20</v>
      </c>
      <c r="AO137" s="2" t="s">
        <v>20</v>
      </c>
      <c r="AP137" s="2" t="s">
        <v>20</v>
      </c>
      <c r="AQ137" s="2" t="s">
        <v>20</v>
      </c>
    </row>
    <row r="138" spans="2:43" x14ac:dyDescent="0.2">
      <c r="B138" s="3">
        <v>45966</v>
      </c>
      <c r="C138">
        <v>179.54127750000001</v>
      </c>
      <c r="D138">
        <v>65.251345000000001</v>
      </c>
      <c r="E138">
        <v>223.3322575</v>
      </c>
      <c r="F138">
        <v>80.715687500000001</v>
      </c>
      <c r="G138">
        <v>36.576607500000001</v>
      </c>
      <c r="H138">
        <v>157.86335</v>
      </c>
      <c r="I138">
        <v>71.038507499999994</v>
      </c>
      <c r="J138">
        <v>273.64141000000001</v>
      </c>
      <c r="K138">
        <v>14.124157500000001</v>
      </c>
      <c r="L138">
        <v>54.616889999999998</v>
      </c>
      <c r="M138">
        <v>84.109662499999999</v>
      </c>
      <c r="N138">
        <v>14.158967499999999</v>
      </c>
      <c r="O138">
        <v>86.955380000000005</v>
      </c>
      <c r="P138">
        <v>74.014762500000003</v>
      </c>
      <c r="Q138">
        <v>23.409725000000002</v>
      </c>
      <c r="R138">
        <v>34.992752500000002</v>
      </c>
      <c r="S138">
        <v>50.944434999999999</v>
      </c>
      <c r="T138">
        <v>16.195352499999998</v>
      </c>
      <c r="U138">
        <v>63.510845000000003</v>
      </c>
      <c r="V138">
        <v>20.50309</v>
      </c>
      <c r="W138" s="3">
        <v>45854</v>
      </c>
      <c r="X138" s="2" t="s">
        <v>20</v>
      </c>
      <c r="Y138" s="2" t="s">
        <v>20</v>
      </c>
      <c r="Z138" s="2" t="s">
        <v>20</v>
      </c>
      <c r="AA138" s="2" t="s">
        <v>20</v>
      </c>
      <c r="AB138" s="2" t="s">
        <v>20</v>
      </c>
      <c r="AC138" s="2" t="s">
        <v>20</v>
      </c>
      <c r="AD138" s="2" t="s">
        <v>20</v>
      </c>
      <c r="AE138" s="2" t="s">
        <v>20</v>
      </c>
      <c r="AF138">
        <v>321.72956499999998</v>
      </c>
      <c r="AG138" s="2" t="s">
        <v>20</v>
      </c>
      <c r="AH138" s="2" t="s">
        <v>20</v>
      </c>
      <c r="AI138" s="2" t="s">
        <v>20</v>
      </c>
      <c r="AJ138" s="2" t="s">
        <v>20</v>
      </c>
      <c r="AK138" s="2" t="s">
        <v>20</v>
      </c>
      <c r="AL138" s="2" t="s">
        <v>20</v>
      </c>
      <c r="AM138" s="2" t="s">
        <v>20</v>
      </c>
      <c r="AN138" s="2" t="s">
        <v>20</v>
      </c>
      <c r="AO138" s="2" t="s">
        <v>20</v>
      </c>
      <c r="AP138" s="2" t="s">
        <v>20</v>
      </c>
      <c r="AQ138" s="2" t="s">
        <v>20</v>
      </c>
    </row>
    <row r="139" spans="2:43" x14ac:dyDescent="0.2">
      <c r="B139" s="3">
        <v>45967</v>
      </c>
      <c r="C139">
        <v>178.1596916</v>
      </c>
      <c r="D139">
        <v>64.908948499999994</v>
      </c>
      <c r="E139">
        <v>219.59922710000001</v>
      </c>
      <c r="F139">
        <v>79.778683599999994</v>
      </c>
      <c r="G139">
        <v>34.931320049999997</v>
      </c>
      <c r="H139">
        <v>156.52626219999999</v>
      </c>
      <c r="I139">
        <v>71.473455900000005</v>
      </c>
      <c r="J139">
        <v>280.07410199999998</v>
      </c>
      <c r="K139">
        <v>14.254853799999999</v>
      </c>
      <c r="L139">
        <v>53.598596700000002</v>
      </c>
      <c r="M139">
        <v>82.896391600000001</v>
      </c>
      <c r="N139">
        <v>14.142269900000001</v>
      </c>
      <c r="O139">
        <v>85.321275600000007</v>
      </c>
      <c r="P139">
        <v>70.538143500000004</v>
      </c>
      <c r="Q139">
        <v>22.837211100000001</v>
      </c>
      <c r="R139">
        <v>33.4720595</v>
      </c>
      <c r="S139">
        <v>50.065194300000002</v>
      </c>
      <c r="T139">
        <v>15.7963872</v>
      </c>
      <c r="U139">
        <v>63.220190000000002</v>
      </c>
      <c r="V139">
        <v>21.070509900000001</v>
      </c>
      <c r="W139" s="3">
        <v>45854</v>
      </c>
      <c r="X139" s="2" t="s">
        <v>20</v>
      </c>
      <c r="Y139" s="2" t="s">
        <v>20</v>
      </c>
      <c r="Z139" s="2" t="s">
        <v>20</v>
      </c>
      <c r="AA139" s="2" t="s">
        <v>20</v>
      </c>
      <c r="AB139" s="2" t="s">
        <v>20</v>
      </c>
      <c r="AC139" s="2" t="s">
        <v>20</v>
      </c>
      <c r="AD139" s="2" t="s">
        <v>20</v>
      </c>
      <c r="AE139" s="2" t="s">
        <v>20</v>
      </c>
      <c r="AF139">
        <v>321.72956499999998</v>
      </c>
      <c r="AG139" s="2" t="s">
        <v>20</v>
      </c>
      <c r="AH139" s="2" t="s">
        <v>20</v>
      </c>
      <c r="AI139" s="2" t="s">
        <v>20</v>
      </c>
      <c r="AJ139" s="2" t="s">
        <v>20</v>
      </c>
      <c r="AK139" s="2" t="s">
        <v>20</v>
      </c>
      <c r="AL139" s="2" t="s">
        <v>20</v>
      </c>
      <c r="AM139" s="2" t="s">
        <v>20</v>
      </c>
      <c r="AN139" s="2" t="s">
        <v>20</v>
      </c>
      <c r="AO139" s="2" t="s">
        <v>20</v>
      </c>
      <c r="AP139" s="2" t="s">
        <v>20</v>
      </c>
      <c r="AQ139" s="2" t="s">
        <v>20</v>
      </c>
    </row>
    <row r="140" spans="2:43" x14ac:dyDescent="0.2">
      <c r="B140" s="3">
        <v>45968</v>
      </c>
      <c r="C140">
        <v>178.69476879999999</v>
      </c>
      <c r="D140">
        <v>65.776207600000006</v>
      </c>
      <c r="E140">
        <v>221.36672680000001</v>
      </c>
      <c r="F140">
        <v>79.541913199999996</v>
      </c>
      <c r="G140">
        <v>34.379676799999999</v>
      </c>
      <c r="H140">
        <v>158.75524799999999</v>
      </c>
      <c r="I140">
        <v>72.105665200000004</v>
      </c>
      <c r="J140">
        <v>276.54195759999999</v>
      </c>
      <c r="K140">
        <v>14.5957984</v>
      </c>
      <c r="L140">
        <v>53.973325600000003</v>
      </c>
      <c r="M140">
        <v>84.245772400000007</v>
      </c>
      <c r="N140">
        <v>14.275866799999999</v>
      </c>
      <c r="O140">
        <v>85.266094800000005</v>
      </c>
      <c r="P140">
        <v>70.929700400000002</v>
      </c>
      <c r="Q140">
        <v>23.1128964</v>
      </c>
      <c r="R140">
        <v>34.422910799999997</v>
      </c>
      <c r="S140">
        <v>50.912358400000002</v>
      </c>
      <c r="T140">
        <v>16.489447599999998</v>
      </c>
      <c r="U140">
        <v>72.408303200000006</v>
      </c>
      <c r="V140">
        <v>21.219247200000002</v>
      </c>
      <c r="W140" s="3">
        <v>45854</v>
      </c>
      <c r="X140" s="2" t="s">
        <v>20</v>
      </c>
      <c r="Y140" s="2" t="s">
        <v>20</v>
      </c>
      <c r="Z140" s="2" t="s">
        <v>20</v>
      </c>
      <c r="AA140" s="2" t="s">
        <v>20</v>
      </c>
      <c r="AB140" s="2" t="s">
        <v>20</v>
      </c>
      <c r="AC140" s="2" t="s">
        <v>20</v>
      </c>
      <c r="AD140" s="2" t="s">
        <v>20</v>
      </c>
      <c r="AE140" s="2" t="s">
        <v>20</v>
      </c>
      <c r="AF140">
        <v>321.72956499999998</v>
      </c>
      <c r="AG140" s="2" t="s">
        <v>20</v>
      </c>
      <c r="AH140" s="2" t="s">
        <v>20</v>
      </c>
      <c r="AI140" s="2" t="s">
        <v>20</v>
      </c>
      <c r="AJ140" s="2" t="s">
        <v>20</v>
      </c>
      <c r="AK140" s="2" t="s">
        <v>20</v>
      </c>
      <c r="AL140" s="2" t="s">
        <v>20</v>
      </c>
      <c r="AM140" s="2" t="s">
        <v>20</v>
      </c>
      <c r="AN140" s="2" t="s">
        <v>20</v>
      </c>
      <c r="AO140" s="2" t="s">
        <v>20</v>
      </c>
      <c r="AP140" s="2" t="s">
        <v>20</v>
      </c>
      <c r="AQ140" s="2" t="s">
        <v>20</v>
      </c>
    </row>
    <row r="141" spans="2:43" x14ac:dyDescent="0.2">
      <c r="B141" s="3">
        <v>45971</v>
      </c>
      <c r="C141">
        <v>181.49850900000001</v>
      </c>
      <c r="D141">
        <v>65.7406395</v>
      </c>
      <c r="E141">
        <v>229.300443</v>
      </c>
      <c r="F141">
        <v>81.429434999999998</v>
      </c>
      <c r="G141">
        <v>34.778416499999999</v>
      </c>
      <c r="H141">
        <v>158.307129</v>
      </c>
      <c r="I141">
        <v>76.375791000000007</v>
      </c>
      <c r="J141">
        <v>277.21487250000001</v>
      </c>
      <c r="K141">
        <v>14.511919499999999</v>
      </c>
      <c r="L141">
        <v>52.232526</v>
      </c>
      <c r="M141">
        <v>83.194749000000002</v>
      </c>
      <c r="N141">
        <v>14.330196000000001</v>
      </c>
      <c r="O141">
        <v>85.029291000000001</v>
      </c>
      <c r="P141">
        <v>71.694247500000003</v>
      </c>
      <c r="Q141">
        <v>23.269261499999999</v>
      </c>
      <c r="R141">
        <v>35.436082499999998</v>
      </c>
      <c r="S141">
        <v>50.674895999999997</v>
      </c>
      <c r="T141">
        <v>16.476264</v>
      </c>
      <c r="U141">
        <v>75.389291999999998</v>
      </c>
      <c r="V141">
        <v>21.426065999999999</v>
      </c>
      <c r="W141" s="3">
        <v>45854</v>
      </c>
      <c r="X141" s="2" t="s">
        <v>20</v>
      </c>
      <c r="Y141" s="2" t="s">
        <v>20</v>
      </c>
      <c r="Z141" s="2" t="s">
        <v>20</v>
      </c>
      <c r="AA141" s="2" t="s">
        <v>20</v>
      </c>
      <c r="AB141" s="2" t="s">
        <v>20</v>
      </c>
      <c r="AC141" s="2" t="s">
        <v>20</v>
      </c>
      <c r="AD141" s="2" t="s">
        <v>20</v>
      </c>
      <c r="AE141" s="2" t="s">
        <v>20</v>
      </c>
      <c r="AF141">
        <v>321.72956499999998</v>
      </c>
      <c r="AG141" s="2" t="s">
        <v>20</v>
      </c>
      <c r="AH141" s="2" t="s">
        <v>20</v>
      </c>
      <c r="AI141" s="2" t="s">
        <v>20</v>
      </c>
      <c r="AJ141" s="2" t="s">
        <v>20</v>
      </c>
      <c r="AK141" s="2" t="s">
        <v>20</v>
      </c>
      <c r="AL141" s="2" t="s">
        <v>20</v>
      </c>
      <c r="AM141" s="2" t="s">
        <v>20</v>
      </c>
      <c r="AN141" s="2" t="s">
        <v>20</v>
      </c>
      <c r="AO141" s="2" t="s">
        <v>20</v>
      </c>
      <c r="AP141" s="2" t="s">
        <v>20</v>
      </c>
      <c r="AQ141" s="2" t="s">
        <v>20</v>
      </c>
    </row>
    <row r="142" spans="2:43" x14ac:dyDescent="0.2">
      <c r="B142" s="3">
        <v>45972</v>
      </c>
      <c r="C142">
        <v>180.397684</v>
      </c>
      <c r="D142">
        <v>65.777365200000006</v>
      </c>
      <c r="E142">
        <v>227.591238</v>
      </c>
      <c r="F142">
        <v>80.829216000000002</v>
      </c>
      <c r="G142">
        <v>33.5233992</v>
      </c>
      <c r="H142">
        <v>159.7586</v>
      </c>
      <c r="I142">
        <v>77.677222</v>
      </c>
      <c r="J142">
        <v>281.76235680000002</v>
      </c>
      <c r="K142">
        <v>14.4387232</v>
      </c>
      <c r="L142">
        <v>51.899956000000003</v>
      </c>
      <c r="M142">
        <v>81.995022000000006</v>
      </c>
      <c r="N142">
        <v>14.3264604</v>
      </c>
      <c r="O142">
        <v>84.533888399999995</v>
      </c>
      <c r="P142">
        <v>72.262700800000005</v>
      </c>
      <c r="Q142">
        <v>23.134772399999999</v>
      </c>
      <c r="R142">
        <v>35.466409200000001</v>
      </c>
      <c r="S142">
        <v>49.861954400000002</v>
      </c>
      <c r="T142">
        <v>16.2521992</v>
      </c>
      <c r="U142">
        <v>78.247171600000001</v>
      </c>
      <c r="V142">
        <v>22.806619600000001</v>
      </c>
      <c r="W142" s="3">
        <v>45854</v>
      </c>
      <c r="X142" s="2" t="s">
        <v>20</v>
      </c>
      <c r="Y142" s="2" t="s">
        <v>20</v>
      </c>
      <c r="Z142" s="2" t="s">
        <v>20</v>
      </c>
      <c r="AA142" s="2" t="s">
        <v>20</v>
      </c>
      <c r="AB142" s="2" t="s">
        <v>20</v>
      </c>
      <c r="AC142" s="2" t="s">
        <v>20</v>
      </c>
      <c r="AD142" s="2" t="s">
        <v>20</v>
      </c>
      <c r="AE142" s="2" t="s">
        <v>20</v>
      </c>
      <c r="AF142">
        <v>321.72956499999998</v>
      </c>
      <c r="AG142" s="2" t="s">
        <v>20</v>
      </c>
      <c r="AH142" s="2" t="s">
        <v>20</v>
      </c>
      <c r="AI142" s="2" t="s">
        <v>20</v>
      </c>
      <c r="AJ142" s="2" t="s">
        <v>20</v>
      </c>
      <c r="AK142" s="2" t="s">
        <v>20</v>
      </c>
      <c r="AL142" s="2" t="s">
        <v>20</v>
      </c>
      <c r="AM142" s="2" t="s">
        <v>20</v>
      </c>
      <c r="AN142" s="2" t="s">
        <v>20</v>
      </c>
      <c r="AO142" s="2" t="s">
        <v>20</v>
      </c>
      <c r="AP142" s="2" t="s">
        <v>20</v>
      </c>
      <c r="AQ142" s="2" t="s">
        <v>20</v>
      </c>
    </row>
    <row r="143" spans="2:43" x14ac:dyDescent="0.2">
      <c r="B143" s="3">
        <v>45973</v>
      </c>
      <c r="C143">
        <v>176.90568619999999</v>
      </c>
      <c r="D143">
        <v>66.338554000000002</v>
      </c>
      <c r="E143">
        <v>227.2505238</v>
      </c>
      <c r="F143">
        <v>80.719096199999996</v>
      </c>
      <c r="G143">
        <v>32.7034406</v>
      </c>
      <c r="H143">
        <v>158.56553460000001</v>
      </c>
      <c r="I143">
        <v>80.287766199999993</v>
      </c>
      <c r="J143">
        <v>290.57839439999998</v>
      </c>
      <c r="K143">
        <v>14.380542200000001</v>
      </c>
      <c r="L143">
        <v>50.4311036</v>
      </c>
      <c r="M143">
        <v>86.240120200000007</v>
      </c>
      <c r="N143">
        <v>14.501314600000001</v>
      </c>
      <c r="O143">
        <v>84.307761799999994</v>
      </c>
      <c r="P143">
        <v>73.110434999999995</v>
      </c>
      <c r="Q143">
        <v>23.403965800000002</v>
      </c>
      <c r="R143">
        <v>36.067814599999998</v>
      </c>
      <c r="S143">
        <v>52.173676800000003</v>
      </c>
      <c r="T143">
        <v>16.338780400000001</v>
      </c>
      <c r="U143">
        <v>77.725666000000004</v>
      </c>
      <c r="V143">
        <v>23.041648599999998</v>
      </c>
      <c r="W143" s="3">
        <v>45854</v>
      </c>
      <c r="X143" s="2" t="s">
        <v>20</v>
      </c>
      <c r="Y143" s="2" t="s">
        <v>20</v>
      </c>
      <c r="Z143" s="2" t="s">
        <v>20</v>
      </c>
      <c r="AA143" s="2" t="s">
        <v>20</v>
      </c>
      <c r="AB143" s="2" t="s">
        <v>20</v>
      </c>
      <c r="AC143" s="2" t="s">
        <v>20</v>
      </c>
      <c r="AD143" s="2" t="s">
        <v>20</v>
      </c>
      <c r="AE143" s="2" t="s">
        <v>20</v>
      </c>
      <c r="AF143">
        <v>321.72956499999998</v>
      </c>
      <c r="AG143" s="2" t="s">
        <v>20</v>
      </c>
      <c r="AH143" s="2" t="s">
        <v>20</v>
      </c>
      <c r="AI143" s="2" t="s">
        <v>20</v>
      </c>
      <c r="AJ143" s="2" t="s">
        <v>20</v>
      </c>
      <c r="AK143" s="2" t="s">
        <v>20</v>
      </c>
      <c r="AL143" s="2" t="s">
        <v>20</v>
      </c>
      <c r="AM143" s="2" t="s">
        <v>20</v>
      </c>
      <c r="AN143" s="2" t="s">
        <v>20</v>
      </c>
      <c r="AO143" s="2" t="s">
        <v>20</v>
      </c>
      <c r="AP143" s="2" t="s">
        <v>20</v>
      </c>
      <c r="AQ143" s="2" t="s">
        <v>20</v>
      </c>
    </row>
    <row r="144" spans="2:43" x14ac:dyDescent="0.2">
      <c r="B144" s="3">
        <v>45974</v>
      </c>
      <c r="C144">
        <v>173.07170099999999</v>
      </c>
      <c r="D144">
        <v>66.408634800000002</v>
      </c>
      <c r="E144">
        <v>219.8947752</v>
      </c>
      <c r="F144">
        <v>78.909690600000005</v>
      </c>
      <c r="G144">
        <v>30.169329300000001</v>
      </c>
      <c r="H144">
        <v>157.86236969999999</v>
      </c>
      <c r="I144">
        <v>77.138564400000007</v>
      </c>
      <c r="J144">
        <v>286.01968590000001</v>
      </c>
      <c r="K144">
        <v>14.418342900000001</v>
      </c>
      <c r="L144">
        <v>49.720499099999998</v>
      </c>
      <c r="M144">
        <v>83.543850899999995</v>
      </c>
      <c r="N144">
        <v>14.315170500000001</v>
      </c>
      <c r="O144">
        <v>84.738931199999996</v>
      </c>
      <c r="P144">
        <v>72.504404100000002</v>
      </c>
      <c r="Q144">
        <v>22.474387799999999</v>
      </c>
      <c r="R144">
        <v>34.855075800000002</v>
      </c>
      <c r="S144">
        <v>51.508820700000001</v>
      </c>
      <c r="T144">
        <v>15.9573312</v>
      </c>
      <c r="U144">
        <v>76.235805900000003</v>
      </c>
      <c r="V144">
        <v>21.4598592</v>
      </c>
      <c r="W144" s="3">
        <v>45854</v>
      </c>
      <c r="X144" s="2" t="s">
        <v>20</v>
      </c>
      <c r="Y144" s="2" t="s">
        <v>20</v>
      </c>
      <c r="Z144" s="2" t="s">
        <v>20</v>
      </c>
      <c r="AA144" s="2" t="s">
        <v>20</v>
      </c>
      <c r="AB144" s="2" t="s">
        <v>20</v>
      </c>
      <c r="AC144" s="2" t="s">
        <v>20</v>
      </c>
      <c r="AD144" s="2" t="s">
        <v>20</v>
      </c>
      <c r="AE144" s="2" t="s">
        <v>20</v>
      </c>
      <c r="AF144">
        <v>321.72956499999998</v>
      </c>
      <c r="AG144" s="2" t="s">
        <v>20</v>
      </c>
      <c r="AH144" s="2" t="s">
        <v>20</v>
      </c>
      <c r="AI144" s="2" t="s">
        <v>20</v>
      </c>
      <c r="AJ144" s="2" t="s">
        <v>20</v>
      </c>
      <c r="AK144" s="2" t="s">
        <v>20</v>
      </c>
      <c r="AL144" s="2" t="s">
        <v>20</v>
      </c>
      <c r="AM144" s="2" t="s">
        <v>20</v>
      </c>
      <c r="AN144" s="2" t="s">
        <v>20</v>
      </c>
      <c r="AO144" s="2" t="s">
        <v>20</v>
      </c>
      <c r="AP144" s="2" t="s">
        <v>20</v>
      </c>
      <c r="AQ144" s="2" t="s">
        <v>20</v>
      </c>
    </row>
    <row r="145" spans="2:43" x14ac:dyDescent="0.2">
      <c r="B145" s="3">
        <v>45975</v>
      </c>
      <c r="C145">
        <v>174.9493411</v>
      </c>
      <c r="D145">
        <v>67.126019999999997</v>
      </c>
      <c r="E145">
        <v>217.6173933</v>
      </c>
      <c r="F145">
        <v>78.847255799999999</v>
      </c>
      <c r="G145">
        <v>31.3426878</v>
      </c>
      <c r="H145">
        <v>157.25561070000001</v>
      </c>
      <c r="I145">
        <v>75.559802000000005</v>
      </c>
      <c r="J145">
        <v>286.31829299999998</v>
      </c>
      <c r="K145">
        <v>14.3374294</v>
      </c>
      <c r="L145">
        <v>49.062235899999997</v>
      </c>
      <c r="M145">
        <v>81.781867700000006</v>
      </c>
      <c r="N145">
        <v>14.191129099999999</v>
      </c>
      <c r="O145">
        <v>85.0090802</v>
      </c>
      <c r="P145">
        <v>73.184573599999993</v>
      </c>
      <c r="Q145">
        <v>22.3925518</v>
      </c>
      <c r="R145">
        <v>34.561294400000001</v>
      </c>
      <c r="S145">
        <v>50.267061900000002</v>
      </c>
      <c r="T145">
        <v>15.740191100000001</v>
      </c>
      <c r="U145">
        <v>75.017630299999993</v>
      </c>
      <c r="V145">
        <v>21.316814300000001</v>
      </c>
      <c r="W145" s="3">
        <v>45854</v>
      </c>
      <c r="X145" s="2" t="s">
        <v>20</v>
      </c>
      <c r="Y145" s="2" t="s">
        <v>20</v>
      </c>
      <c r="Z145" s="2" t="s">
        <v>20</v>
      </c>
      <c r="AA145" s="2" t="s">
        <v>20</v>
      </c>
      <c r="AB145" s="2" t="s">
        <v>20</v>
      </c>
      <c r="AC145" s="2" t="s">
        <v>20</v>
      </c>
      <c r="AD145" s="2" t="s">
        <v>20</v>
      </c>
      <c r="AE145" s="2" t="s">
        <v>20</v>
      </c>
      <c r="AF145">
        <v>321.72956499999998</v>
      </c>
      <c r="AG145" s="2" t="s">
        <v>20</v>
      </c>
      <c r="AH145" s="2" t="s">
        <v>20</v>
      </c>
      <c r="AI145" s="2" t="s">
        <v>20</v>
      </c>
      <c r="AJ145" s="2" t="s">
        <v>20</v>
      </c>
      <c r="AK145" s="2" t="s">
        <v>20</v>
      </c>
      <c r="AL145" s="2" t="s">
        <v>20</v>
      </c>
      <c r="AM145" s="2" t="s">
        <v>20</v>
      </c>
      <c r="AN145" s="2" t="s">
        <v>20</v>
      </c>
      <c r="AO145" s="2" t="s">
        <v>20</v>
      </c>
      <c r="AP145" s="2" t="s">
        <v>20</v>
      </c>
      <c r="AQ145" s="2" t="s">
        <v>20</v>
      </c>
    </row>
    <row r="146" spans="2:43" x14ac:dyDescent="0.2">
      <c r="B146" s="3">
        <v>45978</v>
      </c>
      <c r="C146">
        <v>172.80358680000001</v>
      </c>
      <c r="D146">
        <v>68.161990000000003</v>
      </c>
      <c r="E146">
        <v>212.86385509999999</v>
      </c>
      <c r="F146">
        <v>79.473429100000004</v>
      </c>
      <c r="G146">
        <v>29.421821000000001</v>
      </c>
      <c r="H146">
        <v>156.15998189999999</v>
      </c>
      <c r="I146">
        <v>75.142122900000004</v>
      </c>
      <c r="J146">
        <v>283.01893619999998</v>
      </c>
      <c r="K146">
        <v>14.012034399999999</v>
      </c>
      <c r="L146">
        <v>48.5330625</v>
      </c>
      <c r="M146">
        <v>77.609759499999996</v>
      </c>
      <c r="N146">
        <v>14.0896873</v>
      </c>
      <c r="O146">
        <v>84.615776699999998</v>
      </c>
      <c r="P146">
        <v>69.620138900000001</v>
      </c>
      <c r="Q146">
        <v>21.880861599999999</v>
      </c>
      <c r="R146">
        <v>33.649590000000003</v>
      </c>
      <c r="S146">
        <v>48.110285599999997</v>
      </c>
      <c r="T146">
        <v>15.1250593</v>
      </c>
      <c r="U146">
        <v>75.599412200000003</v>
      </c>
      <c r="V146">
        <v>21.363175600000002</v>
      </c>
      <c r="W146" s="3">
        <v>45854</v>
      </c>
      <c r="X146" s="2" t="s">
        <v>20</v>
      </c>
      <c r="Y146" s="2" t="s">
        <v>20</v>
      </c>
      <c r="Z146" s="2" t="s">
        <v>20</v>
      </c>
      <c r="AA146" s="2" t="s">
        <v>20</v>
      </c>
      <c r="AB146" s="2" t="s">
        <v>20</v>
      </c>
      <c r="AC146" s="2" t="s">
        <v>20</v>
      </c>
      <c r="AD146" s="2" t="s">
        <v>20</v>
      </c>
      <c r="AE146" s="2" t="s">
        <v>20</v>
      </c>
      <c r="AF146">
        <v>321.72956499999998</v>
      </c>
      <c r="AG146" s="2" t="s">
        <v>20</v>
      </c>
      <c r="AH146" s="2" t="s">
        <v>20</v>
      </c>
      <c r="AI146" s="2" t="s">
        <v>20</v>
      </c>
      <c r="AJ146" s="2" t="s">
        <v>20</v>
      </c>
      <c r="AK146" s="2" t="s">
        <v>20</v>
      </c>
      <c r="AL146" s="2" t="s">
        <v>20</v>
      </c>
      <c r="AM146" s="2" t="s">
        <v>20</v>
      </c>
      <c r="AN146" s="2" t="s">
        <v>20</v>
      </c>
      <c r="AO146" s="2" t="s">
        <v>20</v>
      </c>
      <c r="AP146" s="2" t="s">
        <v>20</v>
      </c>
      <c r="AQ146" s="2" t="s">
        <v>20</v>
      </c>
    </row>
    <row r="147" spans="2:43" x14ac:dyDescent="0.2">
      <c r="B147" s="3">
        <v>45979</v>
      </c>
      <c r="C147">
        <v>173.7796286</v>
      </c>
      <c r="D147">
        <v>68.9694918</v>
      </c>
      <c r="E147">
        <v>217.13385460000001</v>
      </c>
      <c r="F147">
        <v>78.469421800000006</v>
      </c>
      <c r="G147">
        <v>30.140687</v>
      </c>
      <c r="H147">
        <v>157.1202059</v>
      </c>
      <c r="I147">
        <v>74.790357999999998</v>
      </c>
      <c r="J147">
        <v>287.9946961</v>
      </c>
      <c r="K147">
        <v>14.0167149</v>
      </c>
      <c r="L147">
        <v>48.518733400000002</v>
      </c>
      <c r="M147">
        <v>79.384869600000002</v>
      </c>
      <c r="N147">
        <v>13.9476245</v>
      </c>
      <c r="O147">
        <v>84.463014000000001</v>
      </c>
      <c r="P147">
        <v>70.066301899999999</v>
      </c>
      <c r="Q147">
        <v>22.247108799999999</v>
      </c>
      <c r="R147">
        <v>34.545200000000001</v>
      </c>
      <c r="S147">
        <v>49.3391819</v>
      </c>
      <c r="T147">
        <v>15.407159200000001</v>
      </c>
      <c r="U147">
        <v>75.774896200000001</v>
      </c>
      <c r="V147">
        <v>21.5216596</v>
      </c>
      <c r="W147" s="3">
        <v>45854</v>
      </c>
      <c r="X147" s="2" t="s">
        <v>20</v>
      </c>
      <c r="Y147" s="2" t="s">
        <v>20</v>
      </c>
      <c r="Z147" s="2" t="s">
        <v>20</v>
      </c>
      <c r="AA147" s="2" t="s">
        <v>20</v>
      </c>
      <c r="AB147" s="2" t="s">
        <v>20</v>
      </c>
      <c r="AC147" s="2" t="s">
        <v>20</v>
      </c>
      <c r="AD147" s="2" t="s">
        <v>20</v>
      </c>
      <c r="AE147" s="2" t="s">
        <v>20</v>
      </c>
      <c r="AF147">
        <v>321.72956499999998</v>
      </c>
      <c r="AG147" s="2" t="s">
        <v>20</v>
      </c>
      <c r="AH147" s="2" t="s">
        <v>20</v>
      </c>
      <c r="AI147" s="2" t="s">
        <v>20</v>
      </c>
      <c r="AJ147" s="2" t="s">
        <v>20</v>
      </c>
      <c r="AK147" s="2" t="s">
        <v>20</v>
      </c>
      <c r="AL147" s="2" t="s">
        <v>20</v>
      </c>
      <c r="AM147" s="2" t="s">
        <v>20</v>
      </c>
      <c r="AN147" s="2" t="s">
        <v>20</v>
      </c>
      <c r="AO147" s="2" t="s">
        <v>20</v>
      </c>
      <c r="AP147" s="2" t="s">
        <v>20</v>
      </c>
      <c r="AQ147" s="2" t="s">
        <v>20</v>
      </c>
    </row>
    <row r="148" spans="2:43" x14ac:dyDescent="0.2">
      <c r="B148" s="3">
        <v>45980</v>
      </c>
      <c r="C148">
        <v>175.155711</v>
      </c>
      <c r="D148">
        <v>69.347999999999999</v>
      </c>
      <c r="E148">
        <v>221.9136</v>
      </c>
      <c r="F148">
        <v>77.609080500000005</v>
      </c>
      <c r="G148">
        <v>29.238850500000002</v>
      </c>
      <c r="H148">
        <v>156.1456905</v>
      </c>
      <c r="I148">
        <v>75.858043499999994</v>
      </c>
      <c r="J148">
        <v>300.242166</v>
      </c>
      <c r="K148">
        <v>13.921611</v>
      </c>
      <c r="L148">
        <v>48.586942499999999</v>
      </c>
      <c r="M148">
        <v>79.169410499999998</v>
      </c>
      <c r="N148">
        <v>13.626882</v>
      </c>
      <c r="O148">
        <v>85.176681000000002</v>
      </c>
      <c r="P148">
        <v>68.238432000000003</v>
      </c>
      <c r="Q148">
        <v>22.607448000000002</v>
      </c>
      <c r="R148">
        <v>35.757562499999999</v>
      </c>
      <c r="S148">
        <v>49.297759499999998</v>
      </c>
      <c r="T148">
        <v>15.412592999999999</v>
      </c>
      <c r="U148">
        <v>74.999861999999993</v>
      </c>
      <c r="V148">
        <v>20.960432999999998</v>
      </c>
      <c r="W148" s="3">
        <v>45854</v>
      </c>
      <c r="X148" s="2" t="s">
        <v>20</v>
      </c>
      <c r="Y148" s="2" t="s">
        <v>20</v>
      </c>
      <c r="Z148" s="2" t="s">
        <v>20</v>
      </c>
      <c r="AA148" s="2" t="s">
        <v>20</v>
      </c>
      <c r="AB148" s="2" t="s">
        <v>20</v>
      </c>
      <c r="AC148" s="2" t="s">
        <v>20</v>
      </c>
      <c r="AD148" s="2" t="s">
        <v>20</v>
      </c>
      <c r="AE148" s="2" t="s">
        <v>20</v>
      </c>
      <c r="AF148">
        <v>321.72956499999998</v>
      </c>
      <c r="AG148" s="2" t="s">
        <v>20</v>
      </c>
      <c r="AH148" s="2" t="s">
        <v>20</v>
      </c>
      <c r="AI148" s="2" t="s">
        <v>20</v>
      </c>
      <c r="AJ148" s="2" t="s">
        <v>20</v>
      </c>
      <c r="AK148" s="2" t="s">
        <v>20</v>
      </c>
      <c r="AL148" s="2" t="s">
        <v>20</v>
      </c>
      <c r="AM148" s="2" t="s">
        <v>20</v>
      </c>
      <c r="AN148" s="2" t="s">
        <v>20</v>
      </c>
      <c r="AO148" s="2" t="s">
        <v>20</v>
      </c>
      <c r="AP148" s="2" t="s">
        <v>20</v>
      </c>
      <c r="AQ148" s="2" t="s">
        <v>20</v>
      </c>
    </row>
    <row r="149" spans="2:43" x14ac:dyDescent="0.2">
      <c r="B149" s="3">
        <v>45981</v>
      </c>
      <c r="C149">
        <v>171.70153759999999</v>
      </c>
      <c r="D149">
        <v>69.211543399999996</v>
      </c>
      <c r="E149">
        <v>219.24218160000001</v>
      </c>
      <c r="F149">
        <v>72.317300799999998</v>
      </c>
      <c r="G149">
        <v>27.379246800000001</v>
      </c>
      <c r="H149">
        <v>156.21612709999999</v>
      </c>
      <c r="I149">
        <v>71.137460000000004</v>
      </c>
      <c r="J149">
        <v>271.44146169999999</v>
      </c>
      <c r="K149">
        <v>14.010609499999999</v>
      </c>
      <c r="L149">
        <v>48.225992699999999</v>
      </c>
      <c r="M149">
        <v>78.121076500000001</v>
      </c>
      <c r="N149">
        <v>13.7416752</v>
      </c>
      <c r="O149">
        <v>84.401993700000006</v>
      </c>
      <c r="P149">
        <v>67.485158699999999</v>
      </c>
      <c r="Q149">
        <v>21.965859600000002</v>
      </c>
      <c r="R149">
        <v>34.380213900000001</v>
      </c>
      <c r="S149">
        <v>48.555654099999998</v>
      </c>
      <c r="T149">
        <v>15.181775</v>
      </c>
      <c r="U149">
        <v>75.804771400000007</v>
      </c>
      <c r="V149">
        <v>19.3979708</v>
      </c>
      <c r="W149" s="3">
        <v>45854</v>
      </c>
      <c r="X149" s="2" t="s">
        <v>20</v>
      </c>
      <c r="Y149" s="2" t="s">
        <v>20</v>
      </c>
      <c r="Z149" s="2" t="s">
        <v>20</v>
      </c>
      <c r="AA149" s="2" t="s">
        <v>20</v>
      </c>
      <c r="AB149" s="2" t="s">
        <v>20</v>
      </c>
      <c r="AC149" s="2" t="s">
        <v>20</v>
      </c>
      <c r="AD149" s="2" t="s">
        <v>20</v>
      </c>
      <c r="AE149" s="2" t="s">
        <v>20</v>
      </c>
      <c r="AF149">
        <v>321.72956499999998</v>
      </c>
      <c r="AG149" s="2" t="s">
        <v>20</v>
      </c>
      <c r="AH149" s="2" t="s">
        <v>20</v>
      </c>
      <c r="AI149" s="2" t="s">
        <v>20</v>
      </c>
      <c r="AJ149" s="2" t="s">
        <v>20</v>
      </c>
      <c r="AK149" s="2" t="s">
        <v>20</v>
      </c>
      <c r="AL149" s="2" t="s">
        <v>20</v>
      </c>
      <c r="AM149" s="2" t="s">
        <v>20</v>
      </c>
      <c r="AN149" s="2" t="s">
        <v>20</v>
      </c>
      <c r="AO149" s="2" t="s">
        <v>20</v>
      </c>
      <c r="AP149" s="2" t="s">
        <v>20</v>
      </c>
      <c r="AQ149" s="2" t="s">
        <v>20</v>
      </c>
    </row>
    <row r="150" spans="2:43" x14ac:dyDescent="0.2">
      <c r="B150" s="3">
        <v>45982</v>
      </c>
      <c r="C150">
        <v>171.38305439999999</v>
      </c>
      <c r="D150">
        <v>68.838165200000006</v>
      </c>
      <c r="E150">
        <v>229.4229057</v>
      </c>
      <c r="F150">
        <v>72.860385100000002</v>
      </c>
      <c r="G150">
        <v>27.9644187</v>
      </c>
      <c r="H150">
        <v>159.04708840000001</v>
      </c>
      <c r="I150">
        <v>72.530267699999996</v>
      </c>
      <c r="J150">
        <v>287.69731410000003</v>
      </c>
      <c r="K150">
        <v>14.455667200000001</v>
      </c>
      <c r="L150">
        <v>50.108346400000002</v>
      </c>
      <c r="M150">
        <v>80.096906000000004</v>
      </c>
      <c r="N150">
        <v>13.6129991</v>
      </c>
      <c r="O150">
        <v>85.986895399999995</v>
      </c>
      <c r="P150">
        <v>68.230054199999998</v>
      </c>
      <c r="Q150">
        <v>23.073468800000001</v>
      </c>
      <c r="R150">
        <v>34.636265100000003</v>
      </c>
      <c r="S150">
        <v>50.881516099999999</v>
      </c>
      <c r="T150">
        <v>15.810886</v>
      </c>
      <c r="U150">
        <v>77.325657300000003</v>
      </c>
      <c r="V150">
        <v>20.6062756</v>
      </c>
      <c r="W150" s="3">
        <v>45854</v>
      </c>
      <c r="X150" s="2" t="s">
        <v>20</v>
      </c>
      <c r="Y150" s="2" t="s">
        <v>20</v>
      </c>
      <c r="Z150" s="2" t="s">
        <v>20</v>
      </c>
      <c r="AA150" s="2" t="s">
        <v>20</v>
      </c>
      <c r="AB150" s="2" t="s">
        <v>20</v>
      </c>
      <c r="AC150" s="2" t="s">
        <v>20</v>
      </c>
      <c r="AD150" s="2" t="s">
        <v>20</v>
      </c>
      <c r="AE150" s="2" t="s">
        <v>20</v>
      </c>
      <c r="AF150">
        <v>321.72956499999998</v>
      </c>
      <c r="AG150" s="2" t="s">
        <v>20</v>
      </c>
      <c r="AH150" s="2" t="s">
        <v>20</v>
      </c>
      <c r="AI150" s="2" t="s">
        <v>20</v>
      </c>
      <c r="AJ150" s="2" t="s">
        <v>20</v>
      </c>
      <c r="AK150" s="2" t="s">
        <v>20</v>
      </c>
      <c r="AL150" s="2" t="s">
        <v>20</v>
      </c>
      <c r="AM150" s="2" t="s">
        <v>20</v>
      </c>
      <c r="AN150" s="2" t="s">
        <v>20</v>
      </c>
      <c r="AO150" s="2" t="s">
        <v>20</v>
      </c>
      <c r="AP150" s="2" t="s">
        <v>20</v>
      </c>
      <c r="AQ150" s="2" t="s">
        <v>20</v>
      </c>
    </row>
    <row r="151" spans="2:43" x14ac:dyDescent="0.2">
      <c r="W151" s="3">
        <v>45855</v>
      </c>
      <c r="X151">
        <v>27.8223144</v>
      </c>
      <c r="Y151">
        <v>822.69014040000002</v>
      </c>
      <c r="Z151">
        <v>164.37243960000001</v>
      </c>
      <c r="AA151">
        <v>74.652806400000003</v>
      </c>
      <c r="AB151">
        <v>137.16245760000001</v>
      </c>
      <c r="AC151">
        <v>953.32392719999996</v>
      </c>
      <c r="AD151">
        <v>182.00933760000001</v>
      </c>
      <c r="AE151">
        <v>123.5790276</v>
      </c>
      <c r="AF151" s="2" t="s">
        <v>20</v>
      </c>
      <c r="AG151">
        <v>193.8075168</v>
      </c>
      <c r="AH151">
        <v>668.8825908</v>
      </c>
      <c r="AI151">
        <v>140.62946640000001</v>
      </c>
      <c r="AJ151">
        <v>91.789489200000006</v>
      </c>
      <c r="AK151">
        <v>222.250788</v>
      </c>
      <c r="AL151">
        <v>309.65045759999998</v>
      </c>
      <c r="AM151">
        <v>615.41131080000002</v>
      </c>
      <c r="AN151">
        <v>257.70569640000002</v>
      </c>
      <c r="AO151">
        <v>307.45123560000002</v>
      </c>
      <c r="AP151">
        <v>91.772240400000001</v>
      </c>
      <c r="AQ151">
        <v>60.603658799999998</v>
      </c>
    </row>
    <row r="152" spans="2:43" x14ac:dyDescent="0.2">
      <c r="W152" s="3">
        <v>45856</v>
      </c>
      <c r="X152">
        <v>27.7334928</v>
      </c>
      <c r="Y152">
        <v>818.02620899999999</v>
      </c>
      <c r="Z152">
        <v>161.9278128</v>
      </c>
      <c r="AA152">
        <v>75.019786199999999</v>
      </c>
      <c r="AB152">
        <v>131.81151059999999</v>
      </c>
      <c r="AC152">
        <v>949.33018979999997</v>
      </c>
      <c r="AD152">
        <v>182.60750160000001</v>
      </c>
      <c r="AE152">
        <v>123.4071612</v>
      </c>
      <c r="AF152" s="2" t="s">
        <v>20</v>
      </c>
      <c r="AG152">
        <v>197.60113620000001</v>
      </c>
      <c r="AH152">
        <v>669.06191160000003</v>
      </c>
      <c r="AI152">
        <v>139.742739</v>
      </c>
      <c r="AJ152">
        <v>91.854291599999996</v>
      </c>
      <c r="AK152">
        <v>219.48513299999999</v>
      </c>
      <c r="AL152">
        <v>309.16306800000001</v>
      </c>
      <c r="AM152">
        <v>623.86595279999995</v>
      </c>
      <c r="AN152">
        <v>257.0853492</v>
      </c>
      <c r="AO152">
        <v>306.23831999999999</v>
      </c>
      <c r="AP152">
        <v>90.985469399999999</v>
      </c>
      <c r="AQ152">
        <v>58.667003999999999</v>
      </c>
    </row>
    <row r="153" spans="2:43" x14ac:dyDescent="0.2">
      <c r="W153" s="3">
        <v>45859</v>
      </c>
      <c r="X153">
        <v>27.4135442</v>
      </c>
      <c r="Y153">
        <v>810.23012919999996</v>
      </c>
      <c r="Z153">
        <v>159.88098859999999</v>
      </c>
      <c r="AA153">
        <v>73.570222799999996</v>
      </c>
      <c r="AB153">
        <v>130.6717974</v>
      </c>
      <c r="AC153">
        <v>934.60861139999997</v>
      </c>
      <c r="AD153">
        <v>179.57325069999999</v>
      </c>
      <c r="AE153">
        <v>121.9842862</v>
      </c>
      <c r="AF153" s="2" t="s">
        <v>20</v>
      </c>
      <c r="AG153">
        <v>194.9046558</v>
      </c>
      <c r="AH153">
        <v>674.81269329999998</v>
      </c>
      <c r="AI153">
        <v>139.37640999999999</v>
      </c>
      <c r="AJ153">
        <v>92.227850200000006</v>
      </c>
      <c r="AK153">
        <v>217.73502479999999</v>
      </c>
      <c r="AL153">
        <v>311.27968279999999</v>
      </c>
      <c r="AM153">
        <v>619.72908389999998</v>
      </c>
      <c r="AN153">
        <v>255.6573793</v>
      </c>
      <c r="AO153">
        <v>299.88159969999998</v>
      </c>
      <c r="AP153">
        <v>89.525829000000002</v>
      </c>
      <c r="AQ153">
        <v>58.999830000000003</v>
      </c>
    </row>
    <row r="154" spans="2:43" x14ac:dyDescent="0.2">
      <c r="W154" s="3">
        <v>45860</v>
      </c>
      <c r="X154">
        <v>27.73771</v>
      </c>
      <c r="Y154">
        <v>801.16886850000003</v>
      </c>
      <c r="Z154">
        <v>161.27010899999999</v>
      </c>
      <c r="AA154">
        <v>75.725650000000002</v>
      </c>
      <c r="AB154">
        <v>128.64851999999999</v>
      </c>
      <c r="AC154">
        <v>936.26683149999997</v>
      </c>
      <c r="AD154">
        <v>178.93375499999999</v>
      </c>
      <c r="AE154">
        <v>123.01589300000001</v>
      </c>
      <c r="AF154" s="2" t="s">
        <v>20</v>
      </c>
      <c r="AG154">
        <v>198.46076249999999</v>
      </c>
      <c r="AH154">
        <v>681.14796750000005</v>
      </c>
      <c r="AI154">
        <v>140.6199795</v>
      </c>
      <c r="AJ154">
        <v>92.904311500000006</v>
      </c>
      <c r="AK154">
        <v>221.33161050000001</v>
      </c>
      <c r="AL154">
        <v>315.67385849999999</v>
      </c>
      <c r="AM154">
        <v>612.59498299999996</v>
      </c>
      <c r="AN154">
        <v>267.72846099999998</v>
      </c>
      <c r="AO154">
        <v>300.87757699999997</v>
      </c>
      <c r="AP154">
        <v>90.564474000000004</v>
      </c>
      <c r="AQ154">
        <v>59.533974499999999</v>
      </c>
    </row>
    <row r="155" spans="2:43" x14ac:dyDescent="0.2">
      <c r="W155" s="3">
        <v>45861</v>
      </c>
      <c r="X155">
        <v>27.595657599999999</v>
      </c>
      <c r="Y155">
        <v>799.65384779999999</v>
      </c>
      <c r="Z155">
        <v>162.19245799999999</v>
      </c>
      <c r="AA155">
        <v>76.193921599999996</v>
      </c>
      <c r="AB155">
        <v>128.13968840000001</v>
      </c>
      <c r="AC155">
        <v>951.88875940000003</v>
      </c>
      <c r="AD155">
        <v>178.25027600000001</v>
      </c>
      <c r="AE155">
        <v>123.3988088</v>
      </c>
      <c r="AF155" s="2" t="s">
        <v>20</v>
      </c>
      <c r="AG155">
        <v>200.88415280000001</v>
      </c>
      <c r="AH155">
        <v>676.47594019999997</v>
      </c>
      <c r="AI155">
        <v>142.72766379999999</v>
      </c>
      <c r="AJ155">
        <v>93.458200000000005</v>
      </c>
      <c r="AK155">
        <v>223.6539688</v>
      </c>
      <c r="AL155">
        <v>319.75448699999998</v>
      </c>
      <c r="AM155">
        <v>611.73489619999998</v>
      </c>
      <c r="AN155">
        <v>269.20209699999998</v>
      </c>
      <c r="AO155">
        <v>304.15546380000001</v>
      </c>
      <c r="AP155">
        <v>91.206706999999994</v>
      </c>
      <c r="AQ155">
        <v>61.0961742</v>
      </c>
    </row>
    <row r="156" spans="2:43" x14ac:dyDescent="0.2">
      <c r="W156" s="3">
        <v>45862</v>
      </c>
      <c r="X156">
        <v>27.326732400000001</v>
      </c>
      <c r="Y156">
        <v>794.449026</v>
      </c>
      <c r="Z156">
        <v>158.77920510000001</v>
      </c>
      <c r="AA156">
        <v>73.821312899999995</v>
      </c>
      <c r="AB156">
        <v>127.019961</v>
      </c>
      <c r="AC156">
        <v>951.47564490000002</v>
      </c>
      <c r="AD156">
        <v>177.2324064</v>
      </c>
      <c r="AE156">
        <v>124.552728</v>
      </c>
      <c r="AF156" s="2" t="s">
        <v>20</v>
      </c>
      <c r="AG156">
        <v>202.4407215</v>
      </c>
      <c r="AH156">
        <v>671.71694579999996</v>
      </c>
      <c r="AI156">
        <v>140.89601970000001</v>
      </c>
      <c r="AJ156">
        <v>93.346484399999994</v>
      </c>
      <c r="AK156">
        <v>222.75710910000001</v>
      </c>
      <c r="AL156">
        <v>317.41377929999999</v>
      </c>
      <c r="AM156">
        <v>606.59901000000002</v>
      </c>
      <c r="AN156">
        <v>277.64028180000003</v>
      </c>
      <c r="AO156">
        <v>303.73339770000001</v>
      </c>
      <c r="AP156">
        <v>91.5088212</v>
      </c>
      <c r="AQ156">
        <v>59.945254200000001</v>
      </c>
    </row>
    <row r="157" spans="2:43" x14ac:dyDescent="0.2">
      <c r="W157" s="3">
        <v>45863</v>
      </c>
      <c r="X157">
        <v>27.180618899999999</v>
      </c>
      <c r="Y157">
        <v>796.8325092</v>
      </c>
      <c r="Z157">
        <v>158.858835</v>
      </c>
      <c r="AA157">
        <v>77.001816000000005</v>
      </c>
      <c r="AB157">
        <v>128.8502733</v>
      </c>
      <c r="AC157">
        <v>956.79867119999994</v>
      </c>
      <c r="AD157">
        <v>179.21661599999999</v>
      </c>
      <c r="AE157">
        <v>126.0564021</v>
      </c>
      <c r="AF157" s="2" t="s">
        <v>20</v>
      </c>
      <c r="AG157">
        <v>203.40745200000001</v>
      </c>
      <c r="AH157">
        <v>682.65005970000004</v>
      </c>
      <c r="AI157">
        <v>141.78044550000001</v>
      </c>
      <c r="AJ157">
        <v>93.943919100000002</v>
      </c>
      <c r="AK157">
        <v>222.913443</v>
      </c>
      <c r="AL157">
        <v>319.71085859999999</v>
      </c>
      <c r="AM157">
        <v>608.75727719999998</v>
      </c>
      <c r="AN157">
        <v>276.74657100000002</v>
      </c>
      <c r="AO157">
        <v>305.38375079999997</v>
      </c>
      <c r="AP157">
        <v>91.081904699999996</v>
      </c>
      <c r="AQ157">
        <v>60.400428900000001</v>
      </c>
    </row>
    <row r="158" spans="2:43" x14ac:dyDescent="0.2">
      <c r="W158" s="3">
        <v>45866</v>
      </c>
      <c r="X158">
        <v>26.941611200000001</v>
      </c>
      <c r="Y158">
        <v>805.99601040000005</v>
      </c>
      <c r="Z158">
        <v>159.5871928</v>
      </c>
      <c r="AA158">
        <v>79.841059200000004</v>
      </c>
      <c r="AB158">
        <v>131.21306799999999</v>
      </c>
      <c r="AC158">
        <v>964.63394719999997</v>
      </c>
      <c r="AD158">
        <v>178.00275920000001</v>
      </c>
      <c r="AE158">
        <v>126.2165296</v>
      </c>
      <c r="AF158" s="2" t="s">
        <v>20</v>
      </c>
      <c r="AG158">
        <v>204.03826240000001</v>
      </c>
      <c r="AH158">
        <v>684.86231520000001</v>
      </c>
      <c r="AI158">
        <v>143.769136</v>
      </c>
      <c r="AJ158">
        <v>92.440275200000002</v>
      </c>
      <c r="AK158">
        <v>224.3782296</v>
      </c>
      <c r="AL158">
        <v>325.53440080000001</v>
      </c>
      <c r="AM158">
        <v>637.33910800000001</v>
      </c>
      <c r="AN158">
        <v>277.42438079999999</v>
      </c>
      <c r="AO158">
        <v>307.2396488</v>
      </c>
      <c r="AP158">
        <v>91.473759999999999</v>
      </c>
      <c r="AQ158">
        <v>60.295015200000002</v>
      </c>
    </row>
    <row r="159" spans="2:43" x14ac:dyDescent="0.2">
      <c r="W159" s="3">
        <v>45867</v>
      </c>
      <c r="X159">
        <v>27.717759999999998</v>
      </c>
      <c r="Y159">
        <v>809.50584260000005</v>
      </c>
      <c r="Z159">
        <v>159.42042900000001</v>
      </c>
      <c r="AA159">
        <v>79.168852000000001</v>
      </c>
      <c r="AB159">
        <v>131.47746219999999</v>
      </c>
      <c r="AC159">
        <v>971.4468554</v>
      </c>
      <c r="AD159">
        <v>175.76524559999999</v>
      </c>
      <c r="AE159">
        <v>127.5796522</v>
      </c>
      <c r="AF159" s="2" t="s">
        <v>20</v>
      </c>
      <c r="AG159">
        <v>205.674441</v>
      </c>
      <c r="AH159">
        <v>702.58458340000004</v>
      </c>
      <c r="AI159">
        <v>144.6607218</v>
      </c>
      <c r="AJ159">
        <v>95.037269600000002</v>
      </c>
      <c r="AK159">
        <v>224.77370999999999</v>
      </c>
      <c r="AL159">
        <v>326.84436119999998</v>
      </c>
      <c r="AM159">
        <v>627.4348066</v>
      </c>
      <c r="AN159">
        <v>274.12864639999998</v>
      </c>
      <c r="AO159">
        <v>306.54110200000002</v>
      </c>
      <c r="AP159">
        <v>90.879605600000005</v>
      </c>
      <c r="AQ159">
        <v>59.108123200000001</v>
      </c>
    </row>
    <row r="160" spans="2:43" x14ac:dyDescent="0.2">
      <c r="W160" s="3">
        <v>45868</v>
      </c>
      <c r="X160">
        <v>27.5168082</v>
      </c>
      <c r="Y160">
        <v>813.32424390000006</v>
      </c>
      <c r="Z160">
        <v>159.7868958</v>
      </c>
      <c r="AA160">
        <v>82.129517399999997</v>
      </c>
      <c r="AB160">
        <v>128.56961179999999</v>
      </c>
      <c r="AC160">
        <v>977.42543850000004</v>
      </c>
      <c r="AD160">
        <v>175.8690584</v>
      </c>
      <c r="AE160">
        <v>127.9470199</v>
      </c>
      <c r="AF160" s="2" t="s">
        <v>20</v>
      </c>
      <c r="AG160">
        <v>206.5689773</v>
      </c>
      <c r="AH160">
        <v>698.91640559999996</v>
      </c>
      <c r="AI160">
        <v>146.92291950000001</v>
      </c>
      <c r="AJ160">
        <v>95.133796099999998</v>
      </c>
      <c r="AK160">
        <v>222.44068630000001</v>
      </c>
      <c r="AL160">
        <v>326.2732312</v>
      </c>
      <c r="AM160">
        <v>640.60322059999999</v>
      </c>
      <c r="AN160">
        <v>273.80013359999998</v>
      </c>
      <c r="AO160">
        <v>307.95499910000001</v>
      </c>
      <c r="AP160">
        <v>91.108870999999994</v>
      </c>
      <c r="AQ160">
        <v>58.4710252</v>
      </c>
    </row>
    <row r="161" spans="23:43" x14ac:dyDescent="0.2">
      <c r="W161" s="3">
        <v>45869</v>
      </c>
      <c r="X161">
        <v>26.850625999999998</v>
      </c>
      <c r="Y161">
        <v>823.16222560000006</v>
      </c>
      <c r="Z161">
        <v>158.68588560000001</v>
      </c>
      <c r="AA161">
        <v>81.769573600000001</v>
      </c>
      <c r="AB161">
        <v>130.72268879999999</v>
      </c>
      <c r="AC161">
        <v>968.90900039999997</v>
      </c>
      <c r="AD161">
        <v>174.50716800000001</v>
      </c>
      <c r="AE161">
        <v>126.4388532</v>
      </c>
      <c r="AF161" s="2" t="s">
        <v>20</v>
      </c>
      <c r="AG161">
        <v>202.83830159999999</v>
      </c>
      <c r="AH161">
        <v>687.84032679999996</v>
      </c>
      <c r="AI161">
        <v>143.5917164</v>
      </c>
      <c r="AJ161">
        <v>93.543551199999996</v>
      </c>
      <c r="AK161">
        <v>224.23995880000001</v>
      </c>
      <c r="AL161">
        <v>321.95346039999998</v>
      </c>
      <c r="AM161">
        <v>623.07468960000006</v>
      </c>
      <c r="AN161">
        <v>269.94296559999998</v>
      </c>
      <c r="AO161">
        <v>308.11202839999999</v>
      </c>
      <c r="AP161">
        <v>88.874257999999998</v>
      </c>
      <c r="AQ161">
        <v>60.131385600000002</v>
      </c>
    </row>
    <row r="162" spans="23:43" x14ac:dyDescent="0.2">
      <c r="W162" s="3">
        <v>45870</v>
      </c>
      <c r="X162">
        <v>26.1913084</v>
      </c>
      <c r="Y162">
        <v>822.27241519999995</v>
      </c>
      <c r="Z162">
        <v>151.04460220000001</v>
      </c>
      <c r="AA162">
        <v>78.591190400000002</v>
      </c>
      <c r="AB162">
        <v>124.66337660000001</v>
      </c>
      <c r="AC162">
        <v>942.50726799999995</v>
      </c>
      <c r="AD162">
        <v>170.7355628</v>
      </c>
      <c r="AE162">
        <v>120.2866484</v>
      </c>
      <c r="AF162" s="2" t="s">
        <v>20</v>
      </c>
      <c r="AG162">
        <v>195.47659440000001</v>
      </c>
      <c r="AH162">
        <v>666.22090500000002</v>
      </c>
      <c r="AI162">
        <v>136.98209679999999</v>
      </c>
      <c r="AJ162">
        <v>90.564606600000005</v>
      </c>
      <c r="AK162">
        <v>217.8091306</v>
      </c>
      <c r="AL162">
        <v>322.56573159999999</v>
      </c>
      <c r="AM162">
        <v>678.19432119999999</v>
      </c>
      <c r="AN162">
        <v>266.4624642</v>
      </c>
      <c r="AO162">
        <v>297.39307000000002</v>
      </c>
      <c r="AP162">
        <v>88.967575600000004</v>
      </c>
      <c r="AQ162">
        <v>56.673018999999996</v>
      </c>
    </row>
    <row r="163" spans="23:43" x14ac:dyDescent="0.2">
      <c r="W163" s="3">
        <v>45873</v>
      </c>
      <c r="X163">
        <v>26.093216999999999</v>
      </c>
      <c r="Y163">
        <v>825.72629099999995</v>
      </c>
      <c r="Z163">
        <v>152.20322999999999</v>
      </c>
      <c r="AA163">
        <v>79.947749999999999</v>
      </c>
      <c r="AB163">
        <v>127.804041</v>
      </c>
      <c r="AC163">
        <v>964.61065799999994</v>
      </c>
      <c r="AD163">
        <v>172.06484399999999</v>
      </c>
      <c r="AE163">
        <v>120.509349</v>
      </c>
      <c r="AF163" s="2" t="s">
        <v>20</v>
      </c>
      <c r="AG163">
        <v>198.20127600000001</v>
      </c>
      <c r="AH163">
        <v>672.76247699999999</v>
      </c>
      <c r="AI163">
        <v>139.774596</v>
      </c>
      <c r="AJ163">
        <v>90.933002999999999</v>
      </c>
      <c r="AK163">
        <v>219.169194</v>
      </c>
      <c r="AL163">
        <v>329.14272599999998</v>
      </c>
      <c r="AM163">
        <v>717.91350899999998</v>
      </c>
      <c r="AN163">
        <v>267.76878299999998</v>
      </c>
      <c r="AO163">
        <v>302.64328799999998</v>
      </c>
      <c r="AP163">
        <v>91.563941999999997</v>
      </c>
      <c r="AQ163">
        <v>56.058498</v>
      </c>
    </row>
    <row r="164" spans="23:43" x14ac:dyDescent="0.2">
      <c r="W164" s="3">
        <v>45874</v>
      </c>
      <c r="X164">
        <v>26.317744600000001</v>
      </c>
      <c r="Y164">
        <v>815.30575629999998</v>
      </c>
      <c r="Z164">
        <v>153.08529179999999</v>
      </c>
      <c r="AA164">
        <v>78.555789200000007</v>
      </c>
      <c r="AB164">
        <v>129.6792609</v>
      </c>
      <c r="AC164">
        <v>958.74005639999996</v>
      </c>
      <c r="AD164">
        <v>173.234005</v>
      </c>
      <c r="AE164">
        <v>120.25291180000001</v>
      </c>
      <c r="AF164" s="2" t="s">
        <v>20</v>
      </c>
      <c r="AG164">
        <v>192.90751270000001</v>
      </c>
      <c r="AH164">
        <v>673.01194940000005</v>
      </c>
      <c r="AI164">
        <v>139.38209320000001</v>
      </c>
      <c r="AJ164">
        <v>92.483630399999996</v>
      </c>
      <c r="AK164">
        <v>221.22112039999999</v>
      </c>
      <c r="AL164">
        <v>332.9980941</v>
      </c>
      <c r="AM164">
        <v>693.60994779999999</v>
      </c>
      <c r="AN164">
        <v>269.55383979999999</v>
      </c>
      <c r="AO164">
        <v>298.94745999999998</v>
      </c>
      <c r="AP164">
        <v>91.282656500000002</v>
      </c>
      <c r="AQ164">
        <v>55.970567799999998</v>
      </c>
    </row>
    <row r="165" spans="23:43" x14ac:dyDescent="0.2">
      <c r="W165" s="3">
        <v>45875</v>
      </c>
      <c r="X165">
        <v>25.9543046</v>
      </c>
      <c r="Y165">
        <v>830.74359760000004</v>
      </c>
      <c r="Z165">
        <v>149.498853</v>
      </c>
      <c r="AA165">
        <v>77.322556500000005</v>
      </c>
      <c r="AB165">
        <v>129.3598222</v>
      </c>
      <c r="AC165">
        <v>961.09836340000004</v>
      </c>
      <c r="AD165">
        <v>174.887069</v>
      </c>
      <c r="AE165">
        <v>119.2903068</v>
      </c>
      <c r="AF165" s="2" t="s">
        <v>20</v>
      </c>
      <c r="AG165">
        <v>191.49233459999999</v>
      </c>
      <c r="AH165">
        <v>663.00982999999997</v>
      </c>
      <c r="AI165">
        <v>137.87688249999999</v>
      </c>
      <c r="AJ165">
        <v>90.685678300000006</v>
      </c>
      <c r="AK165">
        <v>220.86890210000001</v>
      </c>
      <c r="AL165">
        <v>331.76222799999999</v>
      </c>
      <c r="AM165">
        <v>691.18560349999996</v>
      </c>
      <c r="AN165">
        <v>265.5127076</v>
      </c>
      <c r="AO165">
        <v>281.9035457</v>
      </c>
      <c r="AP165">
        <v>90.419788199999999</v>
      </c>
      <c r="AQ165">
        <v>55.854075199999997</v>
      </c>
    </row>
    <row r="166" spans="23:43" x14ac:dyDescent="0.2">
      <c r="W166" s="3">
        <v>45876</v>
      </c>
      <c r="X166">
        <v>25.906699400000001</v>
      </c>
      <c r="Y166">
        <v>837.93856149999999</v>
      </c>
      <c r="Z166">
        <v>149.13926190000001</v>
      </c>
      <c r="AA166">
        <v>78.200169399999993</v>
      </c>
      <c r="AB166">
        <v>130.0821498</v>
      </c>
      <c r="AC166">
        <v>953.99577409999995</v>
      </c>
      <c r="AD166">
        <v>174.29156370000001</v>
      </c>
      <c r="AE166">
        <v>120.4635804</v>
      </c>
      <c r="AF166" s="2" t="s">
        <v>20</v>
      </c>
      <c r="AG166">
        <v>200.06967259999999</v>
      </c>
      <c r="AH166">
        <v>668.10480180000002</v>
      </c>
      <c r="AI166">
        <v>138.23478750000001</v>
      </c>
      <c r="AJ166">
        <v>91.119228300000003</v>
      </c>
      <c r="AK166">
        <v>220.12979060000001</v>
      </c>
      <c r="AL166">
        <v>331.0519559</v>
      </c>
      <c r="AM166">
        <v>684.05002379999996</v>
      </c>
      <c r="AN166">
        <v>264.58781279999999</v>
      </c>
      <c r="AO166">
        <v>285.11942929999998</v>
      </c>
      <c r="AP166">
        <v>89.207516200000001</v>
      </c>
      <c r="AQ166">
        <v>56.408366000000001</v>
      </c>
    </row>
    <row r="167" spans="23:43" x14ac:dyDescent="0.2">
      <c r="W167" s="3">
        <v>45877</v>
      </c>
      <c r="X167">
        <v>25.732441000000001</v>
      </c>
      <c r="Y167">
        <v>842.83839639999997</v>
      </c>
      <c r="Z167">
        <v>149.08491359999999</v>
      </c>
      <c r="AA167">
        <v>77.919034199999999</v>
      </c>
      <c r="AB167">
        <v>131.71229400000001</v>
      </c>
      <c r="AC167">
        <v>966.55172459999994</v>
      </c>
      <c r="AD167">
        <v>174.9891906</v>
      </c>
      <c r="AE167">
        <v>121.30762420000001</v>
      </c>
      <c r="AF167" s="2" t="s">
        <v>20</v>
      </c>
      <c r="AG167">
        <v>197.48252299999999</v>
      </c>
      <c r="AH167">
        <v>666.89551600000004</v>
      </c>
      <c r="AI167">
        <v>141.73033280000001</v>
      </c>
      <c r="AJ167">
        <v>90.798142400000003</v>
      </c>
      <c r="AK167">
        <v>220.80066819999999</v>
      </c>
      <c r="AL167">
        <v>333.23296299999998</v>
      </c>
      <c r="AM167">
        <v>691.02988219999997</v>
      </c>
      <c r="AN167">
        <v>262.63414239999997</v>
      </c>
      <c r="AO167">
        <v>286.30455139999998</v>
      </c>
      <c r="AP167">
        <v>90.265450799999996</v>
      </c>
      <c r="AQ167">
        <v>57.479142000000003</v>
      </c>
    </row>
    <row r="168" spans="23:43" x14ac:dyDescent="0.2">
      <c r="W168" s="3">
        <v>45880</v>
      </c>
      <c r="X168">
        <v>25.744796999999998</v>
      </c>
      <c r="Y168">
        <v>851.33480220000001</v>
      </c>
      <c r="Z168">
        <v>150.92994870000001</v>
      </c>
      <c r="AA168">
        <v>76.752214199999997</v>
      </c>
      <c r="AB168">
        <v>133.72656929999999</v>
      </c>
      <c r="AC168">
        <v>971.1815679</v>
      </c>
      <c r="AD168">
        <v>175.0904505</v>
      </c>
      <c r="AE168">
        <v>119.338758</v>
      </c>
      <c r="AF168" s="2" t="s">
        <v>20</v>
      </c>
      <c r="AG168">
        <v>190.32207120000001</v>
      </c>
      <c r="AH168">
        <v>668.80505249999999</v>
      </c>
      <c r="AI168">
        <v>139.04773470000001</v>
      </c>
      <c r="AJ168">
        <v>89.616002399999999</v>
      </c>
      <c r="AK168">
        <v>221.18999669999999</v>
      </c>
      <c r="AL168">
        <v>333.67495589999999</v>
      </c>
      <c r="AM168">
        <v>686.68003529999999</v>
      </c>
      <c r="AN168">
        <v>264.03484950000001</v>
      </c>
      <c r="AO168">
        <v>283.93325279999999</v>
      </c>
      <c r="AP168">
        <v>90.640628100000001</v>
      </c>
      <c r="AQ168">
        <v>57.499583399999999</v>
      </c>
    </row>
    <row r="169" spans="23:43" x14ac:dyDescent="0.2">
      <c r="W169" s="3">
        <v>45881</v>
      </c>
      <c r="X169">
        <v>25.7261004</v>
      </c>
      <c r="Y169">
        <v>849.18404999999996</v>
      </c>
      <c r="Z169">
        <v>152.48047320000001</v>
      </c>
      <c r="AA169">
        <v>78.557556000000005</v>
      </c>
      <c r="AB169">
        <v>135.22693799999999</v>
      </c>
      <c r="AC169">
        <v>993.41469480000001</v>
      </c>
      <c r="AD169">
        <v>175.11395880000001</v>
      </c>
      <c r="AE169">
        <v>115.6432332</v>
      </c>
      <c r="AF169" s="2" t="s">
        <v>20</v>
      </c>
      <c r="AG169">
        <v>184.36610279999999</v>
      </c>
      <c r="AH169">
        <v>674.48129759999995</v>
      </c>
      <c r="AI169">
        <v>143.14266119999999</v>
      </c>
      <c r="AJ169">
        <v>89.788630800000007</v>
      </c>
      <c r="AK169">
        <v>223.14800640000001</v>
      </c>
      <c r="AL169">
        <v>339.24527999999998</v>
      </c>
      <c r="AM169">
        <v>720.0909408</v>
      </c>
      <c r="AN169">
        <v>268.012338</v>
      </c>
      <c r="AO169">
        <v>291.05703</v>
      </c>
      <c r="AP169">
        <v>92.213035199999993</v>
      </c>
      <c r="AQ169">
        <v>61.423955999999997</v>
      </c>
    </row>
    <row r="170" spans="23:43" x14ac:dyDescent="0.2">
      <c r="W170" s="3">
        <v>45882</v>
      </c>
      <c r="X170">
        <v>26.093681400000001</v>
      </c>
      <c r="Y170">
        <v>836.33922849999999</v>
      </c>
      <c r="Z170">
        <v>156.21178029999999</v>
      </c>
      <c r="AA170">
        <v>81.391096599999997</v>
      </c>
      <c r="AB170">
        <v>136.87648200000001</v>
      </c>
      <c r="AC170">
        <v>991.14123229999996</v>
      </c>
      <c r="AD170">
        <v>178.8707335</v>
      </c>
      <c r="AE170">
        <v>118.4297701</v>
      </c>
      <c r="AF170" s="2" t="s">
        <v>20</v>
      </c>
      <c r="AG170">
        <v>189.2432709</v>
      </c>
      <c r="AH170">
        <v>669.85744</v>
      </c>
      <c r="AI170">
        <v>145.43767020000001</v>
      </c>
      <c r="AJ170">
        <v>90.729797899999994</v>
      </c>
      <c r="AK170">
        <v>228.40088119999999</v>
      </c>
      <c r="AL170">
        <v>347.89866380000001</v>
      </c>
      <c r="AM170">
        <v>736.33053800000005</v>
      </c>
      <c r="AN170">
        <v>282.57901930000003</v>
      </c>
      <c r="AO170">
        <v>298.19763410000002</v>
      </c>
      <c r="AP170">
        <v>93.942379500000001</v>
      </c>
      <c r="AQ170">
        <v>63.841515200000003</v>
      </c>
    </row>
    <row r="171" spans="23:43" x14ac:dyDescent="0.2">
      <c r="W171" s="3">
        <v>45883</v>
      </c>
      <c r="X171">
        <v>25.974464999999999</v>
      </c>
      <c r="Y171">
        <v>837.52837739999995</v>
      </c>
      <c r="Z171">
        <v>154.04360399999999</v>
      </c>
      <c r="AA171">
        <v>76.850070000000002</v>
      </c>
      <c r="AB171">
        <v>134.50908899999999</v>
      </c>
      <c r="AC171">
        <v>996.18298560000005</v>
      </c>
      <c r="AD171">
        <v>177.73403339999999</v>
      </c>
      <c r="AE171">
        <v>118.05716339999999</v>
      </c>
      <c r="AF171" s="2" t="s">
        <v>20</v>
      </c>
      <c r="AG171">
        <v>185.47056000000001</v>
      </c>
      <c r="AH171">
        <v>665.77920419999998</v>
      </c>
      <c r="AI171">
        <v>141.2323968</v>
      </c>
      <c r="AJ171">
        <v>90.889161000000001</v>
      </c>
      <c r="AK171">
        <v>225.38966339999999</v>
      </c>
      <c r="AL171">
        <v>343.73877119999997</v>
      </c>
      <c r="AM171">
        <v>728.83919460000004</v>
      </c>
      <c r="AN171">
        <v>280.0004394</v>
      </c>
      <c r="AO171">
        <v>298.39293659999998</v>
      </c>
      <c r="AP171">
        <v>93.645459599999995</v>
      </c>
      <c r="AQ171">
        <v>63.789851400000003</v>
      </c>
    </row>
    <row r="172" spans="23:43" x14ac:dyDescent="0.2">
      <c r="W172" s="3">
        <v>45884</v>
      </c>
      <c r="X172">
        <v>26.109256800000001</v>
      </c>
      <c r="Y172">
        <v>831.01643679999995</v>
      </c>
      <c r="Z172">
        <v>150.9275768</v>
      </c>
      <c r="AA172">
        <v>77.772072399999999</v>
      </c>
      <c r="AB172">
        <v>130.28125879999999</v>
      </c>
      <c r="AC172">
        <v>970.34274919999996</v>
      </c>
      <c r="AD172">
        <v>177.1479732</v>
      </c>
      <c r="AE172">
        <v>118.19269</v>
      </c>
      <c r="AF172" s="2" t="s">
        <v>20</v>
      </c>
      <c r="AG172">
        <v>185.6715256</v>
      </c>
      <c r="AH172">
        <v>667.95754520000003</v>
      </c>
      <c r="AI172">
        <v>139.693928</v>
      </c>
      <c r="AJ172">
        <v>91.125922799999998</v>
      </c>
      <c r="AK172">
        <v>221.11650879999999</v>
      </c>
      <c r="AL172">
        <v>341.43794960000002</v>
      </c>
      <c r="AM172">
        <v>706.5657324</v>
      </c>
      <c r="AN172">
        <v>275.07051000000001</v>
      </c>
      <c r="AO172">
        <v>292.62201759999999</v>
      </c>
      <c r="AP172">
        <v>91.5106368</v>
      </c>
      <c r="AQ172">
        <v>63.417965600000002</v>
      </c>
    </row>
    <row r="173" spans="23:43" x14ac:dyDescent="0.2">
      <c r="W173" s="3">
        <v>45887</v>
      </c>
      <c r="X173">
        <v>25.686018499999999</v>
      </c>
      <c r="Y173">
        <v>839.91994050000005</v>
      </c>
      <c r="Z173">
        <v>151.92915450000001</v>
      </c>
      <c r="AA173">
        <v>77.821346199999994</v>
      </c>
      <c r="AB173">
        <v>131.0973218</v>
      </c>
      <c r="AC173">
        <v>974.3705956</v>
      </c>
      <c r="AD173">
        <v>178.08686950000001</v>
      </c>
      <c r="AE173">
        <v>117.9841591</v>
      </c>
      <c r="AF173" s="2" t="s">
        <v>20</v>
      </c>
      <c r="AG173">
        <v>193.2068864</v>
      </c>
      <c r="AH173">
        <v>660.07492950000005</v>
      </c>
      <c r="AI173">
        <v>141.02010089999999</v>
      </c>
      <c r="AJ173">
        <v>90.428507199999999</v>
      </c>
      <c r="AK173">
        <v>222.3148486</v>
      </c>
      <c r="AL173">
        <v>338.50656099999998</v>
      </c>
      <c r="AM173">
        <v>729.25136529999997</v>
      </c>
      <c r="AN173">
        <v>271.0796904</v>
      </c>
      <c r="AO173">
        <v>294.01271659999998</v>
      </c>
      <c r="AP173">
        <v>91.457663199999999</v>
      </c>
      <c r="AQ173">
        <v>64.931167299999998</v>
      </c>
    </row>
    <row r="174" spans="23:43" x14ac:dyDescent="0.2">
      <c r="W174" s="3">
        <v>45888</v>
      </c>
      <c r="X174">
        <v>26.189129999999999</v>
      </c>
      <c r="Y174">
        <v>842.21666100000004</v>
      </c>
      <c r="Z174">
        <v>154.30978859999999</v>
      </c>
      <c r="AA174">
        <v>77.167774199999997</v>
      </c>
      <c r="AB174">
        <v>132.52558440000001</v>
      </c>
      <c r="AC174">
        <v>968.97205020000001</v>
      </c>
      <c r="AD174">
        <v>181.11715380000001</v>
      </c>
      <c r="AE174">
        <v>119.3623266</v>
      </c>
      <c r="AF174" s="2" t="s">
        <v>20</v>
      </c>
      <c r="AG174">
        <v>195.7143738</v>
      </c>
      <c r="AH174">
        <v>664.13916359999996</v>
      </c>
      <c r="AI174">
        <v>140.37373679999999</v>
      </c>
      <c r="AJ174">
        <v>95.105181599999995</v>
      </c>
      <c r="AK174">
        <v>226.63472039999999</v>
      </c>
      <c r="AL174">
        <v>349.64635199999998</v>
      </c>
      <c r="AM174">
        <v>725.39596800000004</v>
      </c>
      <c r="AN174">
        <v>278.87559479999999</v>
      </c>
      <c r="AO174">
        <v>294.95829659999998</v>
      </c>
      <c r="AP174">
        <v>91.275558000000004</v>
      </c>
      <c r="AQ174">
        <v>65.378372400000003</v>
      </c>
    </row>
    <row r="175" spans="23:43" x14ac:dyDescent="0.2">
      <c r="W175" s="3">
        <v>45889</v>
      </c>
      <c r="X175">
        <v>26.221064999999999</v>
      </c>
      <c r="Y175">
        <v>853.63943099999995</v>
      </c>
      <c r="Z175">
        <v>153.412542</v>
      </c>
      <c r="AA175">
        <v>74.303031000000004</v>
      </c>
      <c r="AB175">
        <v>132.82192499999999</v>
      </c>
      <c r="AC175">
        <v>968.55721800000003</v>
      </c>
      <c r="AD175">
        <v>181.281543</v>
      </c>
      <c r="AE175">
        <v>119.200704</v>
      </c>
      <c r="AF175" s="2" t="s">
        <v>20</v>
      </c>
      <c r="AG175">
        <v>194.79118500000001</v>
      </c>
      <c r="AH175">
        <v>666.28970700000002</v>
      </c>
      <c r="AI175">
        <v>136.04913300000001</v>
      </c>
      <c r="AJ175">
        <v>94.567493999999996</v>
      </c>
      <c r="AK175">
        <v>224.89176599999999</v>
      </c>
      <c r="AL175">
        <v>344.81344200000001</v>
      </c>
      <c r="AM175">
        <v>709.18754100000001</v>
      </c>
      <c r="AN175">
        <v>270.32158500000003</v>
      </c>
      <c r="AO175">
        <v>291.49584599999997</v>
      </c>
      <c r="AP175">
        <v>90.773808000000002</v>
      </c>
      <c r="AQ175">
        <v>64.501244999999997</v>
      </c>
    </row>
    <row r="176" spans="23:43" x14ac:dyDescent="0.2">
      <c r="W176" s="3">
        <v>45890</v>
      </c>
      <c r="X176">
        <v>26.350785999999999</v>
      </c>
      <c r="Y176">
        <v>835.57325600000001</v>
      </c>
      <c r="Z176">
        <v>152.87419700000001</v>
      </c>
      <c r="AA176">
        <v>75.588324</v>
      </c>
      <c r="AB176">
        <v>133.029246</v>
      </c>
      <c r="AC176">
        <v>969.19707500000004</v>
      </c>
      <c r="AD176">
        <v>181.913487</v>
      </c>
      <c r="AE176">
        <v>119.267897</v>
      </c>
      <c r="AF176" s="2" t="s">
        <v>20</v>
      </c>
      <c r="AG176">
        <v>194.158244</v>
      </c>
      <c r="AH176">
        <v>665.39612299999999</v>
      </c>
      <c r="AI176">
        <v>138.380403</v>
      </c>
      <c r="AJ176">
        <v>93.399663000000004</v>
      </c>
      <c r="AK176">
        <v>224.90369999999999</v>
      </c>
      <c r="AL176">
        <v>342.69808999999998</v>
      </c>
      <c r="AM176">
        <v>707.23165800000004</v>
      </c>
      <c r="AN176">
        <v>265.94647099999997</v>
      </c>
      <c r="AO176">
        <v>292.56438400000002</v>
      </c>
      <c r="AP176">
        <v>90.073500999999993</v>
      </c>
      <c r="AQ176">
        <v>64.084629000000007</v>
      </c>
    </row>
    <row r="177" spans="23:43" x14ac:dyDescent="0.2">
      <c r="W177" s="3">
        <v>45891</v>
      </c>
      <c r="X177">
        <v>26.683848600000001</v>
      </c>
      <c r="Y177">
        <v>818.21932939999999</v>
      </c>
      <c r="Z177">
        <v>156.2703827</v>
      </c>
      <c r="AA177">
        <v>77.874840300000002</v>
      </c>
      <c r="AB177">
        <v>135.4849792</v>
      </c>
      <c r="AC177">
        <v>980.08939369999996</v>
      </c>
      <c r="AD177">
        <v>179.7275855</v>
      </c>
      <c r="AE177">
        <v>120.1968241</v>
      </c>
      <c r="AF177" s="2" t="s">
        <v>20</v>
      </c>
      <c r="AG177">
        <v>199.65084289999999</v>
      </c>
      <c r="AH177">
        <v>671.3386567</v>
      </c>
      <c r="AI177">
        <v>142.44190069999999</v>
      </c>
      <c r="AJ177">
        <v>95.843330800000004</v>
      </c>
      <c r="AK177">
        <v>229.97107009999999</v>
      </c>
      <c r="AL177">
        <v>352.36167189999998</v>
      </c>
      <c r="AM177">
        <v>720.44683999999995</v>
      </c>
      <c r="AN177">
        <v>276.33916529999999</v>
      </c>
      <c r="AO177">
        <v>299.77929590000002</v>
      </c>
      <c r="AP177">
        <v>92.437426900000006</v>
      </c>
      <c r="AQ177">
        <v>66.9486323</v>
      </c>
    </row>
    <row r="178" spans="23:43" x14ac:dyDescent="0.2">
      <c r="W178" s="3">
        <v>45894</v>
      </c>
      <c r="X178">
        <v>26.510484000000002</v>
      </c>
      <c r="Y178">
        <v>810.44615339999996</v>
      </c>
      <c r="Z178">
        <v>155.37037230000001</v>
      </c>
      <c r="AA178">
        <v>76.329536399999995</v>
      </c>
      <c r="AB178">
        <v>134.14477049999999</v>
      </c>
      <c r="AC178">
        <v>978.73608300000001</v>
      </c>
      <c r="AD178">
        <v>178.17971729999999</v>
      </c>
      <c r="AE178">
        <v>119.211105</v>
      </c>
      <c r="AF178" s="2" t="s">
        <v>20</v>
      </c>
      <c r="AG178">
        <v>198.63926939999999</v>
      </c>
      <c r="AH178">
        <v>673.41793740000003</v>
      </c>
      <c r="AI178">
        <v>142.2958836</v>
      </c>
      <c r="AJ178">
        <v>96.074682600000003</v>
      </c>
      <c r="AK178">
        <v>229.59112020000001</v>
      </c>
      <c r="AL178">
        <v>351.95249699999999</v>
      </c>
      <c r="AM178">
        <v>721.17123779999997</v>
      </c>
      <c r="AN178">
        <v>276.66444389999998</v>
      </c>
      <c r="AO178">
        <v>301.2296781</v>
      </c>
      <c r="AP178">
        <v>92.494045799999995</v>
      </c>
      <c r="AQ178">
        <v>67.851345899999998</v>
      </c>
    </row>
    <row r="179" spans="23:43" x14ac:dyDescent="0.2">
      <c r="W179" s="3">
        <v>45895</v>
      </c>
      <c r="X179">
        <v>26.352892799999999</v>
      </c>
      <c r="Y179">
        <v>808.57340639999995</v>
      </c>
      <c r="Z179">
        <v>156.51110159999999</v>
      </c>
      <c r="AA179">
        <v>77.151787200000001</v>
      </c>
      <c r="AB179">
        <v>134.48736719999999</v>
      </c>
      <c r="AC179">
        <v>979.04260799999997</v>
      </c>
      <c r="AD179">
        <v>177.30652319999999</v>
      </c>
      <c r="AE179">
        <v>118.5708384</v>
      </c>
      <c r="AF179" s="2" t="s">
        <v>20</v>
      </c>
      <c r="AG179">
        <v>194.09919120000001</v>
      </c>
      <c r="AH179">
        <v>671.52633839999999</v>
      </c>
      <c r="AI179">
        <v>141.2044344</v>
      </c>
      <c r="AJ179">
        <v>95.645195999999999</v>
      </c>
      <c r="AK179">
        <v>228.68951039999999</v>
      </c>
      <c r="AL179">
        <v>350.06055839999999</v>
      </c>
      <c r="AM179">
        <v>730.66573440000002</v>
      </c>
      <c r="AN179">
        <v>273.47568480000001</v>
      </c>
      <c r="AO179">
        <v>305.50630319999999</v>
      </c>
      <c r="AP179">
        <v>93.2486976</v>
      </c>
      <c r="AQ179">
        <v>68.6137248</v>
      </c>
    </row>
    <row r="180" spans="23:43" x14ac:dyDescent="0.2">
      <c r="W180" s="3">
        <v>45896</v>
      </c>
      <c r="X180">
        <v>26.750942899999998</v>
      </c>
      <c r="Y180">
        <v>815.95102159999999</v>
      </c>
      <c r="Z180">
        <v>157.00818430000001</v>
      </c>
      <c r="AA180">
        <v>79.582551300000006</v>
      </c>
      <c r="AB180">
        <v>134.51092489999999</v>
      </c>
      <c r="AC180">
        <v>972.44360789999996</v>
      </c>
      <c r="AD180">
        <v>177.3399321</v>
      </c>
      <c r="AE180">
        <v>119.14610450000001</v>
      </c>
      <c r="AF180" s="2" t="s">
        <v>20</v>
      </c>
      <c r="AG180">
        <v>195.8327137</v>
      </c>
      <c r="AH180">
        <v>679.35192480000001</v>
      </c>
      <c r="AI180">
        <v>141.80663659999999</v>
      </c>
      <c r="AJ180">
        <v>96.829304399999998</v>
      </c>
      <c r="AK180">
        <v>229.29502389999999</v>
      </c>
      <c r="AL180">
        <v>350.8128792</v>
      </c>
      <c r="AM180">
        <v>744.45476559999997</v>
      </c>
      <c r="AN180">
        <v>273.13804049999999</v>
      </c>
      <c r="AO180">
        <v>300.078036</v>
      </c>
      <c r="AP180">
        <v>93.984922100000006</v>
      </c>
      <c r="AQ180">
        <v>68.703433500000003</v>
      </c>
    </row>
    <row r="181" spans="23:43" x14ac:dyDescent="0.2">
      <c r="W181" s="3">
        <v>45897</v>
      </c>
      <c r="X181">
        <v>26.4852588</v>
      </c>
      <c r="Y181">
        <v>808.90465919999997</v>
      </c>
      <c r="Z181">
        <v>155.44467180000001</v>
      </c>
      <c r="AA181">
        <v>78.556955400000007</v>
      </c>
      <c r="AB181">
        <v>134.8745112</v>
      </c>
      <c r="AC181">
        <v>967.7134896</v>
      </c>
      <c r="AD181">
        <v>176.71676880000001</v>
      </c>
      <c r="AE181">
        <v>118.74709439999999</v>
      </c>
      <c r="AF181" s="2" t="s">
        <v>20</v>
      </c>
      <c r="AG181">
        <v>193.2122742</v>
      </c>
      <c r="AH181">
        <v>673.13132700000006</v>
      </c>
      <c r="AI181">
        <v>142.55301059999999</v>
      </c>
      <c r="AJ181">
        <v>96.422092800000001</v>
      </c>
      <c r="AK181">
        <v>227.487315</v>
      </c>
      <c r="AL181">
        <v>348.785349</v>
      </c>
      <c r="AM181">
        <v>734.85892920000003</v>
      </c>
      <c r="AN181">
        <v>269.62061940000001</v>
      </c>
      <c r="AO181">
        <v>298.86226260000001</v>
      </c>
      <c r="AP181">
        <v>92.689845599999998</v>
      </c>
      <c r="AQ181">
        <v>68.738405999999998</v>
      </c>
    </row>
    <row r="182" spans="23:43" x14ac:dyDescent="0.2">
      <c r="W182" s="3">
        <v>45898</v>
      </c>
      <c r="X182">
        <v>26.7801723</v>
      </c>
      <c r="Y182">
        <v>807.35928839999997</v>
      </c>
      <c r="Z182">
        <v>153.08090820000001</v>
      </c>
      <c r="AA182">
        <v>78.508955099999994</v>
      </c>
      <c r="AB182">
        <v>133.11346109999999</v>
      </c>
      <c r="AC182">
        <v>964.68531180000002</v>
      </c>
      <c r="AD182">
        <v>176.14660470000001</v>
      </c>
      <c r="AE182">
        <v>119.35535084999999</v>
      </c>
      <c r="AF182" s="2" t="s">
        <v>20</v>
      </c>
      <c r="AG182">
        <v>194.41087049999999</v>
      </c>
      <c r="AH182">
        <v>672.87643530000003</v>
      </c>
      <c r="AI182">
        <v>139.87483409999999</v>
      </c>
      <c r="AJ182">
        <v>97.380888600000006</v>
      </c>
      <c r="AK182">
        <v>226.50599550000001</v>
      </c>
      <c r="AL182">
        <v>348.14223989999999</v>
      </c>
      <c r="AM182">
        <v>715.30191119999995</v>
      </c>
      <c r="AN182">
        <v>265.92736769999999</v>
      </c>
      <c r="AO182">
        <v>293.93143409999999</v>
      </c>
      <c r="AP182">
        <v>92.108729400000001</v>
      </c>
      <c r="AQ182">
        <v>68.067341099999993</v>
      </c>
    </row>
    <row r="183" spans="23:43" x14ac:dyDescent="0.2">
      <c r="W183" s="3">
        <v>45902</v>
      </c>
      <c r="X183">
        <v>26.061052499999999</v>
      </c>
      <c r="Y183">
        <v>806.68108500000005</v>
      </c>
      <c r="Z183">
        <v>151.0303725</v>
      </c>
      <c r="AA183">
        <v>78.011307500000001</v>
      </c>
      <c r="AB183">
        <v>132.55649750000001</v>
      </c>
      <c r="AC183">
        <v>957.86612249999996</v>
      </c>
      <c r="AD183">
        <v>176.52431999999999</v>
      </c>
      <c r="AE183">
        <v>116.82362999999999</v>
      </c>
      <c r="AF183" s="2" t="s">
        <v>20</v>
      </c>
      <c r="AG183">
        <v>189.035</v>
      </c>
      <c r="AH183">
        <v>662.96293000000003</v>
      </c>
      <c r="AI183">
        <v>140.7365575</v>
      </c>
      <c r="AJ183">
        <v>95.634524999999996</v>
      </c>
      <c r="AK183">
        <v>225.34690499999999</v>
      </c>
      <c r="AL183">
        <v>349.12186750000001</v>
      </c>
      <c r="AM183">
        <v>707.72126249999997</v>
      </c>
      <c r="AN183">
        <v>262.13139749999999</v>
      </c>
      <c r="AO183">
        <v>290.28901999999999</v>
      </c>
      <c r="AP183">
        <v>90.736800000000002</v>
      </c>
      <c r="AQ183">
        <v>67.356607499999996</v>
      </c>
    </row>
    <row r="184" spans="23:43" x14ac:dyDescent="0.2">
      <c r="W184" s="3">
        <v>45903</v>
      </c>
      <c r="X184">
        <v>25.924038800000002</v>
      </c>
      <c r="Y184">
        <v>814.49333679999995</v>
      </c>
      <c r="Z184">
        <v>149.8414588</v>
      </c>
      <c r="AA184">
        <v>78.835490800000002</v>
      </c>
      <c r="AB184">
        <v>130.34912</v>
      </c>
      <c r="AC184">
        <v>942.87864439999998</v>
      </c>
      <c r="AD184">
        <v>176.03134120000001</v>
      </c>
      <c r="AE184">
        <v>116.3108628</v>
      </c>
      <c r="AF184" s="2" t="s">
        <v>20</v>
      </c>
      <c r="AG184">
        <v>189.82090600000001</v>
      </c>
      <c r="AH184">
        <v>653.64938319999999</v>
      </c>
      <c r="AI184">
        <v>141.77181920000001</v>
      </c>
      <c r="AJ184">
        <v>95.146281999999999</v>
      </c>
      <c r="AK184">
        <v>224.03755000000001</v>
      </c>
      <c r="AL184">
        <v>349.63578760000001</v>
      </c>
      <c r="AM184">
        <v>709.68235360000006</v>
      </c>
      <c r="AN184">
        <v>261.33283440000002</v>
      </c>
      <c r="AO184">
        <v>290.42126960000002</v>
      </c>
      <c r="AP184">
        <v>90.361097200000003</v>
      </c>
      <c r="AQ184">
        <v>68.287502799999999</v>
      </c>
    </row>
    <row r="185" spans="23:43" x14ac:dyDescent="0.2">
      <c r="W185" s="3">
        <v>45904</v>
      </c>
      <c r="X185">
        <v>26.053654000000002</v>
      </c>
      <c r="Y185">
        <v>820.58279600000003</v>
      </c>
      <c r="Z185">
        <v>153.1113584</v>
      </c>
      <c r="AA185">
        <v>75.079162400000001</v>
      </c>
      <c r="AB185">
        <v>133.50458879999999</v>
      </c>
      <c r="AC185">
        <v>951.8039344</v>
      </c>
      <c r="AD185">
        <v>176.9330684</v>
      </c>
      <c r="AE185">
        <v>117.8809808</v>
      </c>
      <c r="AF185" s="2" t="s">
        <v>20</v>
      </c>
      <c r="AG185">
        <v>192.71977999999999</v>
      </c>
      <c r="AH185">
        <v>659.2218292</v>
      </c>
      <c r="AI185">
        <v>143.31655799999999</v>
      </c>
      <c r="AJ185">
        <v>96.668928399999999</v>
      </c>
      <c r="AK185">
        <v>228.06175479999999</v>
      </c>
      <c r="AL185">
        <v>353.41116360000001</v>
      </c>
      <c r="AM185">
        <v>728.0515484</v>
      </c>
      <c r="AN185">
        <v>271.09535199999999</v>
      </c>
      <c r="AO185">
        <v>293.46629840000003</v>
      </c>
      <c r="AP185">
        <v>95.733228800000006</v>
      </c>
      <c r="AQ185">
        <v>69.061498</v>
      </c>
    </row>
    <row r="186" spans="23:43" x14ac:dyDescent="0.2">
      <c r="W186" s="3">
        <v>45905</v>
      </c>
      <c r="X186">
        <v>25.817164999999999</v>
      </c>
      <c r="Y186">
        <v>822.29164079999998</v>
      </c>
      <c r="Z186">
        <v>151.70251500000001</v>
      </c>
      <c r="AA186">
        <v>76.128631999999996</v>
      </c>
      <c r="AB186">
        <v>132.542338</v>
      </c>
      <c r="AC186">
        <v>938.08055899999999</v>
      </c>
      <c r="AD186">
        <v>173.8839404</v>
      </c>
      <c r="AE186">
        <v>115.5926224</v>
      </c>
      <c r="AF186" s="2" t="s">
        <v>20</v>
      </c>
      <c r="AG186">
        <v>191.27745519999999</v>
      </c>
      <c r="AH186">
        <v>660.30493279999996</v>
      </c>
      <c r="AI186">
        <v>143.29593399999999</v>
      </c>
      <c r="AJ186">
        <v>96.995728999999997</v>
      </c>
      <c r="AK186">
        <v>227.2251904</v>
      </c>
      <c r="AL186">
        <v>357.55706700000002</v>
      </c>
      <c r="AM186">
        <v>738.97687559999997</v>
      </c>
      <c r="AN186">
        <v>284.2789914</v>
      </c>
      <c r="AO186">
        <v>289.97156960000001</v>
      </c>
      <c r="AP186">
        <v>92.310233600000004</v>
      </c>
      <c r="AQ186">
        <v>68.652322400000003</v>
      </c>
    </row>
    <row r="187" spans="23:43" x14ac:dyDescent="0.2">
      <c r="W187" s="3">
        <v>45908</v>
      </c>
      <c r="X187">
        <v>25.59102</v>
      </c>
      <c r="Y187">
        <v>826.26687000000004</v>
      </c>
      <c r="Z187">
        <v>151.3356</v>
      </c>
      <c r="AA187">
        <v>75.540270000000007</v>
      </c>
      <c r="AB187">
        <v>130.9308</v>
      </c>
      <c r="AC187">
        <v>939.40298399999995</v>
      </c>
      <c r="AD187">
        <v>172.98169200000001</v>
      </c>
      <c r="AE187">
        <v>115.14258599999999</v>
      </c>
      <c r="AF187" s="2" t="s">
        <v>20</v>
      </c>
      <c r="AG187">
        <v>190.69986</v>
      </c>
      <c r="AH187">
        <v>650.83660199999997</v>
      </c>
      <c r="AI187">
        <v>143.93035800000001</v>
      </c>
      <c r="AJ187">
        <v>96.548711999999995</v>
      </c>
      <c r="AK187">
        <v>226.731336</v>
      </c>
      <c r="AL187">
        <v>357.03298799999999</v>
      </c>
      <c r="AM187">
        <v>734.84486400000003</v>
      </c>
      <c r="AN187">
        <v>283.64372400000002</v>
      </c>
      <c r="AO187">
        <v>293.038434</v>
      </c>
      <c r="AP187">
        <v>91.966133999999997</v>
      </c>
      <c r="AQ187">
        <v>69.971459999999993</v>
      </c>
    </row>
    <row r="188" spans="23:43" x14ac:dyDescent="0.2">
      <c r="W188" s="3">
        <v>45909</v>
      </c>
      <c r="X188">
        <v>25.8755354</v>
      </c>
      <c r="Y188">
        <v>836.53410499999995</v>
      </c>
      <c r="Z188">
        <v>149.22213679999999</v>
      </c>
      <c r="AA188">
        <v>75.772862000000003</v>
      </c>
      <c r="AB188">
        <v>130.7701208</v>
      </c>
      <c r="AC188">
        <v>944.52965419999998</v>
      </c>
      <c r="AD188">
        <v>172.45800879999999</v>
      </c>
      <c r="AE188">
        <v>114.8210866</v>
      </c>
      <c r="AF188" s="2" t="s">
        <v>20</v>
      </c>
      <c r="AG188">
        <v>190.06430739999999</v>
      </c>
      <c r="AH188">
        <v>665.92984039999999</v>
      </c>
      <c r="AI188">
        <v>144.455366</v>
      </c>
      <c r="AJ188">
        <v>95.651492200000007</v>
      </c>
      <c r="AK188">
        <v>223.96988680000001</v>
      </c>
      <c r="AL188">
        <v>354.8083484</v>
      </c>
      <c r="AM188">
        <v>732.84402620000003</v>
      </c>
      <c r="AN188">
        <v>274.96066619999999</v>
      </c>
      <c r="AO188">
        <v>292.96846699999998</v>
      </c>
      <c r="AP188">
        <v>91.533958999999996</v>
      </c>
      <c r="AQ188">
        <v>70.168916400000001</v>
      </c>
    </row>
    <row r="189" spans="23:43" x14ac:dyDescent="0.2">
      <c r="W189" s="3">
        <v>45910</v>
      </c>
      <c r="X189">
        <v>25.664852100000001</v>
      </c>
      <c r="Y189">
        <v>817.82877089999999</v>
      </c>
      <c r="Z189">
        <v>150.20908439999999</v>
      </c>
      <c r="AA189">
        <v>74.7710103</v>
      </c>
      <c r="AB189">
        <v>131.33459970000001</v>
      </c>
      <c r="AC189">
        <v>943.20255689999999</v>
      </c>
      <c r="AD189">
        <v>169.99009169999999</v>
      </c>
      <c r="AE189">
        <v>113.80279470000001</v>
      </c>
      <c r="AF189" s="2" t="s">
        <v>20</v>
      </c>
      <c r="AG189">
        <v>188.89878479999999</v>
      </c>
      <c r="AH189">
        <v>667.57692599999996</v>
      </c>
      <c r="AI189">
        <v>145.56529409999999</v>
      </c>
      <c r="AJ189">
        <v>94.911205800000005</v>
      </c>
      <c r="AK189">
        <v>224.53538549999999</v>
      </c>
      <c r="AL189">
        <v>353.39842829999998</v>
      </c>
      <c r="AM189">
        <v>731.35848780000003</v>
      </c>
      <c r="AN189">
        <v>272.94027149999999</v>
      </c>
      <c r="AO189">
        <v>290.2497219</v>
      </c>
      <c r="AP189">
        <v>91.199594399999995</v>
      </c>
      <c r="AQ189">
        <v>69.793688099999997</v>
      </c>
    </row>
    <row r="190" spans="23:43" x14ac:dyDescent="0.2">
      <c r="W190" s="3">
        <v>45911</v>
      </c>
      <c r="X190">
        <v>26.097425999999999</v>
      </c>
      <c r="Y190">
        <v>821.88993600000003</v>
      </c>
      <c r="Z190">
        <v>151.79463000000001</v>
      </c>
      <c r="AA190">
        <v>73.988163</v>
      </c>
      <c r="AB190">
        <v>135.916281</v>
      </c>
      <c r="AC190">
        <v>966.66161399999999</v>
      </c>
      <c r="AD190">
        <v>173.40895800000001</v>
      </c>
      <c r="AE190">
        <v>115.452558</v>
      </c>
      <c r="AF190" s="2" t="s">
        <v>20</v>
      </c>
      <c r="AG190">
        <v>192.93515099999999</v>
      </c>
      <c r="AH190">
        <v>679.69220399999995</v>
      </c>
      <c r="AI190">
        <v>146.91095100000001</v>
      </c>
      <c r="AJ190">
        <v>97.861086</v>
      </c>
      <c r="AK190">
        <v>227.027151</v>
      </c>
      <c r="AL190">
        <v>360.88086600000003</v>
      </c>
      <c r="AM190">
        <v>716.25587399999995</v>
      </c>
      <c r="AN190">
        <v>281.08854000000002</v>
      </c>
      <c r="AO190">
        <v>298.765242</v>
      </c>
      <c r="AP190">
        <v>90.079587000000004</v>
      </c>
      <c r="AQ190">
        <v>71.354556000000002</v>
      </c>
    </row>
    <row r="191" spans="23:43" x14ac:dyDescent="0.2">
      <c r="W191" s="3">
        <v>45912</v>
      </c>
      <c r="X191">
        <v>25.747983000000001</v>
      </c>
      <c r="Y191">
        <v>824.94117000000006</v>
      </c>
      <c r="Z191">
        <v>147.43085400000001</v>
      </c>
      <c r="AA191">
        <v>71.294894999999997</v>
      </c>
      <c r="AB191">
        <v>134.55260100000001</v>
      </c>
      <c r="AC191">
        <v>957.48234300000001</v>
      </c>
      <c r="AD191">
        <v>172.95723899999999</v>
      </c>
      <c r="AE191">
        <v>115.154253</v>
      </c>
      <c r="AF191" s="2" t="s">
        <v>20</v>
      </c>
      <c r="AG191">
        <v>189.74754899999999</v>
      </c>
      <c r="AH191">
        <v>672.13230299999998</v>
      </c>
      <c r="AI191">
        <v>145.35124200000001</v>
      </c>
      <c r="AJ191">
        <v>98.312804999999997</v>
      </c>
      <c r="AK191">
        <v>224.46172799999999</v>
      </c>
      <c r="AL191">
        <v>360.25868700000001</v>
      </c>
      <c r="AM191">
        <v>710.93752199999994</v>
      </c>
      <c r="AN191">
        <v>277.83275400000002</v>
      </c>
      <c r="AO191">
        <v>293.98383899999999</v>
      </c>
      <c r="AP191">
        <v>90.028448999999995</v>
      </c>
      <c r="AQ191">
        <v>70.561916999999994</v>
      </c>
    </row>
    <row r="192" spans="23:43" x14ac:dyDescent="0.2">
      <c r="W192" s="3">
        <v>45915</v>
      </c>
      <c r="X192">
        <v>25.212581</v>
      </c>
      <c r="Y192">
        <v>816.41143399999999</v>
      </c>
      <c r="Z192">
        <v>146.20745959999999</v>
      </c>
      <c r="AA192">
        <v>74.319716</v>
      </c>
      <c r="AB192">
        <v>133.21426439999999</v>
      </c>
      <c r="AC192">
        <v>948.22263740000005</v>
      </c>
      <c r="AD192">
        <v>168.46085740000001</v>
      </c>
      <c r="AE192">
        <v>112.2193698</v>
      </c>
      <c r="AF192" s="2" t="s">
        <v>20</v>
      </c>
      <c r="AG192">
        <v>185.54418799999999</v>
      </c>
      <c r="AH192">
        <v>673.19717119999996</v>
      </c>
      <c r="AI192">
        <v>146.0543984</v>
      </c>
      <c r="AJ192">
        <v>97.168351799999996</v>
      </c>
      <c r="AK192">
        <v>224.3792158</v>
      </c>
      <c r="AL192">
        <v>359.44722139999999</v>
      </c>
      <c r="AM192">
        <v>722.54240140000002</v>
      </c>
      <c r="AN192">
        <v>276.1734252</v>
      </c>
      <c r="AO192">
        <v>294.59178960000003</v>
      </c>
      <c r="AP192">
        <v>88.579917800000004</v>
      </c>
      <c r="AQ192">
        <v>70.408152000000001</v>
      </c>
    </row>
    <row r="193" spans="23:43" x14ac:dyDescent="0.2">
      <c r="W193" s="3">
        <v>45916</v>
      </c>
      <c r="X193">
        <v>24.886112199999999</v>
      </c>
      <c r="Y193">
        <v>802.34747179999999</v>
      </c>
      <c r="Z193">
        <v>145.43164179999999</v>
      </c>
      <c r="AA193">
        <v>74.599344799999997</v>
      </c>
      <c r="AB193">
        <v>131.88881000000001</v>
      </c>
      <c r="AC193">
        <v>942.93335860000002</v>
      </c>
      <c r="AD193">
        <v>165.8765142</v>
      </c>
      <c r="AE193">
        <v>110.9214388</v>
      </c>
      <c r="AF193" s="2" t="s">
        <v>20</v>
      </c>
      <c r="AG193">
        <v>179.7732968</v>
      </c>
      <c r="AH193">
        <v>656.7557094</v>
      </c>
      <c r="AI193">
        <v>145.0102718</v>
      </c>
      <c r="AJ193">
        <v>96.097642199999996</v>
      </c>
      <c r="AK193">
        <v>220.66304160000001</v>
      </c>
      <c r="AL193">
        <v>355.17277300000001</v>
      </c>
      <c r="AM193">
        <v>722.24503479999998</v>
      </c>
      <c r="AN193">
        <v>276.65468720000001</v>
      </c>
      <c r="AO193">
        <v>288.43619239999998</v>
      </c>
      <c r="AP193">
        <v>87.383710600000001</v>
      </c>
      <c r="AQ193">
        <v>70.048548800000006</v>
      </c>
    </row>
    <row r="194" spans="23:43" x14ac:dyDescent="0.2">
      <c r="W194" s="3">
        <v>45917</v>
      </c>
      <c r="X194">
        <v>25.093223999999999</v>
      </c>
      <c r="Y194">
        <v>815.301198</v>
      </c>
      <c r="Z194">
        <v>145.14957000000001</v>
      </c>
      <c r="AA194">
        <v>74.644722000000002</v>
      </c>
      <c r="AB194">
        <v>131.35845599999999</v>
      </c>
      <c r="AC194">
        <v>958.16494799999998</v>
      </c>
      <c r="AD194">
        <v>167.11884000000001</v>
      </c>
      <c r="AE194">
        <v>112.140636</v>
      </c>
      <c r="AF194" s="2" t="s">
        <v>20</v>
      </c>
      <c r="AG194">
        <v>181.79041799999999</v>
      </c>
      <c r="AH194">
        <v>659.31514800000002</v>
      </c>
      <c r="AI194">
        <v>146.385606</v>
      </c>
      <c r="AJ194">
        <v>96.419274000000001</v>
      </c>
      <c r="AK194">
        <v>222.21556799999999</v>
      </c>
      <c r="AL194">
        <v>353.03219999999999</v>
      </c>
      <c r="AM194">
        <v>743.02695600000004</v>
      </c>
      <c r="AN194">
        <v>273.731178</v>
      </c>
      <c r="AO194">
        <v>291.78915599999999</v>
      </c>
      <c r="AP194">
        <v>88.774476000000007</v>
      </c>
      <c r="AQ194">
        <v>70.166207999999997</v>
      </c>
    </row>
    <row r="195" spans="23:43" x14ac:dyDescent="0.2">
      <c r="W195" s="3">
        <v>45918</v>
      </c>
      <c r="X195">
        <v>25.046539200000002</v>
      </c>
      <c r="Y195">
        <v>808.0393656</v>
      </c>
      <c r="Z195">
        <v>146.613888</v>
      </c>
      <c r="AA195">
        <v>74.664479999999998</v>
      </c>
      <c r="AB195">
        <v>131.850684</v>
      </c>
      <c r="AC195">
        <v>964.80931980000003</v>
      </c>
      <c r="AD195">
        <v>166.42542900000001</v>
      </c>
      <c r="AE195">
        <v>111.24159059999999</v>
      </c>
      <c r="AF195" s="2" t="s">
        <v>20</v>
      </c>
      <c r="AG195">
        <v>183.734013</v>
      </c>
      <c r="AH195">
        <v>666.29563800000005</v>
      </c>
      <c r="AI195">
        <v>150.35559660000001</v>
      </c>
      <c r="AJ195">
        <v>97.708653600000005</v>
      </c>
      <c r="AK195">
        <v>223.64557139999999</v>
      </c>
      <c r="AL195">
        <v>354.21508080000001</v>
      </c>
      <c r="AM195">
        <v>778.69961880000005</v>
      </c>
      <c r="AN195">
        <v>275.85131519999999</v>
      </c>
      <c r="AO195">
        <v>295.73921760000002</v>
      </c>
      <c r="AP195">
        <v>89.758583400000006</v>
      </c>
      <c r="AQ195">
        <v>72.433030200000005</v>
      </c>
    </row>
    <row r="196" spans="23:43" x14ac:dyDescent="0.2">
      <c r="W196" s="3">
        <v>45919</v>
      </c>
      <c r="X196">
        <v>25.23846</v>
      </c>
      <c r="Y196">
        <v>809.91273999999999</v>
      </c>
      <c r="Z196">
        <v>145.89600999999999</v>
      </c>
      <c r="AA196">
        <v>74.761700000000005</v>
      </c>
      <c r="AB196">
        <v>133.3449</v>
      </c>
      <c r="AC196">
        <v>973.13677499999994</v>
      </c>
      <c r="AD196">
        <v>167.55816999999999</v>
      </c>
      <c r="AE196">
        <v>110.69499999999999</v>
      </c>
      <c r="AF196" s="2" t="s">
        <v>20</v>
      </c>
      <c r="AG196">
        <v>184.4349</v>
      </c>
      <c r="AH196">
        <v>673.74937499999999</v>
      </c>
      <c r="AI196">
        <v>151.69472500000001</v>
      </c>
      <c r="AJ196">
        <v>96.653765000000007</v>
      </c>
      <c r="AK196">
        <v>222.97379000000001</v>
      </c>
      <c r="AL196">
        <v>353.960035</v>
      </c>
      <c r="AM196">
        <v>780.28053999999997</v>
      </c>
      <c r="AN196">
        <v>270.70888000000002</v>
      </c>
      <c r="AO196">
        <v>296.16872999999998</v>
      </c>
      <c r="AP196">
        <v>90.250484999999998</v>
      </c>
      <c r="AQ196">
        <v>72.615920000000003</v>
      </c>
    </row>
    <row r="197" spans="23:43" x14ac:dyDescent="0.2">
      <c r="W197" s="3">
        <v>45922</v>
      </c>
      <c r="X197">
        <v>25.156633899999999</v>
      </c>
      <c r="Y197">
        <v>799.23363059999997</v>
      </c>
      <c r="Z197">
        <v>144.24605439999999</v>
      </c>
      <c r="AA197">
        <v>73.944743700000004</v>
      </c>
      <c r="AB197">
        <v>130.3671166</v>
      </c>
      <c r="AC197">
        <v>962.72209510000005</v>
      </c>
      <c r="AD197">
        <v>166.95396239999999</v>
      </c>
      <c r="AE197">
        <v>110.48922399999999</v>
      </c>
      <c r="AF197" s="2" t="s">
        <v>20</v>
      </c>
      <c r="AG197">
        <v>186.492931</v>
      </c>
      <c r="AH197">
        <v>676.21269170000005</v>
      </c>
      <c r="AI197">
        <v>150.66866419999999</v>
      </c>
      <c r="AJ197">
        <v>96.534028300000003</v>
      </c>
      <c r="AK197">
        <v>221.05470589999999</v>
      </c>
      <c r="AL197">
        <v>349.09172000000001</v>
      </c>
      <c r="AM197">
        <v>781.90614110000001</v>
      </c>
      <c r="AN197">
        <v>264.8945253</v>
      </c>
      <c r="AO197">
        <v>292.62698160000002</v>
      </c>
      <c r="AP197">
        <v>89.2132699</v>
      </c>
      <c r="AQ197">
        <v>72.351800900000001</v>
      </c>
    </row>
    <row r="198" spans="23:43" x14ac:dyDescent="0.2">
      <c r="W198" s="3">
        <v>45923</v>
      </c>
      <c r="X198">
        <v>25.129022200000001</v>
      </c>
      <c r="Y198">
        <v>798.64416800000004</v>
      </c>
      <c r="Z198">
        <v>143.11439419999999</v>
      </c>
      <c r="AA198">
        <v>74.2444536</v>
      </c>
      <c r="AB198">
        <v>132.28073019999999</v>
      </c>
      <c r="AC198">
        <v>957.89056500000004</v>
      </c>
      <c r="AD198">
        <v>167.12619480000001</v>
      </c>
      <c r="AE198">
        <v>109.43693399999999</v>
      </c>
      <c r="AF198" s="2" t="s">
        <v>20</v>
      </c>
      <c r="AG198">
        <v>185.91583080000001</v>
      </c>
      <c r="AH198">
        <v>679.88012639999999</v>
      </c>
      <c r="AI198">
        <v>150.57100199999999</v>
      </c>
      <c r="AJ198">
        <v>96.859727199999995</v>
      </c>
      <c r="AK198">
        <v>221.0913836</v>
      </c>
      <c r="AL198">
        <v>347.7860058</v>
      </c>
      <c r="AM198">
        <v>773.81984260000002</v>
      </c>
      <c r="AN198">
        <v>264.86615719999998</v>
      </c>
      <c r="AO198">
        <v>290.07981740000002</v>
      </c>
      <c r="AP198">
        <v>88.582130800000002</v>
      </c>
      <c r="AQ198">
        <v>72.331634800000003</v>
      </c>
    </row>
    <row r="199" spans="23:43" x14ac:dyDescent="0.2">
      <c r="W199" s="3">
        <v>45924</v>
      </c>
      <c r="X199">
        <v>24.887212099999999</v>
      </c>
      <c r="Y199">
        <v>805.37949270000001</v>
      </c>
      <c r="Z199">
        <v>142.53275289999999</v>
      </c>
      <c r="AA199">
        <v>72.702013300000004</v>
      </c>
      <c r="AB199">
        <v>131.72074599999999</v>
      </c>
      <c r="AC199">
        <v>961.05023979999999</v>
      </c>
      <c r="AD199">
        <v>170.11231660000001</v>
      </c>
      <c r="AE199">
        <v>109.2873227</v>
      </c>
      <c r="AF199" s="2" t="s">
        <v>20</v>
      </c>
      <c r="AG199">
        <v>185.24401420000001</v>
      </c>
      <c r="AH199">
        <v>672.90897789999997</v>
      </c>
      <c r="AI199">
        <v>148.59906409999999</v>
      </c>
      <c r="AJ199">
        <v>96.157848599999994</v>
      </c>
      <c r="AK199">
        <v>221.1477156</v>
      </c>
      <c r="AL199">
        <v>349.12813770000002</v>
      </c>
      <c r="AM199">
        <v>774.00848450000001</v>
      </c>
      <c r="AN199">
        <v>264.72802710000002</v>
      </c>
      <c r="AO199">
        <v>291.7963848</v>
      </c>
      <c r="AP199">
        <v>88.140434499999998</v>
      </c>
      <c r="AQ199">
        <v>72.454930399999995</v>
      </c>
    </row>
    <row r="200" spans="23:43" x14ac:dyDescent="0.2">
      <c r="W200" s="3">
        <v>45925</v>
      </c>
      <c r="X200">
        <v>24.775103000000001</v>
      </c>
      <c r="Y200">
        <v>808.67136370000003</v>
      </c>
      <c r="Z200">
        <v>141.95533929999999</v>
      </c>
      <c r="AA200">
        <v>72.002107300000006</v>
      </c>
      <c r="AB200">
        <v>131.1880281</v>
      </c>
      <c r="AC200">
        <v>983.53729829999997</v>
      </c>
      <c r="AD200">
        <v>169.7137419</v>
      </c>
      <c r="AE200">
        <v>108.60753630000001</v>
      </c>
      <c r="AF200" s="2" t="s">
        <v>20</v>
      </c>
      <c r="AG200">
        <v>184.1844595</v>
      </c>
      <c r="AH200">
        <v>671.13953760000004</v>
      </c>
      <c r="AI200">
        <v>147.73333909999999</v>
      </c>
      <c r="AJ200">
        <v>97.0515367</v>
      </c>
      <c r="AK200">
        <v>221.0813603</v>
      </c>
      <c r="AL200">
        <v>349.29466150000002</v>
      </c>
      <c r="AM200">
        <v>764.16190529999994</v>
      </c>
      <c r="AN200">
        <v>261.53593160000003</v>
      </c>
      <c r="AO200">
        <v>291.49751809999998</v>
      </c>
      <c r="AP200">
        <v>88.478836700000002</v>
      </c>
      <c r="AQ200">
        <v>72.627914399999995</v>
      </c>
    </row>
    <row r="201" spans="23:43" x14ac:dyDescent="0.2">
      <c r="W201" s="3">
        <v>45926</v>
      </c>
      <c r="X201">
        <v>24.938103399999999</v>
      </c>
      <c r="Y201">
        <v>782.79834849999997</v>
      </c>
      <c r="Z201">
        <v>143.5692937</v>
      </c>
      <c r="AA201">
        <v>74.062235799999996</v>
      </c>
      <c r="AB201">
        <v>130.59601029999999</v>
      </c>
      <c r="AC201">
        <v>988.33686350000005</v>
      </c>
      <c r="AD201">
        <v>170.5499628</v>
      </c>
      <c r="AE201">
        <v>109.5721123</v>
      </c>
      <c r="AF201" s="2" t="s">
        <v>20</v>
      </c>
      <c r="AG201">
        <v>185.8905713</v>
      </c>
      <c r="AH201">
        <v>675.44827420000001</v>
      </c>
      <c r="AI201">
        <v>148.1415642</v>
      </c>
      <c r="AJ201">
        <v>97.590199699999999</v>
      </c>
      <c r="AK201">
        <v>223.09261520000001</v>
      </c>
      <c r="AL201">
        <v>350.47521669999998</v>
      </c>
      <c r="AM201">
        <v>758.52685650000001</v>
      </c>
      <c r="AN201">
        <v>261.39713180000001</v>
      </c>
      <c r="AO201">
        <v>293.63377539999999</v>
      </c>
      <c r="AP201">
        <v>88.428566099999998</v>
      </c>
      <c r="AQ201">
        <v>73.686198599999997</v>
      </c>
    </row>
    <row r="202" spans="23:43" x14ac:dyDescent="0.2">
      <c r="W202" s="3">
        <v>45929</v>
      </c>
      <c r="X202">
        <v>24.767635200000001</v>
      </c>
      <c r="Y202">
        <v>781.98008560000005</v>
      </c>
      <c r="Z202">
        <v>142.12392320000001</v>
      </c>
      <c r="AA202">
        <v>76.017194399999994</v>
      </c>
      <c r="AB202">
        <v>131.41175039999999</v>
      </c>
      <c r="AC202">
        <v>1002.6116128</v>
      </c>
      <c r="AD202">
        <v>170.77216240000001</v>
      </c>
      <c r="AE202">
        <v>109.6206664</v>
      </c>
      <c r="AF202" s="2" t="s">
        <v>20</v>
      </c>
      <c r="AG202">
        <v>186.07282960000001</v>
      </c>
      <c r="AH202">
        <v>666.7133536</v>
      </c>
      <c r="AI202">
        <v>147.78704640000001</v>
      </c>
      <c r="AJ202">
        <v>97.433011199999996</v>
      </c>
      <c r="AK202">
        <v>222.92577439999999</v>
      </c>
      <c r="AL202">
        <v>346.95158400000003</v>
      </c>
      <c r="AM202">
        <v>756.15487919999998</v>
      </c>
      <c r="AN202">
        <v>265.160392</v>
      </c>
      <c r="AO202">
        <v>293.84274640000001</v>
      </c>
      <c r="AP202">
        <v>88.290137599999994</v>
      </c>
      <c r="AQ202">
        <v>73.151517600000005</v>
      </c>
    </row>
    <row r="203" spans="23:43" x14ac:dyDescent="0.2">
      <c r="W203" s="3">
        <v>45930</v>
      </c>
      <c r="X203">
        <v>24.997959000000002</v>
      </c>
      <c r="Y203">
        <v>788.91444899999999</v>
      </c>
      <c r="Z203">
        <v>142.18920900000001</v>
      </c>
      <c r="AA203">
        <v>75.104675999999998</v>
      </c>
      <c r="AB203">
        <v>132.25991400000001</v>
      </c>
      <c r="AC203">
        <v>993.67100100000005</v>
      </c>
      <c r="AD203">
        <v>171.76401899999999</v>
      </c>
      <c r="AE203">
        <v>108.037548</v>
      </c>
      <c r="AF203" s="2" t="s">
        <v>20</v>
      </c>
      <c r="AG203">
        <v>177.39772199999999</v>
      </c>
      <c r="AH203">
        <v>667.55545199999995</v>
      </c>
      <c r="AI203">
        <v>149.084316</v>
      </c>
      <c r="AJ203">
        <v>97.605395999999999</v>
      </c>
      <c r="AK203">
        <v>222.24574799999999</v>
      </c>
      <c r="AL203">
        <v>345.34343699999999</v>
      </c>
      <c r="AM203">
        <v>784.661472</v>
      </c>
      <c r="AN203">
        <v>264.27266100000003</v>
      </c>
      <c r="AO203">
        <v>297.90441900000002</v>
      </c>
      <c r="AP203">
        <v>87.480072000000007</v>
      </c>
      <c r="AQ203">
        <v>73.485305999999994</v>
      </c>
    </row>
    <row r="204" spans="23:43" x14ac:dyDescent="0.2">
      <c r="W204" s="3">
        <v>45931</v>
      </c>
      <c r="X204">
        <v>24.733635899999999</v>
      </c>
      <c r="Y204">
        <v>782.11491060000003</v>
      </c>
      <c r="Z204">
        <v>141.87097600000001</v>
      </c>
      <c r="AA204">
        <v>73.493257999999997</v>
      </c>
      <c r="AB204">
        <v>133.00404</v>
      </c>
      <c r="AC204">
        <v>972.8648713</v>
      </c>
      <c r="AD204">
        <v>171.61784109999999</v>
      </c>
      <c r="AE204">
        <v>105.72968590000001</v>
      </c>
      <c r="AF204" s="2" t="s">
        <v>20</v>
      </c>
      <c r="AG204">
        <v>169.86150570000001</v>
      </c>
      <c r="AH204">
        <v>659.86203049999995</v>
      </c>
      <c r="AI204">
        <v>147.58332899999999</v>
      </c>
      <c r="AJ204">
        <v>99.309683199999995</v>
      </c>
      <c r="AK204">
        <v>221.6051928</v>
      </c>
      <c r="AL204">
        <v>338.49528179999999</v>
      </c>
      <c r="AM204">
        <v>780.86160329999996</v>
      </c>
      <c r="AN204">
        <v>263.60377620000003</v>
      </c>
      <c r="AO204">
        <v>297.82673879999999</v>
      </c>
      <c r="AP204">
        <v>86.171271300000001</v>
      </c>
      <c r="AQ204">
        <v>74.260588999999996</v>
      </c>
    </row>
    <row r="205" spans="23:43" x14ac:dyDescent="0.2">
      <c r="W205" s="3">
        <v>45932</v>
      </c>
      <c r="X205">
        <v>24.500616000000001</v>
      </c>
      <c r="Y205">
        <v>782.62821359999998</v>
      </c>
      <c r="Z205">
        <v>142.35113999999999</v>
      </c>
      <c r="AA205">
        <v>75.781173600000002</v>
      </c>
      <c r="AB205">
        <v>135.56438399999999</v>
      </c>
      <c r="AC205">
        <v>990.72978720000003</v>
      </c>
      <c r="AD205">
        <v>170.3689176</v>
      </c>
      <c r="AE205">
        <v>105.3611856</v>
      </c>
      <c r="AF205" s="2" t="s">
        <v>20</v>
      </c>
      <c r="AG205">
        <v>171.91407839999999</v>
      </c>
      <c r="AH205">
        <v>659.55316800000003</v>
      </c>
      <c r="AI205">
        <v>149.5305888</v>
      </c>
      <c r="AJ205">
        <v>99.129321599999997</v>
      </c>
      <c r="AK205">
        <v>222.5799864</v>
      </c>
      <c r="AL205">
        <v>337.2121368</v>
      </c>
      <c r="AM205">
        <v>794.35777680000001</v>
      </c>
      <c r="AN205">
        <v>266.39084400000002</v>
      </c>
      <c r="AO205">
        <v>297.66967920000002</v>
      </c>
      <c r="AP205">
        <v>86.827792799999997</v>
      </c>
      <c r="AQ205">
        <v>74.577484799999993</v>
      </c>
    </row>
    <row r="206" spans="23:43" x14ac:dyDescent="0.2">
      <c r="W206" s="3">
        <v>45933</v>
      </c>
      <c r="X206">
        <v>24.3932608</v>
      </c>
      <c r="Y206">
        <v>779.64745359999995</v>
      </c>
      <c r="Z206">
        <v>141.90506920000001</v>
      </c>
      <c r="AA206">
        <v>74.968394399999994</v>
      </c>
      <c r="AB206">
        <v>135.13389520000001</v>
      </c>
      <c r="AC206">
        <v>988.58288679999998</v>
      </c>
      <c r="AD206">
        <v>171.31496079999999</v>
      </c>
      <c r="AE206">
        <v>106.1328292</v>
      </c>
      <c r="AF206" s="2" t="s">
        <v>20</v>
      </c>
      <c r="AG206">
        <v>171.92819919999999</v>
      </c>
      <c r="AH206">
        <v>663.26843280000003</v>
      </c>
      <c r="AI206">
        <v>147.64566199999999</v>
      </c>
      <c r="AJ206">
        <v>99.702343200000001</v>
      </c>
      <c r="AK206">
        <v>221.44720000000001</v>
      </c>
      <c r="AL206">
        <v>336.48050319999999</v>
      </c>
      <c r="AM206">
        <v>782.58588759999998</v>
      </c>
      <c r="AN206">
        <v>263.70102919999999</v>
      </c>
      <c r="AO206">
        <v>297.59096799999998</v>
      </c>
      <c r="AP206">
        <v>87.965641599999998</v>
      </c>
      <c r="AQ206">
        <v>74.934325599999994</v>
      </c>
    </row>
    <row r="207" spans="23:43" x14ac:dyDescent="0.2">
      <c r="W207" s="3">
        <v>45936</v>
      </c>
      <c r="X207">
        <v>24.101008799999999</v>
      </c>
      <c r="Y207">
        <v>777.97919760000002</v>
      </c>
      <c r="Z207">
        <v>142.21474079999999</v>
      </c>
      <c r="AA207">
        <v>75.719186399999998</v>
      </c>
      <c r="AB207">
        <v>133.17045719999999</v>
      </c>
      <c r="AC207">
        <v>1007.1437508</v>
      </c>
      <c r="AD207">
        <v>171.9524136</v>
      </c>
      <c r="AE207">
        <v>106.2169548</v>
      </c>
      <c r="AF207" s="2" t="s">
        <v>20</v>
      </c>
      <c r="AG207">
        <v>170.99588879999999</v>
      </c>
      <c r="AH207">
        <v>674.55495359999998</v>
      </c>
      <c r="AI207">
        <v>148.03929360000001</v>
      </c>
      <c r="AJ207">
        <v>100.0337052</v>
      </c>
      <c r="AK207">
        <v>220.94868840000001</v>
      </c>
      <c r="AL207">
        <v>332.5033932</v>
      </c>
      <c r="AM207">
        <v>826.79612399999996</v>
      </c>
      <c r="AN207">
        <v>262.43795160000002</v>
      </c>
      <c r="AO207">
        <v>297.69272280000001</v>
      </c>
      <c r="AP207">
        <v>90.263487600000005</v>
      </c>
      <c r="AQ207">
        <v>74.813903999999994</v>
      </c>
    </row>
    <row r="208" spans="23:43" x14ac:dyDescent="0.2">
      <c r="W208" s="3">
        <v>45937</v>
      </c>
      <c r="X208">
        <v>24.144120000000001</v>
      </c>
      <c r="Y208">
        <v>784.89840000000004</v>
      </c>
      <c r="Z208">
        <v>141.21822</v>
      </c>
      <c r="AA208">
        <v>79.519440000000003</v>
      </c>
      <c r="AB208">
        <v>133.27314000000001</v>
      </c>
      <c r="AC208">
        <v>1000.6253400000001</v>
      </c>
      <c r="AD208">
        <v>174.89472000000001</v>
      </c>
      <c r="AE208">
        <v>108.98316</v>
      </c>
      <c r="AF208" s="2" t="s">
        <v>20</v>
      </c>
      <c r="AG208">
        <v>174.78317999999999</v>
      </c>
      <c r="AH208">
        <v>675.31464000000005</v>
      </c>
      <c r="AI208">
        <v>145.92006000000001</v>
      </c>
      <c r="AJ208">
        <v>99.502260000000007</v>
      </c>
      <c r="AK208">
        <v>219.43350000000001</v>
      </c>
      <c r="AL208">
        <v>331.88297999999998</v>
      </c>
      <c r="AM208">
        <v>811.23041999999998</v>
      </c>
      <c r="AN208">
        <v>258.33521999999999</v>
      </c>
      <c r="AO208">
        <v>295.34075999999999</v>
      </c>
      <c r="AP208">
        <v>90.759240000000005</v>
      </c>
      <c r="AQ208">
        <v>73.153080000000003</v>
      </c>
    </row>
    <row r="209" spans="23:43" x14ac:dyDescent="0.2">
      <c r="W209" s="3">
        <v>45938</v>
      </c>
      <c r="X209">
        <v>24.2387452</v>
      </c>
      <c r="Y209">
        <v>786.85607200000004</v>
      </c>
      <c r="Z209">
        <v>141.708065</v>
      </c>
      <c r="AA209">
        <v>82.367006399999994</v>
      </c>
      <c r="AB209">
        <v>134.18183999999999</v>
      </c>
      <c r="AC209">
        <v>1002.0631</v>
      </c>
      <c r="AD209">
        <v>176.113665</v>
      </c>
      <c r="AE209">
        <v>108.8851226</v>
      </c>
      <c r="AF209" s="2" t="s">
        <v>20</v>
      </c>
      <c r="AG209">
        <v>176.3975112</v>
      </c>
      <c r="AH209">
        <v>691.22570680000001</v>
      </c>
      <c r="AI209">
        <v>148.09890519999999</v>
      </c>
      <c r="AJ209">
        <v>99.767638599999998</v>
      </c>
      <c r="AK209">
        <v>217.400385</v>
      </c>
      <c r="AL209">
        <v>330.11313059999998</v>
      </c>
      <c r="AM209">
        <v>843.71132599999999</v>
      </c>
      <c r="AN209">
        <v>259.52144079999999</v>
      </c>
      <c r="AO209">
        <v>299.42333539999998</v>
      </c>
      <c r="AP209">
        <v>91.020014799999998</v>
      </c>
      <c r="AQ209">
        <v>72.647424400000006</v>
      </c>
    </row>
    <row r="210" spans="23:43" x14ac:dyDescent="0.2">
      <c r="W210" s="3">
        <v>45939</v>
      </c>
      <c r="X210">
        <v>24.215240000000001</v>
      </c>
      <c r="Y210">
        <v>815.43955870000002</v>
      </c>
      <c r="Z210">
        <v>140.361909</v>
      </c>
      <c r="AA210">
        <v>81.268075100000004</v>
      </c>
      <c r="AB210">
        <v>132.21521039999999</v>
      </c>
      <c r="AC210">
        <v>1009.6284869</v>
      </c>
      <c r="AD210">
        <v>178.15497999999999</v>
      </c>
      <c r="AE210">
        <v>108.2853643</v>
      </c>
      <c r="AF210" s="2" t="s">
        <v>20</v>
      </c>
      <c r="AG210">
        <v>175.20590970000001</v>
      </c>
      <c r="AH210">
        <v>699.06803390000005</v>
      </c>
      <c r="AI210">
        <v>147.97241299999999</v>
      </c>
      <c r="AJ210">
        <v>98.9797935</v>
      </c>
      <c r="AK210">
        <v>214.7286407</v>
      </c>
      <c r="AL210">
        <v>326.63764270000001</v>
      </c>
      <c r="AM210">
        <v>846.88477750000004</v>
      </c>
      <c r="AN210">
        <v>256.19723920000001</v>
      </c>
      <c r="AO210">
        <v>296.46372400000001</v>
      </c>
      <c r="AP210">
        <v>91.680628299999995</v>
      </c>
      <c r="AQ210">
        <v>71.5300893</v>
      </c>
    </row>
    <row r="211" spans="23:43" x14ac:dyDescent="0.2">
      <c r="W211" s="3">
        <v>45940</v>
      </c>
      <c r="X211">
        <v>24.048796200000002</v>
      </c>
      <c r="Y211">
        <v>800.48750729999995</v>
      </c>
      <c r="Z211">
        <v>138.96485849999999</v>
      </c>
      <c r="AA211">
        <v>75.442984499999994</v>
      </c>
      <c r="AB211">
        <v>128.03358750000001</v>
      </c>
      <c r="AC211">
        <v>974.65622280000002</v>
      </c>
      <c r="AD211">
        <v>178.18832459999999</v>
      </c>
      <c r="AE211">
        <v>108.0646515</v>
      </c>
      <c r="AF211" s="2" t="s">
        <v>20</v>
      </c>
      <c r="AG211">
        <v>171.99106860000001</v>
      </c>
      <c r="AH211">
        <v>689.10043800000005</v>
      </c>
      <c r="AI211">
        <v>137.27782769999999</v>
      </c>
      <c r="AJ211">
        <v>95.738997900000001</v>
      </c>
      <c r="AK211">
        <v>210.81859890000001</v>
      </c>
      <c r="AL211">
        <v>323.41929750000003</v>
      </c>
      <c r="AM211">
        <v>778.47864119999997</v>
      </c>
      <c r="AN211">
        <v>249.53423430000001</v>
      </c>
      <c r="AO211">
        <v>287.26863750000001</v>
      </c>
      <c r="AP211">
        <v>87.303843900000004</v>
      </c>
      <c r="AQ211">
        <v>69.460910999999996</v>
      </c>
    </row>
    <row r="212" spans="23:43" x14ac:dyDescent="0.2">
      <c r="W212" s="3">
        <v>45943</v>
      </c>
      <c r="X212">
        <v>24.4207125</v>
      </c>
      <c r="Y212">
        <v>808.74484199999995</v>
      </c>
      <c r="Z212">
        <v>139.314762</v>
      </c>
      <c r="AA212">
        <v>80.169093000000004</v>
      </c>
      <c r="AB212">
        <v>130.61839499999999</v>
      </c>
      <c r="AC212">
        <v>998.54348400000003</v>
      </c>
      <c r="AD212">
        <v>177.52345199999999</v>
      </c>
      <c r="AE212">
        <v>110.148219</v>
      </c>
      <c r="AF212" s="2" t="s">
        <v>20</v>
      </c>
      <c r="AG212">
        <v>174.01378500000001</v>
      </c>
      <c r="AH212">
        <v>696.99739050000005</v>
      </c>
      <c r="AI212">
        <v>141.2079075</v>
      </c>
      <c r="AJ212">
        <v>97.440804</v>
      </c>
      <c r="AK212">
        <v>211.32344699999999</v>
      </c>
      <c r="AL212">
        <v>327.94639649999999</v>
      </c>
      <c r="AM212">
        <v>848.60463149999998</v>
      </c>
      <c r="AN212">
        <v>252.18599850000001</v>
      </c>
      <c r="AO212">
        <v>293.22143999999997</v>
      </c>
      <c r="AP212">
        <v>91.078451999999999</v>
      </c>
      <c r="AQ212">
        <v>70.625564999999995</v>
      </c>
    </row>
    <row r="213" spans="23:43" x14ac:dyDescent="0.2">
      <c r="W213" s="3">
        <v>45944</v>
      </c>
      <c r="X213">
        <v>24.567067000000002</v>
      </c>
      <c r="Y213">
        <v>815.60766699999999</v>
      </c>
      <c r="Z213">
        <v>140.069335</v>
      </c>
      <c r="AA213">
        <v>81.861500000000007</v>
      </c>
      <c r="AB213">
        <v>131.435101</v>
      </c>
      <c r="AC213">
        <v>1029.093842</v>
      </c>
      <c r="AD213">
        <v>178.38913400000001</v>
      </c>
      <c r="AE213">
        <v>110.806003</v>
      </c>
      <c r="AF213" s="2" t="s">
        <v>20</v>
      </c>
      <c r="AG213">
        <v>172.79670100000001</v>
      </c>
      <c r="AH213">
        <v>704.370814</v>
      </c>
      <c r="AI213">
        <v>142.04262800000001</v>
      </c>
      <c r="AJ213">
        <v>99.483265000000003</v>
      </c>
      <c r="AK213">
        <v>213.77915300000001</v>
      </c>
      <c r="AL213">
        <v>334.09832399999999</v>
      </c>
      <c r="AM213">
        <v>834.34102499999995</v>
      </c>
      <c r="AN213">
        <v>254.597882</v>
      </c>
      <c r="AO213">
        <v>296.43341700000002</v>
      </c>
      <c r="AP213">
        <v>91.452220999999994</v>
      </c>
      <c r="AQ213">
        <v>71.288441000000006</v>
      </c>
    </row>
    <row r="214" spans="23:43" x14ac:dyDescent="0.2">
      <c r="W214" s="3">
        <v>45945</v>
      </c>
      <c r="X214">
        <v>24.403117200000001</v>
      </c>
      <c r="Y214">
        <v>820.01171339999996</v>
      </c>
      <c r="Z214">
        <v>139.66963559999999</v>
      </c>
      <c r="AA214">
        <v>81.804538199999996</v>
      </c>
      <c r="AB214">
        <v>131.77855020000001</v>
      </c>
      <c r="AC214">
        <v>1032.6159293999999</v>
      </c>
      <c r="AD214">
        <v>175.03784099999999</v>
      </c>
      <c r="AE214">
        <v>109.49632320000001</v>
      </c>
      <c r="AF214" s="2" t="s">
        <v>20</v>
      </c>
      <c r="AG214">
        <v>171.30267000000001</v>
      </c>
      <c r="AH214">
        <v>706.02459839999995</v>
      </c>
      <c r="AI214">
        <v>141.54151440000001</v>
      </c>
      <c r="AJ214">
        <v>105.4091016</v>
      </c>
      <c r="AK214">
        <v>212.68149539999999</v>
      </c>
      <c r="AL214">
        <v>333.41767800000002</v>
      </c>
      <c r="AM214">
        <v>865.46917380000002</v>
      </c>
      <c r="AN214">
        <v>249.3892104</v>
      </c>
      <c r="AO214">
        <v>302.32559939999999</v>
      </c>
      <c r="AP214">
        <v>90.768948600000002</v>
      </c>
      <c r="AQ214">
        <v>71.8183224</v>
      </c>
    </row>
    <row r="215" spans="23:43" x14ac:dyDescent="0.2">
      <c r="W215" s="3">
        <v>45946</v>
      </c>
      <c r="X215">
        <v>24.343242499999999</v>
      </c>
      <c r="Y215">
        <v>792.006753</v>
      </c>
      <c r="Z215">
        <v>142.1491345</v>
      </c>
      <c r="AA215">
        <v>82.826920000000001</v>
      </c>
      <c r="AB215">
        <v>129.5539665</v>
      </c>
      <c r="AC215">
        <v>1002.274184</v>
      </c>
      <c r="AD215">
        <v>159.561612</v>
      </c>
      <c r="AE215">
        <v>108.2311685</v>
      </c>
      <c r="AF215" s="2" t="s">
        <v>20</v>
      </c>
      <c r="AG215">
        <v>171.54926850000001</v>
      </c>
      <c r="AH215">
        <v>695.44665050000003</v>
      </c>
      <c r="AI215">
        <v>138.9661165</v>
      </c>
      <c r="AJ215">
        <v>103.67911049999999</v>
      </c>
      <c r="AK215">
        <v>211.29421099999999</v>
      </c>
      <c r="AL215">
        <v>331.47025350000001</v>
      </c>
      <c r="AM215">
        <v>878.60708950000003</v>
      </c>
      <c r="AN215">
        <v>248.28396050000001</v>
      </c>
      <c r="AO215">
        <v>297.78331300000002</v>
      </c>
      <c r="AP215">
        <v>88.260297499999993</v>
      </c>
      <c r="AQ215">
        <v>71.438218500000005</v>
      </c>
    </row>
    <row r="216" spans="23:43" x14ac:dyDescent="0.2">
      <c r="W216" s="3">
        <v>45947</v>
      </c>
      <c r="X216">
        <v>24.478715999999999</v>
      </c>
      <c r="Y216">
        <v>803.65203899999995</v>
      </c>
      <c r="Z216">
        <v>142.90694999999999</v>
      </c>
      <c r="AA216">
        <v>86.499474000000006</v>
      </c>
      <c r="AB216">
        <v>131.01091199999999</v>
      </c>
      <c r="AC216">
        <v>996.62362800000005</v>
      </c>
      <c r="AD216">
        <v>162.72509700000001</v>
      </c>
      <c r="AE216">
        <v>108.626448</v>
      </c>
      <c r="AF216" s="2" t="s">
        <v>20</v>
      </c>
      <c r="AG216">
        <v>172.252227</v>
      </c>
      <c r="AH216">
        <v>698.59611900000004</v>
      </c>
      <c r="AI216">
        <v>139.20767699999999</v>
      </c>
      <c r="AJ216">
        <v>106.49786400000001</v>
      </c>
      <c r="AK216">
        <v>213.93985799999999</v>
      </c>
      <c r="AL216">
        <v>336.36777000000001</v>
      </c>
      <c r="AM216">
        <v>862.29109500000004</v>
      </c>
      <c r="AN216">
        <v>249.087243</v>
      </c>
      <c r="AO216">
        <v>298.39657799999998</v>
      </c>
      <c r="AP216">
        <v>89.005709999999993</v>
      </c>
      <c r="AQ216">
        <v>71.032908000000006</v>
      </c>
    </row>
    <row r="217" spans="23:43" x14ac:dyDescent="0.2">
      <c r="W217" s="3">
        <v>45950</v>
      </c>
      <c r="X217">
        <v>24.570546</v>
      </c>
      <c r="Y217">
        <v>804.22146210000005</v>
      </c>
      <c r="Z217">
        <v>145.12086120000001</v>
      </c>
      <c r="AA217">
        <v>88.075957200000005</v>
      </c>
      <c r="AB217">
        <v>132.97304579999999</v>
      </c>
      <c r="AC217">
        <v>996.56759999999997</v>
      </c>
      <c r="AD217">
        <v>163.1535801</v>
      </c>
      <c r="AE217">
        <v>108.7547349</v>
      </c>
      <c r="AF217" s="2" t="s">
        <v>20</v>
      </c>
      <c r="AG217">
        <v>172.75842990000001</v>
      </c>
      <c r="AH217">
        <v>708.88602539999999</v>
      </c>
      <c r="AI217">
        <v>141.53837250000001</v>
      </c>
      <c r="AJ217">
        <v>109.2616098</v>
      </c>
      <c r="AK217">
        <v>216.82218180000001</v>
      </c>
      <c r="AL217">
        <v>334.09928789999998</v>
      </c>
      <c r="AM217">
        <v>886.24928490000002</v>
      </c>
      <c r="AN217">
        <v>252.63847770000001</v>
      </c>
      <c r="AO217">
        <v>303.08541689999998</v>
      </c>
      <c r="AP217">
        <v>89.553626399999999</v>
      </c>
      <c r="AQ217">
        <v>71.649773999999994</v>
      </c>
    </row>
    <row r="218" spans="23:43" x14ac:dyDescent="0.2">
      <c r="W218" s="3">
        <v>45951</v>
      </c>
      <c r="X218">
        <v>24.737091800000002</v>
      </c>
      <c r="Y218">
        <v>808.33124999999995</v>
      </c>
      <c r="Z218">
        <v>149.1985488</v>
      </c>
      <c r="AA218">
        <v>84.963158800000002</v>
      </c>
      <c r="AB218">
        <v>143.68034080000001</v>
      </c>
      <c r="AC218">
        <v>974.30859999999996</v>
      </c>
      <c r="AD218">
        <v>162.91646900000001</v>
      </c>
      <c r="AE218">
        <v>109.9675388</v>
      </c>
      <c r="AF218" s="2" t="s">
        <v>20</v>
      </c>
      <c r="AG218">
        <v>178.3588292</v>
      </c>
      <c r="AH218">
        <v>708.74483999999995</v>
      </c>
      <c r="AI218">
        <v>144.28389480000001</v>
      </c>
      <c r="AJ218">
        <v>108.63109780000001</v>
      </c>
      <c r="AK218">
        <v>221.71125079999999</v>
      </c>
      <c r="AL218">
        <v>337.04179799999997</v>
      </c>
      <c r="AM218">
        <v>886.93984739999996</v>
      </c>
      <c r="AN218">
        <v>260.93363859999999</v>
      </c>
      <c r="AO218">
        <v>305.36383519999998</v>
      </c>
      <c r="AP218">
        <v>89.886435000000006</v>
      </c>
      <c r="AQ218">
        <v>73.797409799999997</v>
      </c>
    </row>
    <row r="219" spans="23:43" x14ac:dyDescent="0.2">
      <c r="W219" s="3">
        <v>45952</v>
      </c>
      <c r="X219">
        <v>24.883823700000001</v>
      </c>
      <c r="Y219">
        <v>813.68122440000002</v>
      </c>
      <c r="Z219">
        <v>144.36752129999999</v>
      </c>
      <c r="AA219">
        <v>84.952977899999993</v>
      </c>
      <c r="AB219">
        <v>144.04021589999999</v>
      </c>
      <c r="AC219">
        <v>973.02727440000001</v>
      </c>
      <c r="AD219">
        <v>163.05838230000001</v>
      </c>
      <c r="AE219">
        <v>109.0529913</v>
      </c>
      <c r="AF219" s="2" t="s">
        <v>20</v>
      </c>
      <c r="AG219">
        <v>174.29012549999999</v>
      </c>
      <c r="AH219">
        <v>714.08563649999996</v>
      </c>
      <c r="AI219">
        <v>141.8524377</v>
      </c>
      <c r="AJ219">
        <v>108.48451350000001</v>
      </c>
      <c r="AK219">
        <v>217.88203680000001</v>
      </c>
      <c r="AL219">
        <v>335.0315301</v>
      </c>
      <c r="AM219">
        <v>862.53586199999995</v>
      </c>
      <c r="AN219">
        <v>256.32319469999999</v>
      </c>
      <c r="AO219">
        <v>301.72389900000002</v>
      </c>
      <c r="AP219">
        <v>88.510270800000001</v>
      </c>
      <c r="AQ219">
        <v>72.765158400000004</v>
      </c>
    </row>
    <row r="220" spans="23:43" x14ac:dyDescent="0.2">
      <c r="W220" s="3">
        <v>45953</v>
      </c>
      <c r="X220">
        <v>24.8860171</v>
      </c>
      <c r="Y220">
        <v>810.92606049999995</v>
      </c>
      <c r="Z220">
        <v>155.9959882</v>
      </c>
      <c r="AA220">
        <v>85.641986900000006</v>
      </c>
      <c r="AB220">
        <v>147.71499600000001</v>
      </c>
      <c r="AC220">
        <v>968.41125</v>
      </c>
      <c r="AD220">
        <v>161.9011448</v>
      </c>
      <c r="AE220">
        <v>107.3860475</v>
      </c>
      <c r="AF220" s="2" t="s">
        <v>20</v>
      </c>
      <c r="AG220">
        <v>172.37720250000001</v>
      </c>
      <c r="AH220">
        <v>716.13366329999997</v>
      </c>
      <c r="AI220">
        <v>144.9431878</v>
      </c>
      <c r="AJ220">
        <v>108.2640737</v>
      </c>
      <c r="AK220">
        <v>221.60692639999999</v>
      </c>
      <c r="AL220">
        <v>331.43767430000003</v>
      </c>
      <c r="AM220">
        <v>921.75534800000003</v>
      </c>
      <c r="AN220">
        <v>258.50985109999999</v>
      </c>
      <c r="AO220">
        <v>307.44689959999999</v>
      </c>
      <c r="AP220">
        <v>88.224416899999994</v>
      </c>
      <c r="AQ220">
        <v>73.143025699999995</v>
      </c>
    </row>
    <row r="221" spans="23:43" x14ac:dyDescent="0.2">
      <c r="W221" s="3">
        <v>45954</v>
      </c>
      <c r="X221">
        <v>24.834551399999999</v>
      </c>
      <c r="Y221">
        <v>801.84547080000004</v>
      </c>
      <c r="Z221">
        <v>152.6288346</v>
      </c>
      <c r="AA221">
        <v>87.880075199999993</v>
      </c>
      <c r="AB221">
        <v>144.94707</v>
      </c>
      <c r="AC221">
        <v>977.75185859999999</v>
      </c>
      <c r="AD221">
        <v>160.474041</v>
      </c>
      <c r="AE221">
        <v>107.183412</v>
      </c>
      <c r="AF221" s="2" t="s">
        <v>20</v>
      </c>
      <c r="AG221">
        <v>171.62249220000001</v>
      </c>
      <c r="AH221">
        <v>722.14608780000003</v>
      </c>
      <c r="AI221">
        <v>145.78148340000001</v>
      </c>
      <c r="AJ221">
        <v>108.7576146</v>
      </c>
      <c r="AK221">
        <v>211.39906500000001</v>
      </c>
      <c r="AL221">
        <v>332.62986960000001</v>
      </c>
      <c r="AM221">
        <v>924.65908019999995</v>
      </c>
      <c r="AN221">
        <v>252.68962500000001</v>
      </c>
      <c r="AO221">
        <v>306.65122559999998</v>
      </c>
      <c r="AP221">
        <v>89.075781000000006</v>
      </c>
      <c r="AQ221">
        <v>74.142361800000003</v>
      </c>
    </row>
    <row r="222" spans="23:43" x14ac:dyDescent="0.2">
      <c r="W222" s="3">
        <v>45957</v>
      </c>
      <c r="X222">
        <v>24.804743200000001</v>
      </c>
      <c r="Y222">
        <v>798.63886649999995</v>
      </c>
      <c r="Z222">
        <v>152.8480644</v>
      </c>
      <c r="AA222">
        <v>86.284089399999999</v>
      </c>
      <c r="AB222">
        <v>144.63707600000001</v>
      </c>
      <c r="AC222">
        <v>971.67084590000002</v>
      </c>
      <c r="AD222">
        <v>161.1449418</v>
      </c>
      <c r="AE222">
        <v>107.3698389</v>
      </c>
      <c r="AF222" s="2" t="s">
        <v>20</v>
      </c>
      <c r="AG222">
        <v>171.98413360000001</v>
      </c>
      <c r="AH222">
        <v>723.8467253</v>
      </c>
      <c r="AI222">
        <v>144.09597529999999</v>
      </c>
      <c r="AJ222">
        <v>109.1477412</v>
      </c>
      <c r="AK222">
        <v>212.84153090000001</v>
      </c>
      <c r="AL222">
        <v>330.90455029999998</v>
      </c>
      <c r="AM222">
        <v>949.11639449999996</v>
      </c>
      <c r="AN222">
        <v>252.13574840000001</v>
      </c>
      <c r="AO222">
        <v>310.51450169999998</v>
      </c>
      <c r="AP222">
        <v>90.106149900000005</v>
      </c>
      <c r="AQ222">
        <v>73.959017900000006</v>
      </c>
    </row>
    <row r="223" spans="23:43" x14ac:dyDescent="0.2">
      <c r="W223" s="3">
        <v>45958</v>
      </c>
      <c r="X223">
        <v>24.1974503</v>
      </c>
      <c r="Y223">
        <v>793.27121920000002</v>
      </c>
      <c r="Z223">
        <v>154.2576727</v>
      </c>
      <c r="AA223">
        <v>84.772621200000003</v>
      </c>
      <c r="AB223">
        <v>143.20186709999999</v>
      </c>
      <c r="AC223">
        <v>965.62333149999995</v>
      </c>
      <c r="AD223">
        <v>156.9272034</v>
      </c>
      <c r="AE223">
        <v>106.48079850000001</v>
      </c>
      <c r="AF223" s="2" t="s">
        <v>20</v>
      </c>
      <c r="AG223">
        <v>170.38644500000001</v>
      </c>
      <c r="AH223">
        <v>700.54150809999999</v>
      </c>
      <c r="AI223">
        <v>145.95723480000001</v>
      </c>
      <c r="AJ223">
        <v>107.91427640000001</v>
      </c>
      <c r="AK223">
        <v>211.04743189999999</v>
      </c>
      <c r="AL223">
        <v>331.11622749999998</v>
      </c>
      <c r="AM223">
        <v>932.49883320000004</v>
      </c>
      <c r="AN223">
        <v>246.30927149999999</v>
      </c>
      <c r="AO223">
        <v>310.71277259999999</v>
      </c>
      <c r="AP223">
        <v>90.094515200000004</v>
      </c>
      <c r="AQ223">
        <v>74.369176800000005</v>
      </c>
    </row>
    <row r="224" spans="23:43" x14ac:dyDescent="0.2">
      <c r="W224" s="3">
        <v>45959</v>
      </c>
      <c r="X224">
        <v>23.682985800000001</v>
      </c>
      <c r="Y224">
        <v>786.63377879999996</v>
      </c>
      <c r="Z224">
        <v>155.87491199999999</v>
      </c>
      <c r="AA224">
        <v>83.937950400000005</v>
      </c>
      <c r="AB224">
        <v>141.9341082</v>
      </c>
      <c r="AC224">
        <v>946.62972000000002</v>
      </c>
      <c r="AD224">
        <v>155.1765786</v>
      </c>
      <c r="AE224">
        <v>101.215236</v>
      </c>
      <c r="AF224" s="2" t="s">
        <v>20</v>
      </c>
      <c r="AG224">
        <v>160.75462440000001</v>
      </c>
      <c r="AH224">
        <v>687.75494219999996</v>
      </c>
      <c r="AI224">
        <v>146.96900579999999</v>
      </c>
      <c r="AJ224">
        <v>106.4484258</v>
      </c>
      <c r="AK224">
        <v>208.6637442</v>
      </c>
      <c r="AL224">
        <v>325.92340560000002</v>
      </c>
      <c r="AM224">
        <v>943.25013120000006</v>
      </c>
      <c r="AN224">
        <v>244.45979700000001</v>
      </c>
      <c r="AO224">
        <v>317.39684099999999</v>
      </c>
      <c r="AP224">
        <v>89.240111400000004</v>
      </c>
      <c r="AQ224">
        <v>73.945747800000007</v>
      </c>
    </row>
    <row r="225" spans="23:43" x14ac:dyDescent="0.2">
      <c r="W225" s="3">
        <v>45960</v>
      </c>
      <c r="X225">
        <v>24.565558800000002</v>
      </c>
      <c r="Y225">
        <v>795.66124239999999</v>
      </c>
      <c r="Z225">
        <v>155.76345520000001</v>
      </c>
      <c r="AA225">
        <v>84.401414799999998</v>
      </c>
      <c r="AB225">
        <v>143.92598599999999</v>
      </c>
      <c r="AC225">
        <v>949.46187399999997</v>
      </c>
      <c r="AD225">
        <v>154.4923756</v>
      </c>
      <c r="AE225">
        <v>101.3664364</v>
      </c>
      <c r="AF225" s="2" t="s">
        <v>20</v>
      </c>
      <c r="AG225">
        <v>160.21655720000001</v>
      </c>
      <c r="AH225">
        <v>720.41678879999995</v>
      </c>
      <c r="AI225">
        <v>151.63893160000001</v>
      </c>
      <c r="AJ225">
        <v>107.4191964</v>
      </c>
      <c r="AK225">
        <v>210.67063519999999</v>
      </c>
      <c r="AL225">
        <v>328.18929400000002</v>
      </c>
      <c r="AM225">
        <v>940.39138079999998</v>
      </c>
      <c r="AN225">
        <v>239.68929600000001</v>
      </c>
      <c r="AO225">
        <v>316.17888879999998</v>
      </c>
      <c r="AP225">
        <v>88.309768399999996</v>
      </c>
      <c r="AQ225">
        <v>71.007521600000004</v>
      </c>
    </row>
    <row r="226" spans="23:43" x14ac:dyDescent="0.2">
      <c r="W226" s="3">
        <v>45961</v>
      </c>
      <c r="X226">
        <v>24.40605</v>
      </c>
      <c r="Y226">
        <v>790.22715000000005</v>
      </c>
      <c r="Z226">
        <v>157.32581999999999</v>
      </c>
      <c r="AA226">
        <v>83.83023</v>
      </c>
      <c r="AB226">
        <v>144.35550000000001</v>
      </c>
      <c r="AC226">
        <v>938.79627000000005</v>
      </c>
      <c r="AD226">
        <v>154.45605</v>
      </c>
      <c r="AE226">
        <v>101.46501000000001</v>
      </c>
      <c r="AF226" s="2" t="s">
        <v>20</v>
      </c>
      <c r="AG226">
        <v>162.20703</v>
      </c>
      <c r="AH226">
        <v>733.49067000000002</v>
      </c>
      <c r="AI226">
        <v>158.62631999999999</v>
      </c>
      <c r="AJ226">
        <v>107.58602999999999</v>
      </c>
      <c r="AK226">
        <v>211.47864000000001</v>
      </c>
      <c r="AL226">
        <v>329.10453000000001</v>
      </c>
      <c r="AM226">
        <v>871.33500000000004</v>
      </c>
      <c r="AN226">
        <v>231.54102</v>
      </c>
      <c r="AO226">
        <v>319.36811999999998</v>
      </c>
      <c r="AP226">
        <v>88.893510000000006</v>
      </c>
      <c r="AQ226">
        <v>70.313699999999997</v>
      </c>
    </row>
    <row r="227" spans="23:43" x14ac:dyDescent="0.2">
      <c r="W227" s="3">
        <v>45964</v>
      </c>
      <c r="X227">
        <v>24.622435599999999</v>
      </c>
      <c r="Y227">
        <v>805.73360839999998</v>
      </c>
      <c r="Z227">
        <v>154.6802936</v>
      </c>
      <c r="AA227">
        <v>80.960582500000001</v>
      </c>
      <c r="AB227">
        <v>140.8149799</v>
      </c>
      <c r="AC227">
        <v>927.96889429999999</v>
      </c>
      <c r="AD227">
        <v>153.7860373</v>
      </c>
      <c r="AE227">
        <v>99.939653100000001</v>
      </c>
      <c r="AF227" s="2" t="s">
        <v>20</v>
      </c>
      <c r="AG227">
        <v>160.4886185</v>
      </c>
      <c r="AH227">
        <v>723.08001639999998</v>
      </c>
      <c r="AI227">
        <v>161.64333780000001</v>
      </c>
      <c r="AJ227">
        <v>107.8490462</v>
      </c>
      <c r="AK227">
        <v>211.08789730000001</v>
      </c>
      <c r="AL227">
        <v>328.48725350000001</v>
      </c>
      <c r="AM227">
        <v>871.62206530000003</v>
      </c>
      <c r="AN227">
        <v>225.28313080000001</v>
      </c>
      <c r="AO227">
        <v>316.49727339999998</v>
      </c>
      <c r="AP227">
        <v>88.305639099999993</v>
      </c>
      <c r="AQ227">
        <v>70.993531700000005</v>
      </c>
    </row>
    <row r="228" spans="23:43" x14ac:dyDescent="0.2">
      <c r="W228" s="3">
        <v>45965</v>
      </c>
      <c r="X228">
        <v>24.926016600000001</v>
      </c>
      <c r="Y228">
        <v>819.3186882</v>
      </c>
      <c r="Z228">
        <v>155.2345632</v>
      </c>
      <c r="AA228">
        <v>80.891978399999999</v>
      </c>
      <c r="AB228">
        <v>139.86264869999999</v>
      </c>
      <c r="AC228">
        <v>923.10741629999995</v>
      </c>
      <c r="AD228">
        <v>157.202865</v>
      </c>
      <c r="AE228">
        <v>100.2788802</v>
      </c>
      <c r="AF228" s="2" t="s">
        <v>20</v>
      </c>
      <c r="AG228">
        <v>158.43087629999999</v>
      </c>
      <c r="AH228">
        <v>722.79351629999996</v>
      </c>
      <c r="AI228">
        <v>155.983563</v>
      </c>
      <c r="AJ228">
        <v>107.99532000000001</v>
      </c>
      <c r="AK228">
        <v>213.3081756</v>
      </c>
      <c r="AL228">
        <v>333.6358644</v>
      </c>
      <c r="AM228">
        <v>834.23771910000005</v>
      </c>
      <c r="AN228">
        <v>224.69994</v>
      </c>
      <c r="AO228">
        <v>313.40416049999999</v>
      </c>
      <c r="AP228">
        <v>88.199081100000001</v>
      </c>
      <c r="AQ228">
        <v>70.414690500000006</v>
      </c>
    </row>
    <row r="229" spans="23:43" x14ac:dyDescent="0.2">
      <c r="W229" s="3">
        <v>45966</v>
      </c>
      <c r="X229">
        <v>24.697695</v>
      </c>
      <c r="Y229">
        <v>813.7098575</v>
      </c>
      <c r="Z229">
        <v>156.34041250000001</v>
      </c>
      <c r="AA229">
        <v>79.271072500000002</v>
      </c>
      <c r="AB229">
        <v>142.99948000000001</v>
      </c>
      <c r="AC229">
        <v>934.2742925</v>
      </c>
      <c r="AD229">
        <v>155.2526</v>
      </c>
      <c r="AE229">
        <v>101.384125</v>
      </c>
      <c r="AF229" s="2" t="s">
        <v>20</v>
      </c>
      <c r="AG229">
        <v>159.8736275</v>
      </c>
      <c r="AH229">
        <v>715.44992999999999</v>
      </c>
      <c r="AI229">
        <v>161.7359625</v>
      </c>
      <c r="AJ229">
        <v>107.754355</v>
      </c>
      <c r="AK229">
        <v>213.263465</v>
      </c>
      <c r="AL229">
        <v>325.33425999999997</v>
      </c>
      <c r="AM229">
        <v>870.38053749999995</v>
      </c>
      <c r="AN229">
        <v>220.19935749999999</v>
      </c>
      <c r="AO229">
        <v>315.55265000000003</v>
      </c>
      <c r="AP229">
        <v>89.096194999999994</v>
      </c>
      <c r="AQ229">
        <v>72.761602499999995</v>
      </c>
    </row>
    <row r="230" spans="23:43" x14ac:dyDescent="0.2">
      <c r="W230" s="3">
        <v>45967</v>
      </c>
      <c r="X230">
        <v>24.0842943</v>
      </c>
      <c r="Y230">
        <v>799.84798739999997</v>
      </c>
      <c r="Z230">
        <v>154.64697709999999</v>
      </c>
      <c r="AA230">
        <v>76.0201134</v>
      </c>
      <c r="AB230">
        <v>141.89901549999999</v>
      </c>
      <c r="AC230">
        <v>926.16712319999999</v>
      </c>
      <c r="AD230">
        <v>152.9235774</v>
      </c>
      <c r="AE230">
        <v>97.705504599999998</v>
      </c>
      <c r="AF230" s="2" t="s">
        <v>20</v>
      </c>
      <c r="AG230">
        <v>142.0375803</v>
      </c>
      <c r="AH230">
        <v>709.5643599</v>
      </c>
      <c r="AI230">
        <v>160.25885149999999</v>
      </c>
      <c r="AJ230">
        <v>107.38772</v>
      </c>
      <c r="AK230">
        <v>211.57112900000001</v>
      </c>
      <c r="AL230">
        <v>319.62569209999998</v>
      </c>
      <c r="AM230">
        <v>829.71736209999995</v>
      </c>
      <c r="AN230">
        <v>215.09587110000001</v>
      </c>
      <c r="AO230">
        <v>322.59617500000002</v>
      </c>
      <c r="AP230">
        <v>88.464964499999994</v>
      </c>
      <c r="AQ230">
        <v>71.101062999999996</v>
      </c>
    </row>
    <row r="231" spans="23:43" x14ac:dyDescent="0.2">
      <c r="W231" s="3">
        <v>45968</v>
      </c>
      <c r="X231">
        <v>24.219686800000002</v>
      </c>
      <c r="Y231">
        <v>797.87482320000004</v>
      </c>
      <c r="Z231">
        <v>155.92774439999999</v>
      </c>
      <c r="AA231">
        <v>75.87567</v>
      </c>
      <c r="AB231">
        <v>142.53385119999999</v>
      </c>
      <c r="AC231">
        <v>935.75669600000003</v>
      </c>
      <c r="AD231">
        <v>155.68563399999999</v>
      </c>
      <c r="AE231">
        <v>96.809572799999998</v>
      </c>
      <c r="AF231" s="2" t="s">
        <v>20</v>
      </c>
      <c r="AG231">
        <v>140.20786200000001</v>
      </c>
      <c r="AH231">
        <v>713.14482999999996</v>
      </c>
      <c r="AI231">
        <v>156.39467160000001</v>
      </c>
      <c r="AJ231">
        <v>108.603808</v>
      </c>
      <c r="AK231">
        <v>212.2702932</v>
      </c>
      <c r="AL231">
        <v>320.8913948</v>
      </c>
      <c r="AM231">
        <v>828.58825679999995</v>
      </c>
      <c r="AN231">
        <v>217.90800680000001</v>
      </c>
      <c r="AO231">
        <v>322.94933320000001</v>
      </c>
      <c r="AP231">
        <v>88.768048800000003</v>
      </c>
      <c r="AQ231">
        <v>72.339128799999997</v>
      </c>
    </row>
    <row r="232" spans="23:43" x14ac:dyDescent="0.2">
      <c r="W232" s="3">
        <v>45971</v>
      </c>
      <c r="X232">
        <v>24.264413999999999</v>
      </c>
      <c r="Y232">
        <v>792.27984600000002</v>
      </c>
      <c r="Z232">
        <v>157.57158150000001</v>
      </c>
      <c r="AA232">
        <v>77.561320499999994</v>
      </c>
      <c r="AB232">
        <v>145.09323449999999</v>
      </c>
      <c r="AC232">
        <v>936.85387049999997</v>
      </c>
      <c r="AD232">
        <v>154.13614200000001</v>
      </c>
      <c r="AE232">
        <v>96.469217999999998</v>
      </c>
      <c r="AF232" s="2" t="s">
        <v>20</v>
      </c>
      <c r="AG232">
        <v>144.34038000000001</v>
      </c>
      <c r="AH232">
        <v>716.62229549999995</v>
      </c>
      <c r="AI232">
        <v>158.80037849999999</v>
      </c>
      <c r="AJ232">
        <v>108.08221500000001</v>
      </c>
      <c r="AK232">
        <v>211.37904449999999</v>
      </c>
      <c r="AL232">
        <v>320.55160050000001</v>
      </c>
      <c r="AM232">
        <v>844.84985849999998</v>
      </c>
      <c r="AN232">
        <v>215.351001</v>
      </c>
      <c r="AO232">
        <v>338.55953399999999</v>
      </c>
      <c r="AP232">
        <v>89.131050000000002</v>
      </c>
      <c r="AQ232">
        <v>71.443296000000004</v>
      </c>
    </row>
    <row r="233" spans="23:43" x14ac:dyDescent="0.2">
      <c r="W233" s="3">
        <v>45972</v>
      </c>
      <c r="X233">
        <v>24.732358399999999</v>
      </c>
      <c r="Y233">
        <v>789.17294159999994</v>
      </c>
      <c r="Z233">
        <v>158.86913319999999</v>
      </c>
      <c r="AA233">
        <v>78.445790400000007</v>
      </c>
      <c r="AB233">
        <v>145.65666519999999</v>
      </c>
      <c r="AC233">
        <v>937.61890559999995</v>
      </c>
      <c r="AD233">
        <v>157.0988352</v>
      </c>
      <c r="AE233">
        <v>96.407838400000003</v>
      </c>
      <c r="AF233" s="2" t="s">
        <v>20</v>
      </c>
      <c r="AG233">
        <v>147.09881039999999</v>
      </c>
      <c r="AH233">
        <v>709.01730239999995</v>
      </c>
      <c r="AI233">
        <v>157.56515759999999</v>
      </c>
      <c r="AJ233">
        <v>109.03308560000001</v>
      </c>
      <c r="AK233">
        <v>211.8830816</v>
      </c>
      <c r="AL233">
        <v>323.17869439999998</v>
      </c>
      <c r="AM233">
        <v>824.44936759999996</v>
      </c>
      <c r="AN233">
        <v>219.61194359999999</v>
      </c>
      <c r="AO233">
        <v>338.58460480000002</v>
      </c>
      <c r="AP233">
        <v>89.525265200000007</v>
      </c>
      <c r="AQ233">
        <v>70.466496000000006</v>
      </c>
    </row>
    <row r="234" spans="23:43" x14ac:dyDescent="0.2">
      <c r="W234" s="3">
        <v>45973</v>
      </c>
      <c r="X234">
        <v>24.939500599999999</v>
      </c>
      <c r="Y234">
        <v>788.47123999999997</v>
      </c>
      <c r="Z234">
        <v>158.4016292</v>
      </c>
      <c r="AA234">
        <v>79.373346600000005</v>
      </c>
      <c r="AB234">
        <v>147.58387279999999</v>
      </c>
      <c r="AC234">
        <v>943.68965379999997</v>
      </c>
      <c r="AD234">
        <v>157.6856214</v>
      </c>
      <c r="AE234">
        <v>95.824272800000003</v>
      </c>
      <c r="AF234" s="2" t="s">
        <v>20</v>
      </c>
      <c r="AG234">
        <v>144.6335756</v>
      </c>
      <c r="AH234">
        <v>701.54961839999999</v>
      </c>
      <c r="AI234">
        <v>158.77257299999999</v>
      </c>
      <c r="AJ234">
        <v>107.6944744</v>
      </c>
      <c r="AK234">
        <v>211.72264379999999</v>
      </c>
      <c r="AL234">
        <v>320.15900579999999</v>
      </c>
      <c r="AM234">
        <v>826.73021100000005</v>
      </c>
      <c r="AN234">
        <v>216.13083639999999</v>
      </c>
      <c r="AO234">
        <v>340.35387639999999</v>
      </c>
      <c r="AP234">
        <v>90.380888200000001</v>
      </c>
      <c r="AQ234">
        <v>71.3764884</v>
      </c>
    </row>
    <row r="235" spans="23:43" x14ac:dyDescent="0.2">
      <c r="W235" s="3">
        <v>45974</v>
      </c>
      <c r="X235">
        <v>24.297100199999999</v>
      </c>
      <c r="Y235">
        <v>795.35603160000005</v>
      </c>
      <c r="Z235">
        <v>156.45234690000001</v>
      </c>
      <c r="AA235">
        <v>77.310518400000007</v>
      </c>
      <c r="AB235">
        <v>146.69395739999999</v>
      </c>
      <c r="AC235">
        <v>919.65298050000001</v>
      </c>
      <c r="AD235">
        <v>158.0687145</v>
      </c>
      <c r="AE235">
        <v>96.122286000000003</v>
      </c>
      <c r="AF235" s="2" t="s">
        <v>20</v>
      </c>
      <c r="AG235">
        <v>141.56972819999999</v>
      </c>
      <c r="AH235">
        <v>676.24349580000001</v>
      </c>
      <c r="AI235">
        <v>153.35717489999999</v>
      </c>
      <c r="AJ235">
        <v>106.61148</v>
      </c>
      <c r="AK235">
        <v>210.8929833</v>
      </c>
      <c r="AL235">
        <v>316.45554390000001</v>
      </c>
      <c r="AM235">
        <v>794.67681330000005</v>
      </c>
      <c r="AN235">
        <v>211.44323610000001</v>
      </c>
      <c r="AO235">
        <v>326.44607130000003</v>
      </c>
      <c r="AP235">
        <v>89.1753444</v>
      </c>
      <c r="AQ235">
        <v>69.684358500000002</v>
      </c>
    </row>
    <row r="236" spans="23:43" x14ac:dyDescent="0.2">
      <c r="W236" s="3">
        <v>45975</v>
      </c>
      <c r="X236">
        <v>24.432150100000001</v>
      </c>
      <c r="Y236">
        <v>794.30735819999995</v>
      </c>
      <c r="Z236">
        <v>157.59124080000001</v>
      </c>
      <c r="AA236">
        <v>75.886826200000002</v>
      </c>
      <c r="AB236">
        <v>144.21767220000001</v>
      </c>
      <c r="AC236">
        <v>910.45258460000002</v>
      </c>
      <c r="AD236">
        <v>157.3244579</v>
      </c>
      <c r="AE236">
        <v>96.472138999999999</v>
      </c>
      <c r="AF236" s="2" t="s">
        <v>20</v>
      </c>
      <c r="AG236">
        <v>142.9612108</v>
      </c>
      <c r="AH236">
        <v>676.05368629999998</v>
      </c>
      <c r="AI236">
        <v>154.09724539999999</v>
      </c>
      <c r="AJ236">
        <v>105.70626969999999</v>
      </c>
      <c r="AK236">
        <v>209.95814229999999</v>
      </c>
      <c r="AL236">
        <v>311.84339240000003</v>
      </c>
      <c r="AM236">
        <v>791.90631210000004</v>
      </c>
      <c r="AN236">
        <v>208.53816879999999</v>
      </c>
      <c r="AO236">
        <v>324.55430669999998</v>
      </c>
      <c r="AP236">
        <v>87.539214799999996</v>
      </c>
      <c r="AQ236">
        <v>67.909156899999999</v>
      </c>
    </row>
    <row r="237" spans="23:43" x14ac:dyDescent="0.2">
      <c r="W237" s="3">
        <v>45978</v>
      </c>
      <c r="X237">
        <v>24.193192400000001</v>
      </c>
      <c r="Y237">
        <v>787.39177789999997</v>
      </c>
      <c r="Z237">
        <v>155.3489405</v>
      </c>
      <c r="AA237">
        <v>74.279312899999994</v>
      </c>
      <c r="AB237">
        <v>142.7001459</v>
      </c>
      <c r="AC237">
        <v>883.34487799999999</v>
      </c>
      <c r="AD237">
        <v>156.05644469999999</v>
      </c>
      <c r="AE237">
        <v>95.323248800000002</v>
      </c>
      <c r="AF237" s="2" t="s">
        <v>20</v>
      </c>
      <c r="AG237">
        <v>141.57849289999999</v>
      </c>
      <c r="AH237">
        <v>670.29983279999999</v>
      </c>
      <c r="AI237">
        <v>151.43178309999999</v>
      </c>
      <c r="AJ237">
        <v>106.5742912</v>
      </c>
      <c r="AK237">
        <v>208.2909621</v>
      </c>
      <c r="AL237">
        <v>308.91186429999999</v>
      </c>
      <c r="AM237">
        <v>773.94919809999999</v>
      </c>
      <c r="AN237">
        <v>205.21073039999999</v>
      </c>
      <c r="AO237">
        <v>319.32598100000001</v>
      </c>
      <c r="AP237">
        <v>84.054950199999993</v>
      </c>
      <c r="AQ237">
        <v>66.306948500000004</v>
      </c>
    </row>
    <row r="238" spans="23:43" x14ac:dyDescent="0.2">
      <c r="W238" s="3">
        <v>45979</v>
      </c>
      <c r="X238">
        <v>23.784370200000001</v>
      </c>
      <c r="Y238">
        <v>773.01794040000004</v>
      </c>
      <c r="Z238">
        <v>155.26340139999999</v>
      </c>
      <c r="AA238">
        <v>76.051257800000002</v>
      </c>
      <c r="AB238">
        <v>143.18121769999999</v>
      </c>
      <c r="AC238">
        <v>880.15987819999998</v>
      </c>
      <c r="AD238">
        <v>155.6693075</v>
      </c>
      <c r="AE238">
        <v>94.964754799999994</v>
      </c>
      <c r="AF238" s="2" t="s">
        <v>20</v>
      </c>
      <c r="AG238">
        <v>139.32942790000001</v>
      </c>
      <c r="AH238">
        <v>672.91458709999995</v>
      </c>
      <c r="AI238">
        <v>150.90206989999999</v>
      </c>
      <c r="AJ238">
        <v>106.917394</v>
      </c>
      <c r="AK238">
        <v>208.93800590000001</v>
      </c>
      <c r="AL238">
        <v>290.59422239999998</v>
      </c>
      <c r="AM238">
        <v>740.09636479999995</v>
      </c>
      <c r="AN238">
        <v>207.4784712</v>
      </c>
      <c r="AO238">
        <v>316.09721630000001</v>
      </c>
      <c r="AP238">
        <v>84.1866524</v>
      </c>
      <c r="AQ238">
        <v>65.437245099999998</v>
      </c>
    </row>
    <row r="239" spans="23:43" x14ac:dyDescent="0.2">
      <c r="W239" s="3">
        <v>45980</v>
      </c>
      <c r="X239">
        <v>23.795032500000001</v>
      </c>
      <c r="Y239">
        <v>772.01661000000001</v>
      </c>
      <c r="Z239">
        <v>155.720934</v>
      </c>
      <c r="AA239">
        <v>74.471083500000006</v>
      </c>
      <c r="AB239">
        <v>144.39987300000001</v>
      </c>
      <c r="AC239">
        <v>879.57535800000005</v>
      </c>
      <c r="AD239">
        <v>153.5451405</v>
      </c>
      <c r="AE239">
        <v>94.963417500000006</v>
      </c>
      <c r="AF239" s="2" t="s">
        <v>20</v>
      </c>
      <c r="AG239">
        <v>139.5368445</v>
      </c>
      <c r="AH239">
        <v>663.20959800000003</v>
      </c>
      <c r="AI239">
        <v>151.36067850000001</v>
      </c>
      <c r="AJ239">
        <v>106.10244</v>
      </c>
      <c r="AK239">
        <v>208.9715295</v>
      </c>
      <c r="AL239">
        <v>289.96132499999999</v>
      </c>
      <c r="AM239">
        <v>766.85885250000001</v>
      </c>
      <c r="AN239">
        <v>202.738878</v>
      </c>
      <c r="AO239">
        <v>322.88428800000003</v>
      </c>
      <c r="AP239">
        <v>84.4398585</v>
      </c>
      <c r="AQ239">
        <v>62.725265999999998</v>
      </c>
    </row>
    <row r="240" spans="23:43" x14ac:dyDescent="0.2">
      <c r="W240" s="3">
        <v>45981</v>
      </c>
      <c r="X240">
        <v>24.247463499999999</v>
      </c>
      <c r="Y240">
        <v>774.95587369999998</v>
      </c>
      <c r="Z240">
        <v>154.44636589999999</v>
      </c>
      <c r="AA240">
        <v>75.136773300000002</v>
      </c>
      <c r="AB240">
        <v>142.80411330000001</v>
      </c>
      <c r="AC240">
        <v>861.04087560000005</v>
      </c>
      <c r="AD240">
        <v>155.2444935</v>
      </c>
      <c r="AE240">
        <v>94.092303799999996</v>
      </c>
      <c r="AF240" s="2" t="s">
        <v>20</v>
      </c>
      <c r="AG240">
        <v>138.72672230000001</v>
      </c>
      <c r="AH240">
        <v>653.08525929999996</v>
      </c>
      <c r="AI240">
        <v>147.19381509999999</v>
      </c>
      <c r="AJ240">
        <v>106.81029359999999</v>
      </c>
      <c r="AK240">
        <v>209.161483</v>
      </c>
      <c r="AL240">
        <v>288.34962139999999</v>
      </c>
      <c r="AM240">
        <v>743.63804070000003</v>
      </c>
      <c r="AN240">
        <v>199.7140813</v>
      </c>
      <c r="AO240">
        <v>319.85831100000001</v>
      </c>
      <c r="AP240">
        <v>84.419344300000006</v>
      </c>
      <c r="AQ240">
        <v>60.970008399999998</v>
      </c>
    </row>
    <row r="241" spans="1:43" x14ac:dyDescent="0.2">
      <c r="W241" s="3">
        <v>45982</v>
      </c>
      <c r="X241">
        <v>24.489498699999999</v>
      </c>
      <c r="Y241">
        <v>780.99695729999996</v>
      </c>
      <c r="Z241">
        <v>159.48145339999999</v>
      </c>
      <c r="AA241">
        <v>78.098827</v>
      </c>
      <c r="AB241">
        <v>146.02482570000001</v>
      </c>
      <c r="AC241">
        <v>881.5177056</v>
      </c>
      <c r="AD241">
        <v>157.17063160000001</v>
      </c>
      <c r="AE241">
        <v>96.828645800000004</v>
      </c>
      <c r="AF241" s="2" t="s">
        <v>20</v>
      </c>
      <c r="AG241">
        <v>140.8558822</v>
      </c>
      <c r="AH241">
        <v>655.61315639999998</v>
      </c>
      <c r="AI241">
        <v>150.0383583</v>
      </c>
      <c r="AJ241">
        <v>109.2775467</v>
      </c>
      <c r="AK241">
        <v>215.24523210000001</v>
      </c>
      <c r="AL241">
        <v>298.25238359999997</v>
      </c>
      <c r="AM241">
        <v>757.83661549999999</v>
      </c>
      <c r="AN241">
        <v>208.4778254</v>
      </c>
      <c r="AO241">
        <v>329.01411289999999</v>
      </c>
      <c r="AP241">
        <v>87.142306300000001</v>
      </c>
      <c r="AQ241">
        <v>64.398954900000007</v>
      </c>
    </row>
    <row r="245" spans="1:43" x14ac:dyDescent="0.2">
      <c r="A245" t="e">
        <f>_xll.RDP.Data("SNPS.O","TR.PriceClose","SDate=2025-04-28 EDate=2025-11-21 Curn=EUR CH=IN RH=date",B246)</f>
        <v>#N/A</v>
      </c>
    </row>
    <row r="246" spans="1:43" x14ac:dyDescent="0.2">
      <c r="C246" s="2" t="s">
        <v>709</v>
      </c>
    </row>
    <row r="247" spans="1:43" x14ac:dyDescent="0.2">
      <c r="B247" s="3">
        <v>45775</v>
      </c>
      <c r="C247">
        <v>388.7312526</v>
      </c>
    </row>
    <row r="248" spans="1:43" x14ac:dyDescent="0.2">
      <c r="B248" s="3">
        <v>45776</v>
      </c>
      <c r="C248">
        <v>404.71732950000001</v>
      </c>
    </row>
    <row r="249" spans="1:43" x14ac:dyDescent="0.2">
      <c r="B249" s="3">
        <v>45777</v>
      </c>
      <c r="C249">
        <v>405.23697850000002</v>
      </c>
    </row>
    <row r="250" spans="1:43" x14ac:dyDescent="0.2">
      <c r="B250" s="3">
        <v>45778</v>
      </c>
      <c r="C250">
        <v>406.8367776</v>
      </c>
    </row>
    <row r="251" spans="1:43" x14ac:dyDescent="0.2">
      <c r="B251" s="3">
        <v>45779</v>
      </c>
      <c r="C251">
        <v>418.13309800000002</v>
      </c>
    </row>
    <row r="252" spans="1:43" x14ac:dyDescent="0.2">
      <c r="B252" s="3">
        <v>45782</v>
      </c>
      <c r="C252">
        <v>421.9636026</v>
      </c>
    </row>
    <row r="253" spans="1:43" x14ac:dyDescent="0.2">
      <c r="B253" s="3">
        <v>45783</v>
      </c>
      <c r="C253">
        <v>416.56299300000001</v>
      </c>
    </row>
    <row r="254" spans="1:43" x14ac:dyDescent="0.2">
      <c r="B254" s="3">
        <v>45784</v>
      </c>
      <c r="C254">
        <v>425.29231620000002</v>
      </c>
    </row>
    <row r="255" spans="1:43" x14ac:dyDescent="0.2">
      <c r="B255" s="3">
        <v>45785</v>
      </c>
      <c r="C255">
        <v>431.54899499999999</v>
      </c>
    </row>
    <row r="256" spans="1:43" x14ac:dyDescent="0.2">
      <c r="B256" s="3">
        <v>45786</v>
      </c>
      <c r="C256">
        <v>429.36087700000002</v>
      </c>
    </row>
    <row r="257" spans="2:3" x14ac:dyDescent="0.2">
      <c r="B257" s="3">
        <v>45789</v>
      </c>
      <c r="C257">
        <v>456.02195640000002</v>
      </c>
    </row>
    <row r="258" spans="2:3" x14ac:dyDescent="0.2">
      <c r="B258" s="3">
        <v>45790</v>
      </c>
      <c r="C258">
        <v>461.11178230000002</v>
      </c>
    </row>
    <row r="259" spans="2:3" x14ac:dyDescent="0.2">
      <c r="B259" s="3">
        <v>45791</v>
      </c>
      <c r="C259">
        <v>463.26946379999998</v>
      </c>
    </row>
    <row r="260" spans="2:3" x14ac:dyDescent="0.2">
      <c r="B260" s="3">
        <v>45792</v>
      </c>
      <c r="C260">
        <v>459.8885272</v>
      </c>
    </row>
    <row r="261" spans="2:3" x14ac:dyDescent="0.2">
      <c r="B261" s="3">
        <v>45793</v>
      </c>
      <c r="C261">
        <v>460.83668260000002</v>
      </c>
    </row>
    <row r="262" spans="2:3" x14ac:dyDescent="0.2">
      <c r="B262" s="3">
        <v>45796</v>
      </c>
      <c r="C262">
        <v>459.00121519999999</v>
      </c>
    </row>
    <row r="263" spans="2:3" x14ac:dyDescent="0.2">
      <c r="B263" s="3">
        <v>45797</v>
      </c>
      <c r="C263">
        <v>457.02123569999998</v>
      </c>
    </row>
    <row r="264" spans="2:3" x14ac:dyDescent="0.2">
      <c r="B264" s="3">
        <v>45798</v>
      </c>
      <c r="C264">
        <v>442.6337274</v>
      </c>
    </row>
    <row r="265" spans="2:3" x14ac:dyDescent="0.2">
      <c r="B265" s="3">
        <v>45799</v>
      </c>
      <c r="C265">
        <v>446.34508959999999</v>
      </c>
    </row>
    <row r="266" spans="2:3" x14ac:dyDescent="0.2">
      <c r="B266" s="3">
        <v>45800</v>
      </c>
      <c r="C266">
        <v>438.97303449999998</v>
      </c>
    </row>
    <row r="267" spans="2:3" x14ac:dyDescent="0.2">
      <c r="B267" s="3">
        <v>45804</v>
      </c>
      <c r="C267">
        <v>451.79285829999998</v>
      </c>
    </row>
    <row r="268" spans="2:3" x14ac:dyDescent="0.2">
      <c r="B268" s="3">
        <v>45805</v>
      </c>
      <c r="C268">
        <v>409.51875940000002</v>
      </c>
    </row>
    <row r="269" spans="2:3" x14ac:dyDescent="0.2">
      <c r="B269" s="3">
        <v>45806</v>
      </c>
      <c r="C269">
        <v>400.13185570000002</v>
      </c>
    </row>
    <row r="270" spans="2:3" x14ac:dyDescent="0.2">
      <c r="B270" s="3">
        <v>45807</v>
      </c>
      <c r="C270">
        <v>408.90093419999999</v>
      </c>
    </row>
    <row r="271" spans="2:3" x14ac:dyDescent="0.2">
      <c r="B271" s="3">
        <v>45810</v>
      </c>
      <c r="C271">
        <v>407.43840749999998</v>
      </c>
    </row>
    <row r="272" spans="2:3" x14ac:dyDescent="0.2">
      <c r="B272" s="3">
        <v>45811</v>
      </c>
      <c r="C272">
        <v>410.08033260000002</v>
      </c>
    </row>
    <row r="273" spans="2:3" x14ac:dyDescent="0.2">
      <c r="B273" s="3">
        <v>45812</v>
      </c>
      <c r="C273">
        <v>414.4623891</v>
      </c>
    </row>
    <row r="274" spans="2:3" x14ac:dyDescent="0.2">
      <c r="B274" s="3">
        <v>45813</v>
      </c>
      <c r="C274">
        <v>421.35600399999998</v>
      </c>
    </row>
    <row r="275" spans="2:3" x14ac:dyDescent="0.2">
      <c r="B275" s="3">
        <v>45814</v>
      </c>
      <c r="C275">
        <v>426.53789999999998</v>
      </c>
    </row>
    <row r="276" spans="2:3" x14ac:dyDescent="0.2">
      <c r="B276" s="3">
        <v>45817</v>
      </c>
      <c r="C276">
        <v>434.12595820000001</v>
      </c>
    </row>
    <row r="277" spans="2:3" x14ac:dyDescent="0.2">
      <c r="B277" s="3">
        <v>45818</v>
      </c>
      <c r="C277">
        <v>441.566892</v>
      </c>
    </row>
    <row r="278" spans="2:3" x14ac:dyDescent="0.2">
      <c r="B278" s="3">
        <v>45819</v>
      </c>
      <c r="C278">
        <v>435.91050150000001</v>
      </c>
    </row>
    <row r="279" spans="2:3" x14ac:dyDescent="0.2">
      <c r="B279" s="3">
        <v>45820</v>
      </c>
      <c r="C279">
        <v>427.3397167</v>
      </c>
    </row>
    <row r="280" spans="2:3" x14ac:dyDescent="0.2">
      <c r="B280" s="3">
        <v>45821</v>
      </c>
      <c r="C280">
        <v>414.52515899999997</v>
      </c>
    </row>
    <row r="281" spans="2:3" x14ac:dyDescent="0.2">
      <c r="B281" s="3">
        <v>45824</v>
      </c>
      <c r="C281">
        <v>414.68006179999998</v>
      </c>
    </row>
    <row r="282" spans="2:3" x14ac:dyDescent="0.2">
      <c r="B282" s="3">
        <v>45825</v>
      </c>
      <c r="C282">
        <v>414.14946400000002</v>
      </c>
    </row>
    <row r="283" spans="2:3" x14ac:dyDescent="0.2">
      <c r="B283" s="3">
        <v>45826</v>
      </c>
      <c r="C283">
        <v>412.59879919999997</v>
      </c>
    </row>
    <row r="284" spans="2:3" x14ac:dyDescent="0.2">
      <c r="B284" s="3">
        <v>45828</v>
      </c>
      <c r="C284">
        <v>408.37298700000002</v>
      </c>
    </row>
    <row r="285" spans="2:3" x14ac:dyDescent="0.2">
      <c r="B285" s="3">
        <v>45831</v>
      </c>
      <c r="C285">
        <v>406.86078279999998</v>
      </c>
    </row>
    <row r="286" spans="2:3" x14ac:dyDescent="0.2">
      <c r="B286" s="3">
        <v>45832</v>
      </c>
      <c r="C286">
        <v>412.6269006</v>
      </c>
    </row>
    <row r="287" spans="2:3" x14ac:dyDescent="0.2">
      <c r="B287" s="3">
        <v>45833</v>
      </c>
      <c r="C287">
        <v>417.93635169999999</v>
      </c>
    </row>
    <row r="288" spans="2:3" x14ac:dyDescent="0.2">
      <c r="B288" s="3">
        <v>45834</v>
      </c>
      <c r="C288">
        <v>423.70948900000002</v>
      </c>
    </row>
    <row r="289" spans="2:3" x14ac:dyDescent="0.2">
      <c r="B289" s="3">
        <v>45835</v>
      </c>
      <c r="C289">
        <v>428.9042316</v>
      </c>
    </row>
    <row r="290" spans="2:3" x14ac:dyDescent="0.2">
      <c r="B290" s="3">
        <v>45838</v>
      </c>
      <c r="C290">
        <v>434.98847280000001</v>
      </c>
    </row>
    <row r="291" spans="2:3" x14ac:dyDescent="0.2">
      <c r="B291" s="3">
        <v>45839</v>
      </c>
      <c r="C291">
        <v>441.99983800000001</v>
      </c>
    </row>
    <row r="292" spans="2:3" x14ac:dyDescent="0.2">
      <c r="B292" s="3">
        <v>45840</v>
      </c>
      <c r="C292">
        <v>443.388036</v>
      </c>
    </row>
    <row r="293" spans="2:3" x14ac:dyDescent="0.2">
      <c r="B293" s="3">
        <v>45841</v>
      </c>
      <c r="C293">
        <v>466.77470620000003</v>
      </c>
    </row>
    <row r="294" spans="2:3" x14ac:dyDescent="0.2">
      <c r="B294" s="3">
        <v>45845</v>
      </c>
      <c r="C294">
        <v>458.29001879999998</v>
      </c>
    </row>
    <row r="295" spans="2:3" x14ac:dyDescent="0.2">
      <c r="B295" s="3">
        <v>45846</v>
      </c>
      <c r="C295">
        <v>470.41045450000001</v>
      </c>
    </row>
    <row r="296" spans="2:3" x14ac:dyDescent="0.2">
      <c r="B296" s="3">
        <v>45847</v>
      </c>
      <c r="C296">
        <v>470.13665400000002</v>
      </c>
    </row>
    <row r="297" spans="2:3" x14ac:dyDescent="0.2">
      <c r="B297" s="3">
        <v>45848</v>
      </c>
      <c r="C297">
        <v>483.92259300000001</v>
      </c>
    </row>
    <row r="298" spans="2:3" x14ac:dyDescent="0.2">
      <c r="B298" s="3">
        <v>45849</v>
      </c>
      <c r="C298">
        <v>478.4696328</v>
      </c>
    </row>
    <row r="299" spans="2:3" x14ac:dyDescent="0.2">
      <c r="B299" s="3">
        <v>45852</v>
      </c>
      <c r="C299">
        <v>471.17251729999998</v>
      </c>
    </row>
    <row r="300" spans="2:3" x14ac:dyDescent="0.2">
      <c r="B300" s="3">
        <v>45853</v>
      </c>
      <c r="C300">
        <v>490.64387399999998</v>
      </c>
    </row>
    <row r="301" spans="2:3" x14ac:dyDescent="0.2">
      <c r="B301" s="3">
        <v>45854</v>
      </c>
      <c r="C301">
        <v>490.97496000000001</v>
      </c>
    </row>
    <row r="302" spans="2:3" x14ac:dyDescent="0.2">
      <c r="B302" s="3">
        <v>45855</v>
      </c>
      <c r="C302">
        <v>507.9857844</v>
      </c>
    </row>
    <row r="303" spans="2:3" x14ac:dyDescent="0.2">
      <c r="B303" s="3">
        <v>45856</v>
      </c>
      <c r="C303">
        <v>503.02224719999998</v>
      </c>
    </row>
    <row r="304" spans="2:3" x14ac:dyDescent="0.2">
      <c r="B304" s="3">
        <v>45859</v>
      </c>
      <c r="C304">
        <v>505.73970220000001</v>
      </c>
    </row>
    <row r="305" spans="2:3" x14ac:dyDescent="0.2">
      <c r="B305" s="3">
        <v>45860</v>
      </c>
      <c r="C305">
        <v>523.38336049999998</v>
      </c>
    </row>
    <row r="306" spans="2:3" x14ac:dyDescent="0.2">
      <c r="B306" s="3">
        <v>45861</v>
      </c>
      <c r="C306">
        <v>522.02352040000005</v>
      </c>
    </row>
    <row r="307" spans="2:3" x14ac:dyDescent="0.2">
      <c r="B307" s="3">
        <v>45862</v>
      </c>
      <c r="C307">
        <v>518.69745360000002</v>
      </c>
    </row>
    <row r="308" spans="2:3" x14ac:dyDescent="0.2">
      <c r="B308" s="3">
        <v>45863</v>
      </c>
      <c r="C308">
        <v>512.39427450000005</v>
      </c>
    </row>
    <row r="309" spans="2:3" x14ac:dyDescent="0.2">
      <c r="B309" s="3">
        <v>45866</v>
      </c>
      <c r="C309">
        <v>511.41598479999999</v>
      </c>
    </row>
    <row r="310" spans="2:3" x14ac:dyDescent="0.2">
      <c r="B310" s="3">
        <v>45867</v>
      </c>
      <c r="C310">
        <v>550.72590579999996</v>
      </c>
    </row>
    <row r="311" spans="2:3" x14ac:dyDescent="0.2">
      <c r="B311" s="3">
        <v>45868</v>
      </c>
      <c r="C311">
        <v>565.90096149999999</v>
      </c>
    </row>
    <row r="312" spans="2:3" x14ac:dyDescent="0.2">
      <c r="B312" s="3">
        <v>45869</v>
      </c>
      <c r="C312">
        <v>554.94505879999997</v>
      </c>
    </row>
    <row r="313" spans="2:3" x14ac:dyDescent="0.2">
      <c r="B313" s="3">
        <v>45870</v>
      </c>
      <c r="C313">
        <v>534.05579899999998</v>
      </c>
    </row>
    <row r="314" spans="2:3" x14ac:dyDescent="0.2">
      <c r="B314" s="3">
        <v>45873</v>
      </c>
      <c r="C314">
        <v>549.712086</v>
      </c>
    </row>
    <row r="315" spans="2:3" x14ac:dyDescent="0.2">
      <c r="B315" s="3">
        <v>45874</v>
      </c>
      <c r="C315">
        <v>543.03028500000005</v>
      </c>
    </row>
    <row r="316" spans="2:3" x14ac:dyDescent="0.2">
      <c r="B316" s="3">
        <v>45875</v>
      </c>
      <c r="C316">
        <v>536.82353479999995</v>
      </c>
    </row>
    <row r="317" spans="2:3" x14ac:dyDescent="0.2">
      <c r="B317" s="3">
        <v>45876</v>
      </c>
      <c r="C317">
        <v>531.78601275000005</v>
      </c>
    </row>
    <row r="318" spans="2:3" x14ac:dyDescent="0.2">
      <c r="B318" s="3">
        <v>45877</v>
      </c>
      <c r="C318">
        <v>532.19327559999999</v>
      </c>
    </row>
    <row r="319" spans="2:3" x14ac:dyDescent="0.2">
      <c r="B319" s="3">
        <v>45880</v>
      </c>
      <c r="C319">
        <v>530.4978036</v>
      </c>
    </row>
    <row r="320" spans="2:3" x14ac:dyDescent="0.2">
      <c r="B320" s="3">
        <v>45881</v>
      </c>
      <c r="C320">
        <v>536.11034400000005</v>
      </c>
    </row>
    <row r="321" spans="2:3" x14ac:dyDescent="0.2">
      <c r="B321" s="3">
        <v>45882</v>
      </c>
      <c r="C321">
        <v>528.51239369999996</v>
      </c>
    </row>
    <row r="322" spans="2:3" x14ac:dyDescent="0.2">
      <c r="B322" s="3">
        <v>45883</v>
      </c>
      <c r="C322">
        <v>529.24367759999996</v>
      </c>
    </row>
    <row r="323" spans="2:3" x14ac:dyDescent="0.2">
      <c r="B323" s="3">
        <v>45884</v>
      </c>
      <c r="C323">
        <v>528.2636172</v>
      </c>
    </row>
    <row r="324" spans="2:3" x14ac:dyDescent="0.2">
      <c r="B324" s="3">
        <v>45887</v>
      </c>
      <c r="C324">
        <v>536.30176789999996</v>
      </c>
    </row>
    <row r="325" spans="2:3" x14ac:dyDescent="0.2">
      <c r="B325" s="3">
        <v>45888</v>
      </c>
      <c r="C325">
        <v>526.1782614</v>
      </c>
    </row>
    <row r="326" spans="2:3" x14ac:dyDescent="0.2">
      <c r="B326" s="3">
        <v>45889</v>
      </c>
      <c r="C326">
        <v>515.94987900000001</v>
      </c>
    </row>
    <row r="327" spans="2:3" x14ac:dyDescent="0.2">
      <c r="B327" s="3">
        <v>45890</v>
      </c>
      <c r="C327">
        <v>515.44308899999999</v>
      </c>
    </row>
    <row r="328" spans="2:3" x14ac:dyDescent="0.2">
      <c r="B328" s="3">
        <v>45891</v>
      </c>
      <c r="C328">
        <v>517.73153720000005</v>
      </c>
    </row>
    <row r="329" spans="2:3" x14ac:dyDescent="0.2">
      <c r="B329" s="3">
        <v>45894</v>
      </c>
      <c r="C329">
        <v>513.85581000000002</v>
      </c>
    </row>
    <row r="330" spans="2:3" x14ac:dyDescent="0.2">
      <c r="B330" s="3">
        <v>45895</v>
      </c>
      <c r="C330">
        <v>511.94015999999999</v>
      </c>
    </row>
    <row r="331" spans="2:3" x14ac:dyDescent="0.2">
      <c r="B331" s="3">
        <v>45896</v>
      </c>
      <c r="C331">
        <v>518.3220761</v>
      </c>
    </row>
    <row r="332" spans="2:3" x14ac:dyDescent="0.2">
      <c r="B332" s="3">
        <v>45897</v>
      </c>
      <c r="C332">
        <v>524.02976339999998</v>
      </c>
    </row>
    <row r="333" spans="2:3" x14ac:dyDescent="0.2">
      <c r="B333" s="3">
        <v>45898</v>
      </c>
      <c r="C333">
        <v>516.5346624</v>
      </c>
    </row>
    <row r="334" spans="2:3" x14ac:dyDescent="0.2">
      <c r="B334" s="3">
        <v>45902</v>
      </c>
      <c r="C334">
        <v>508.68459250000001</v>
      </c>
    </row>
    <row r="335" spans="2:3" x14ac:dyDescent="0.2">
      <c r="B335" s="3">
        <v>45903</v>
      </c>
      <c r="C335">
        <v>507.77842720000001</v>
      </c>
    </row>
    <row r="336" spans="2:3" x14ac:dyDescent="0.2">
      <c r="B336" s="3">
        <v>45904</v>
      </c>
      <c r="C336">
        <v>516.74654239999995</v>
      </c>
    </row>
    <row r="337" spans="2:3" x14ac:dyDescent="0.2">
      <c r="B337" s="3">
        <v>45905</v>
      </c>
      <c r="C337">
        <v>510.48856439999997</v>
      </c>
    </row>
    <row r="338" spans="2:3" x14ac:dyDescent="0.2">
      <c r="B338" s="3">
        <v>45908</v>
      </c>
      <c r="C338">
        <v>517.83981600000004</v>
      </c>
    </row>
    <row r="339" spans="2:3" x14ac:dyDescent="0.2">
      <c r="B339" s="3">
        <v>45909</v>
      </c>
      <c r="C339">
        <v>516.28911619999997</v>
      </c>
    </row>
    <row r="340" spans="2:3" x14ac:dyDescent="0.2">
      <c r="B340" s="3">
        <v>45910</v>
      </c>
      <c r="C340">
        <v>331.6333338</v>
      </c>
    </row>
    <row r="341" spans="2:3" x14ac:dyDescent="0.2">
      <c r="B341" s="3">
        <v>45911</v>
      </c>
      <c r="C341">
        <v>373.39263</v>
      </c>
    </row>
    <row r="342" spans="2:3" x14ac:dyDescent="0.2">
      <c r="B342" s="3">
        <v>45912</v>
      </c>
      <c r="C342">
        <v>362.61103500000002</v>
      </c>
    </row>
    <row r="343" spans="2:3" x14ac:dyDescent="0.2">
      <c r="B343" s="3">
        <v>45915</v>
      </c>
      <c r="C343">
        <v>356.46252800000002</v>
      </c>
    </row>
    <row r="344" spans="2:3" x14ac:dyDescent="0.2">
      <c r="B344" s="3">
        <v>45916</v>
      </c>
      <c r="C344">
        <v>358.98195779999998</v>
      </c>
    </row>
    <row r="345" spans="2:3" x14ac:dyDescent="0.2">
      <c r="B345" s="3">
        <v>45917</v>
      </c>
      <c r="C345">
        <v>360.14364</v>
      </c>
    </row>
    <row r="346" spans="2:3" x14ac:dyDescent="0.2">
      <c r="B346" s="3">
        <v>45918</v>
      </c>
      <c r="C346">
        <v>407.35413060000002</v>
      </c>
    </row>
    <row r="347" spans="2:3" x14ac:dyDescent="0.2">
      <c r="B347" s="3">
        <v>45919</v>
      </c>
      <c r="C347">
        <v>421.91825</v>
      </c>
    </row>
    <row r="348" spans="2:3" x14ac:dyDescent="0.2">
      <c r="B348" s="3">
        <v>45922</v>
      </c>
      <c r="C348">
        <v>436.18671490000003</v>
      </c>
    </row>
    <row r="349" spans="2:3" x14ac:dyDescent="0.2">
      <c r="B349" s="3">
        <v>45923</v>
      </c>
      <c r="C349">
        <v>414.99704159999999</v>
      </c>
    </row>
    <row r="350" spans="2:3" x14ac:dyDescent="0.2">
      <c r="B350" s="3">
        <v>45924</v>
      </c>
      <c r="C350">
        <v>398.81736089999998</v>
      </c>
    </row>
    <row r="351" spans="2:3" x14ac:dyDescent="0.2">
      <c r="B351" s="3">
        <v>45925</v>
      </c>
      <c r="C351">
        <v>417.66194400000001</v>
      </c>
    </row>
    <row r="352" spans="2:3" x14ac:dyDescent="0.2">
      <c r="B352" s="3">
        <v>45926</v>
      </c>
      <c r="C352">
        <v>416.85432880000002</v>
      </c>
    </row>
    <row r="353" spans="2:3" x14ac:dyDescent="0.2">
      <c r="B353" s="3">
        <v>45929</v>
      </c>
      <c r="C353">
        <v>410.75553680000002</v>
      </c>
    </row>
    <row r="354" spans="2:3" x14ac:dyDescent="0.2">
      <c r="B354" s="3">
        <v>45930</v>
      </c>
      <c r="C354">
        <v>420.51629700000001</v>
      </c>
    </row>
    <row r="355" spans="2:3" x14ac:dyDescent="0.2">
      <c r="B355" s="3">
        <v>45931</v>
      </c>
      <c r="C355">
        <v>416.72894020000001</v>
      </c>
    </row>
    <row r="356" spans="2:3" x14ac:dyDescent="0.2">
      <c r="B356" s="3">
        <v>45932</v>
      </c>
      <c r="C356">
        <v>402.20706360000003</v>
      </c>
    </row>
    <row r="357" spans="2:3" x14ac:dyDescent="0.2">
      <c r="B357" s="3">
        <v>45933</v>
      </c>
      <c r="C357">
        <v>399.60147239999998</v>
      </c>
    </row>
    <row r="358" spans="2:3" x14ac:dyDescent="0.2">
      <c r="B358" s="3">
        <v>45936</v>
      </c>
      <c r="C358">
        <v>408.41900879999997</v>
      </c>
    </row>
    <row r="359" spans="2:3" x14ac:dyDescent="0.2">
      <c r="B359" s="3">
        <v>45937</v>
      </c>
      <c r="C359">
        <v>409.97814</v>
      </c>
    </row>
    <row r="360" spans="2:3" x14ac:dyDescent="0.2">
      <c r="B360" s="3">
        <v>45938</v>
      </c>
      <c r="C360">
        <v>420.91811039999999</v>
      </c>
    </row>
    <row r="361" spans="2:3" x14ac:dyDescent="0.2">
      <c r="B361" s="3">
        <v>45939</v>
      </c>
      <c r="C361">
        <v>418.93230030000001</v>
      </c>
    </row>
    <row r="362" spans="2:3" x14ac:dyDescent="0.2">
      <c r="B362" s="3">
        <v>45940</v>
      </c>
      <c r="C362">
        <v>377.79161160000001</v>
      </c>
    </row>
    <row r="363" spans="2:3" x14ac:dyDescent="0.2">
      <c r="B363" s="3">
        <v>45943</v>
      </c>
      <c r="C363">
        <v>387.27359999999999</v>
      </c>
    </row>
    <row r="364" spans="2:3" x14ac:dyDescent="0.2">
      <c r="B364" s="3">
        <v>45944</v>
      </c>
      <c r="C364">
        <v>382.387992</v>
      </c>
    </row>
    <row r="365" spans="2:3" x14ac:dyDescent="0.2">
      <c r="B365" s="3">
        <v>45945</v>
      </c>
      <c r="C365">
        <v>374.289894</v>
      </c>
    </row>
    <row r="366" spans="2:3" x14ac:dyDescent="0.2">
      <c r="B366" s="3">
        <v>45946</v>
      </c>
      <c r="C366">
        <v>376.65713</v>
      </c>
    </row>
    <row r="367" spans="2:3" x14ac:dyDescent="0.2">
      <c r="B367" s="3">
        <v>45947</v>
      </c>
      <c r="C367">
        <v>384.20941199999999</v>
      </c>
    </row>
    <row r="368" spans="2:3" x14ac:dyDescent="0.2">
      <c r="B368" s="3">
        <v>45950</v>
      </c>
      <c r="C368">
        <v>389.47751849999997</v>
      </c>
    </row>
    <row r="369" spans="2:3" x14ac:dyDescent="0.2">
      <c r="B369" s="3">
        <v>45951</v>
      </c>
      <c r="C369">
        <v>395.79346880000003</v>
      </c>
    </row>
    <row r="370" spans="2:3" x14ac:dyDescent="0.2">
      <c r="B370" s="3">
        <v>45952</v>
      </c>
      <c r="C370">
        <v>391.30221899999998</v>
      </c>
    </row>
    <row r="371" spans="2:3" x14ac:dyDescent="0.2">
      <c r="B371" s="3">
        <v>45953</v>
      </c>
      <c r="C371">
        <v>392.60683289999997</v>
      </c>
    </row>
    <row r="372" spans="2:3" x14ac:dyDescent="0.2">
      <c r="B372" s="3">
        <v>45954</v>
      </c>
      <c r="C372">
        <v>399.29691960000002</v>
      </c>
    </row>
    <row r="373" spans="2:3" x14ac:dyDescent="0.2">
      <c r="B373" s="3">
        <v>45957</v>
      </c>
      <c r="C373">
        <v>399.73599489999998</v>
      </c>
    </row>
    <row r="374" spans="2:3" x14ac:dyDescent="0.2">
      <c r="B374" s="3">
        <v>45958</v>
      </c>
      <c r="C374">
        <v>392.12916710000002</v>
      </c>
    </row>
    <row r="375" spans="2:3" x14ac:dyDescent="0.2">
      <c r="B375" s="3">
        <v>45959</v>
      </c>
      <c r="C375">
        <v>392.56682760000001</v>
      </c>
    </row>
    <row r="376" spans="2:3" x14ac:dyDescent="0.2">
      <c r="B376" s="3">
        <v>45960</v>
      </c>
      <c r="C376">
        <v>382.99271240000002</v>
      </c>
    </row>
    <row r="377" spans="2:3" x14ac:dyDescent="0.2">
      <c r="B377" s="3">
        <v>45961</v>
      </c>
      <c r="C377">
        <v>393.46194000000003</v>
      </c>
    </row>
    <row r="378" spans="2:3" x14ac:dyDescent="0.2">
      <c r="B378" s="3">
        <v>45964</v>
      </c>
      <c r="C378">
        <v>386.9785612</v>
      </c>
    </row>
    <row r="379" spans="2:3" x14ac:dyDescent="0.2">
      <c r="B379" s="3">
        <v>45965</v>
      </c>
      <c r="C379">
        <v>362.61170550000003</v>
      </c>
    </row>
    <row r="380" spans="2:3" x14ac:dyDescent="0.2">
      <c r="B380" s="3">
        <v>45966</v>
      </c>
      <c r="C380">
        <v>356.02797750000002</v>
      </c>
    </row>
    <row r="381" spans="2:3" x14ac:dyDescent="0.2">
      <c r="B381" s="3">
        <v>45967</v>
      </c>
      <c r="C381">
        <v>343.06912419999998</v>
      </c>
    </row>
    <row r="382" spans="2:3" x14ac:dyDescent="0.2">
      <c r="B382" s="3">
        <v>45968</v>
      </c>
      <c r="C382">
        <v>340.19105239999999</v>
      </c>
    </row>
    <row r="383" spans="2:3" x14ac:dyDescent="0.2">
      <c r="B383" s="3">
        <v>45971</v>
      </c>
      <c r="C383">
        <v>346.80631949999997</v>
      </c>
    </row>
    <row r="384" spans="2:3" x14ac:dyDescent="0.2">
      <c r="B384" s="3">
        <v>45972</v>
      </c>
      <c r="C384">
        <v>341.62433600000003</v>
      </c>
    </row>
    <row r="385" spans="2:3" x14ac:dyDescent="0.2">
      <c r="B385" s="3">
        <v>45973</v>
      </c>
      <c r="C385">
        <v>344.03743459999998</v>
      </c>
    </row>
    <row r="386" spans="2:3" x14ac:dyDescent="0.2">
      <c r="B386" s="3">
        <v>45974</v>
      </c>
      <c r="C386">
        <v>338.6891961</v>
      </c>
    </row>
    <row r="387" spans="2:3" x14ac:dyDescent="0.2">
      <c r="B387" s="3">
        <v>45975</v>
      </c>
      <c r="C387">
        <v>335.48379970000002</v>
      </c>
    </row>
    <row r="388" spans="2:3" x14ac:dyDescent="0.2">
      <c r="B388" s="3">
        <v>45978</v>
      </c>
      <c r="C388">
        <v>336.70297440000002</v>
      </c>
    </row>
    <row r="389" spans="2:3" x14ac:dyDescent="0.2">
      <c r="B389" s="3">
        <v>45979</v>
      </c>
      <c r="C389">
        <v>331.47846659999999</v>
      </c>
    </row>
    <row r="390" spans="2:3" x14ac:dyDescent="0.2">
      <c r="B390" s="3">
        <v>45980</v>
      </c>
      <c r="C390">
        <v>334.86415499999998</v>
      </c>
    </row>
    <row r="391" spans="2:3" x14ac:dyDescent="0.2">
      <c r="B391" s="3">
        <v>45981</v>
      </c>
      <c r="C391">
        <v>334.51956799999999</v>
      </c>
    </row>
    <row r="392" spans="2:3" x14ac:dyDescent="0.2">
      <c r="B392" s="3">
        <v>45982</v>
      </c>
      <c r="C392">
        <v>337.37998279999999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9DC5-5C0C-4B63-8FC3-4A8378256305}">
  <dimension ref="A1:AQ413"/>
  <sheetViews>
    <sheetView topLeftCell="Q136" zoomScale="70" zoomScaleNormal="70" workbookViewId="0">
      <selection activeCell="X151" sqref="X151:AQ151"/>
    </sheetView>
  </sheetViews>
  <sheetFormatPr baseColWidth="10" defaultColWidth="8.83203125" defaultRowHeight="15" x14ac:dyDescent="0.2"/>
  <cols>
    <col min="2" max="2" width="17.6640625" customWidth="1"/>
    <col min="6" max="6" width="11.83203125" customWidth="1"/>
    <col min="23" max="23" width="11.5" customWidth="1"/>
    <col min="40" max="40" width="12.83203125" customWidth="1"/>
  </cols>
  <sheetData>
    <row r="1" spans="1:4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</row>
    <row r="3" spans="1:43" x14ac:dyDescent="0.2">
      <c r="A3" t="e">
        <f>_xll.RDP.Data($A$1:$T$1,"TR.PriceClose","SDate=2025-04-28 EDate=2025-11-21 CH=IN RH=date",B4)</f>
        <v>#N/A</v>
      </c>
      <c r="V3" t="e">
        <f>_xll.RDP.Data($U$1:$AN$1,"TR.PriceClose","SDate=2025-04-28 EDate=2025-11-21 CH=IN RH=date",W4)</f>
        <v>#N/A</v>
      </c>
    </row>
    <row r="4" spans="1:43" x14ac:dyDescent="0.2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  <c r="X4" s="2" t="s">
        <v>30</v>
      </c>
      <c r="Y4" s="2" t="s">
        <v>31</v>
      </c>
      <c r="Z4" s="2" t="s">
        <v>32</v>
      </c>
      <c r="AA4" s="2" t="s">
        <v>33</v>
      </c>
      <c r="AB4" s="2" t="s">
        <v>34</v>
      </c>
      <c r="AC4" s="2" t="s">
        <v>35</v>
      </c>
      <c r="AD4" s="2" t="s">
        <v>36</v>
      </c>
      <c r="AE4" s="2" t="s">
        <v>37</v>
      </c>
      <c r="AF4" s="2" t="s">
        <v>38</v>
      </c>
      <c r="AG4" s="2" t="s">
        <v>39</v>
      </c>
      <c r="AH4" s="2" t="s">
        <v>40</v>
      </c>
      <c r="AI4" s="2" t="s">
        <v>41</v>
      </c>
      <c r="AJ4" s="2" t="s">
        <v>42</v>
      </c>
      <c r="AK4" s="2" t="s">
        <v>43</v>
      </c>
      <c r="AL4" s="2" t="s">
        <v>44</v>
      </c>
      <c r="AM4" s="2" t="s">
        <v>45</v>
      </c>
      <c r="AN4" s="2" t="s">
        <v>46</v>
      </c>
      <c r="AO4" s="2" t="s">
        <v>47</v>
      </c>
      <c r="AP4" s="2" t="s">
        <v>48</v>
      </c>
      <c r="AQ4" s="2" t="s">
        <v>49</v>
      </c>
    </row>
    <row r="5" spans="1:43" x14ac:dyDescent="0.2">
      <c r="B5" s="3">
        <v>45775</v>
      </c>
      <c r="C5" s="2">
        <v>754.4</v>
      </c>
      <c r="D5" s="2">
        <v>68.239999999999995</v>
      </c>
      <c r="E5" s="2">
        <v>2.657</v>
      </c>
      <c r="F5" s="2">
        <v>9.8800000000000008</v>
      </c>
      <c r="G5" s="2">
        <v>75.819999999999993</v>
      </c>
      <c r="H5" s="2">
        <v>7.1619999999999999</v>
      </c>
      <c r="I5" s="2">
        <v>31.26</v>
      </c>
      <c r="J5" s="2">
        <v>43.52</v>
      </c>
      <c r="K5" s="2">
        <v>36.07</v>
      </c>
      <c r="L5" s="2">
        <v>376.6</v>
      </c>
      <c r="M5" s="2">
        <v>93.12</v>
      </c>
      <c r="N5" s="2">
        <v>73.94</v>
      </c>
      <c r="O5" s="2">
        <v>5.8449999999999998</v>
      </c>
      <c r="P5" s="2">
        <v>158.69999999999999</v>
      </c>
      <c r="Q5" s="2">
        <v>14.23</v>
      </c>
      <c r="R5" s="2">
        <v>15695</v>
      </c>
      <c r="S5" s="2">
        <v>0.34129999999999999</v>
      </c>
      <c r="T5" s="2">
        <v>125.25</v>
      </c>
      <c r="U5" s="2">
        <v>12.95</v>
      </c>
      <c r="V5" s="2">
        <v>13.45</v>
      </c>
      <c r="W5" s="3">
        <v>45775</v>
      </c>
      <c r="X5">
        <v>2964</v>
      </c>
      <c r="Y5">
        <v>601.5</v>
      </c>
      <c r="Z5">
        <v>97.26</v>
      </c>
      <c r="AA5">
        <v>4.9720000000000004</v>
      </c>
      <c r="AB5">
        <v>580.6</v>
      </c>
      <c r="AC5">
        <v>158.30000000000001</v>
      </c>
      <c r="AD5">
        <v>151.94999999999999</v>
      </c>
      <c r="AE5">
        <v>3870</v>
      </c>
      <c r="AF5">
        <v>186</v>
      </c>
      <c r="AG5">
        <v>4090</v>
      </c>
      <c r="AH5">
        <v>2728</v>
      </c>
      <c r="AI5">
        <v>265.10000000000002</v>
      </c>
      <c r="AJ5">
        <v>63.614006793000001</v>
      </c>
      <c r="AK5">
        <v>40.119999999999997</v>
      </c>
      <c r="AL5">
        <v>71.599999999999994</v>
      </c>
      <c r="AM5">
        <v>949</v>
      </c>
      <c r="AN5">
        <v>487.2</v>
      </c>
      <c r="AO5">
        <v>5870</v>
      </c>
      <c r="AP5">
        <v>76.92</v>
      </c>
      <c r="AQ5">
        <v>140.89555350000001</v>
      </c>
    </row>
    <row r="6" spans="1:43" x14ac:dyDescent="0.2">
      <c r="B6" s="3">
        <v>45776</v>
      </c>
      <c r="C6">
        <v>752.8</v>
      </c>
      <c r="D6">
        <v>69.760000000000005</v>
      </c>
      <c r="E6">
        <v>2.617</v>
      </c>
      <c r="F6">
        <v>9.98</v>
      </c>
      <c r="G6">
        <v>75.84</v>
      </c>
      <c r="H6">
        <v>7.2619999999999996</v>
      </c>
      <c r="I6">
        <v>31.32</v>
      </c>
      <c r="J6">
        <v>43.48</v>
      </c>
      <c r="K6">
        <v>36.68</v>
      </c>
      <c r="L6">
        <v>377.4</v>
      </c>
      <c r="M6">
        <v>94.58</v>
      </c>
      <c r="N6">
        <v>73.58</v>
      </c>
      <c r="O6">
        <v>5.96</v>
      </c>
      <c r="P6">
        <v>159.5</v>
      </c>
      <c r="Q6">
        <v>14.83</v>
      </c>
      <c r="R6">
        <v>15600</v>
      </c>
      <c r="S6">
        <v>0.3483</v>
      </c>
      <c r="T6">
        <v>124.5</v>
      </c>
      <c r="U6">
        <v>13.16</v>
      </c>
      <c r="V6">
        <v>13.33</v>
      </c>
      <c r="W6" s="3">
        <v>45776</v>
      </c>
      <c r="X6">
        <v>3012</v>
      </c>
      <c r="Y6">
        <v>609</v>
      </c>
      <c r="Z6">
        <v>100.75</v>
      </c>
      <c r="AA6">
        <v>5.0179999999999998</v>
      </c>
      <c r="AB6">
        <v>586.79999999999995</v>
      </c>
      <c r="AC6">
        <v>155.9</v>
      </c>
      <c r="AD6">
        <v>153.6</v>
      </c>
      <c r="AE6">
        <v>3917</v>
      </c>
      <c r="AF6">
        <v>179.4</v>
      </c>
      <c r="AG6">
        <v>3993</v>
      </c>
      <c r="AH6">
        <v>2740</v>
      </c>
      <c r="AI6">
        <v>268.89999999999998</v>
      </c>
      <c r="AJ6">
        <v>59.259476565999996</v>
      </c>
      <c r="AK6">
        <v>39.89</v>
      </c>
      <c r="AL6">
        <v>71.25</v>
      </c>
      <c r="AM6">
        <v>950.2</v>
      </c>
      <c r="AN6">
        <v>493.2</v>
      </c>
      <c r="AO6">
        <v>5775</v>
      </c>
      <c r="AP6">
        <v>77.16</v>
      </c>
      <c r="AQ6">
        <v>143.2854978</v>
      </c>
    </row>
    <row r="7" spans="1:43" x14ac:dyDescent="0.2">
      <c r="B7" s="3">
        <v>45777</v>
      </c>
      <c r="C7">
        <v>754.2</v>
      </c>
      <c r="D7">
        <v>67.540000000000006</v>
      </c>
      <c r="E7">
        <v>2.5640000000000001</v>
      </c>
      <c r="F7">
        <v>9.7940000000000005</v>
      </c>
      <c r="G7">
        <v>72.38</v>
      </c>
      <c r="H7">
        <v>7.1379999999999999</v>
      </c>
      <c r="I7">
        <v>32.24</v>
      </c>
      <c r="J7">
        <v>44.14</v>
      </c>
      <c r="K7">
        <v>35.78</v>
      </c>
      <c r="L7">
        <v>376.4</v>
      </c>
      <c r="M7">
        <v>95.32</v>
      </c>
      <c r="N7">
        <v>74.52</v>
      </c>
      <c r="O7">
        <v>5.915</v>
      </c>
      <c r="P7">
        <v>160.15</v>
      </c>
      <c r="Q7">
        <v>14.8</v>
      </c>
      <c r="R7">
        <v>15400</v>
      </c>
      <c r="S7">
        <v>0.34799999999999998</v>
      </c>
      <c r="T7">
        <v>119.55</v>
      </c>
      <c r="U7">
        <v>13.47</v>
      </c>
      <c r="V7">
        <v>13.64</v>
      </c>
      <c r="W7" s="3">
        <v>45777</v>
      </c>
      <c r="X7">
        <v>2951</v>
      </c>
      <c r="Y7">
        <v>607.5</v>
      </c>
      <c r="Z7">
        <v>101.55</v>
      </c>
      <c r="AA7">
        <v>5.0599999999999996</v>
      </c>
      <c r="AB7">
        <v>588.6</v>
      </c>
      <c r="AC7">
        <v>162.5</v>
      </c>
      <c r="AD7">
        <v>155.44999999999999</v>
      </c>
      <c r="AE7">
        <v>3982</v>
      </c>
      <c r="AF7">
        <v>181.8</v>
      </c>
      <c r="AG7">
        <v>3990</v>
      </c>
      <c r="AH7">
        <v>2756</v>
      </c>
      <c r="AI7">
        <v>269.3</v>
      </c>
      <c r="AJ7">
        <v>60.206113572</v>
      </c>
      <c r="AK7">
        <v>40.78</v>
      </c>
      <c r="AL7">
        <v>72.5</v>
      </c>
      <c r="AM7">
        <v>939.2</v>
      </c>
      <c r="AN7">
        <v>501</v>
      </c>
      <c r="AO7">
        <v>5875</v>
      </c>
      <c r="AP7">
        <v>77.08</v>
      </c>
      <c r="AQ7">
        <v>145.50870180000001</v>
      </c>
    </row>
    <row r="8" spans="1:43" x14ac:dyDescent="0.2">
      <c r="B8" s="3">
        <v>45778</v>
      </c>
      <c r="C8">
        <v>767</v>
      </c>
      <c r="D8" s="2" t="s">
        <v>20</v>
      </c>
      <c r="E8" s="2" t="s">
        <v>20</v>
      </c>
      <c r="F8" s="2" t="s">
        <v>20</v>
      </c>
      <c r="G8" s="2" t="s">
        <v>20</v>
      </c>
      <c r="H8" s="2" t="s">
        <v>20</v>
      </c>
      <c r="I8" s="2" t="s">
        <v>20</v>
      </c>
      <c r="J8" s="2" t="s">
        <v>20</v>
      </c>
      <c r="K8" s="2" t="s">
        <v>20</v>
      </c>
      <c r="L8">
        <v>388.7</v>
      </c>
      <c r="M8" s="2" t="s">
        <v>20</v>
      </c>
      <c r="N8" s="2" t="s">
        <v>20</v>
      </c>
      <c r="O8" s="2" t="s">
        <v>20</v>
      </c>
      <c r="P8">
        <v>157.55000000000001</v>
      </c>
      <c r="Q8" s="2" t="s">
        <v>20</v>
      </c>
      <c r="R8" s="2" t="s">
        <v>20</v>
      </c>
      <c r="S8" s="2" t="s">
        <v>20</v>
      </c>
      <c r="T8" s="2" t="s">
        <v>20</v>
      </c>
      <c r="U8" s="2" t="s">
        <v>20</v>
      </c>
      <c r="V8" s="2" t="s">
        <v>20</v>
      </c>
      <c r="W8" s="3">
        <v>45778</v>
      </c>
      <c r="X8">
        <v>3000</v>
      </c>
      <c r="Y8" s="2" t="s">
        <v>20</v>
      </c>
      <c r="Z8" s="2" t="s">
        <v>20</v>
      </c>
      <c r="AA8" s="2" t="s">
        <v>20</v>
      </c>
      <c r="AB8" s="2" t="s">
        <v>20</v>
      </c>
      <c r="AC8" s="2" t="s">
        <v>20</v>
      </c>
      <c r="AD8" s="2" t="s">
        <v>20</v>
      </c>
      <c r="AE8" s="2" t="s">
        <v>20</v>
      </c>
      <c r="AF8" s="2" t="s">
        <v>20</v>
      </c>
      <c r="AG8">
        <v>4031</v>
      </c>
      <c r="AH8">
        <v>2778</v>
      </c>
      <c r="AI8" s="2" t="s">
        <v>20</v>
      </c>
      <c r="AJ8" s="2" t="s">
        <v>20</v>
      </c>
      <c r="AK8" s="2" t="s">
        <v>20</v>
      </c>
      <c r="AL8" s="2" t="s">
        <v>20</v>
      </c>
      <c r="AM8">
        <v>1003</v>
      </c>
      <c r="AN8">
        <v>502.5</v>
      </c>
      <c r="AO8">
        <v>5925</v>
      </c>
      <c r="AP8" s="2" t="s">
        <v>20</v>
      </c>
      <c r="AQ8">
        <v>148.7323476</v>
      </c>
    </row>
    <row r="9" spans="1:43" x14ac:dyDescent="0.2">
      <c r="B9" s="3">
        <v>45779</v>
      </c>
      <c r="C9">
        <v>784</v>
      </c>
      <c r="D9">
        <v>72.599999999999994</v>
      </c>
      <c r="E9">
        <v>2.5299999999999998</v>
      </c>
      <c r="F9">
        <v>9.9939999999999998</v>
      </c>
      <c r="G9">
        <v>75</v>
      </c>
      <c r="H9">
        <v>7.3140000000000001</v>
      </c>
      <c r="I9">
        <v>32.68</v>
      </c>
      <c r="J9">
        <v>45.66</v>
      </c>
      <c r="K9">
        <v>36.71</v>
      </c>
      <c r="L9">
        <v>398.4</v>
      </c>
      <c r="M9">
        <v>95.02</v>
      </c>
      <c r="N9">
        <v>76.2</v>
      </c>
      <c r="O9">
        <v>5.99</v>
      </c>
      <c r="P9">
        <v>157.9</v>
      </c>
      <c r="Q9">
        <v>15.17</v>
      </c>
      <c r="R9">
        <v>15730</v>
      </c>
      <c r="S9">
        <v>0.35370000000000001</v>
      </c>
      <c r="T9">
        <v>123.05</v>
      </c>
      <c r="U9">
        <v>13.32</v>
      </c>
      <c r="V9">
        <v>13.67</v>
      </c>
      <c r="W9" s="3">
        <v>45779</v>
      </c>
      <c r="X9">
        <v>3038</v>
      </c>
      <c r="Y9">
        <v>614.5</v>
      </c>
      <c r="Z9">
        <v>103.5</v>
      </c>
      <c r="AA9">
        <v>5.0220000000000002</v>
      </c>
      <c r="AB9">
        <v>599.79999999999995</v>
      </c>
      <c r="AC9">
        <v>166.9</v>
      </c>
      <c r="AD9">
        <v>156.19999999999999</v>
      </c>
      <c r="AE9">
        <v>4032</v>
      </c>
      <c r="AF9">
        <v>182</v>
      </c>
      <c r="AG9">
        <v>4079</v>
      </c>
      <c r="AH9">
        <v>2838</v>
      </c>
      <c r="AI9">
        <v>272.39999999999998</v>
      </c>
      <c r="AJ9">
        <v>60.774095774999999</v>
      </c>
      <c r="AK9">
        <v>42.68</v>
      </c>
      <c r="AL9">
        <v>71.400000000000006</v>
      </c>
      <c r="AM9">
        <v>1013.5</v>
      </c>
      <c r="AN9">
        <v>499.4</v>
      </c>
      <c r="AO9">
        <v>6115</v>
      </c>
      <c r="AP9">
        <v>77.900000000000006</v>
      </c>
      <c r="AQ9">
        <v>148.7323476</v>
      </c>
    </row>
    <row r="10" spans="1:43" x14ac:dyDescent="0.2">
      <c r="B10" s="3">
        <v>45783</v>
      </c>
      <c r="C10">
        <v>781.2</v>
      </c>
      <c r="D10">
        <v>72.92</v>
      </c>
      <c r="E10">
        <v>2.5150000000000001</v>
      </c>
      <c r="F10">
        <v>9.8460000000000001</v>
      </c>
      <c r="G10">
        <v>73.099999999999994</v>
      </c>
      <c r="H10">
        <v>7.3959999999999999</v>
      </c>
      <c r="I10">
        <v>33.08</v>
      </c>
      <c r="J10">
        <v>45.42</v>
      </c>
      <c r="K10">
        <v>36.89</v>
      </c>
      <c r="L10">
        <v>400.5</v>
      </c>
      <c r="M10">
        <v>95.46</v>
      </c>
      <c r="N10">
        <v>76.900000000000006</v>
      </c>
      <c r="O10">
        <v>6.06</v>
      </c>
      <c r="P10">
        <v>159.15</v>
      </c>
      <c r="Q10">
        <v>15.24</v>
      </c>
      <c r="R10">
        <v>15370</v>
      </c>
      <c r="S10">
        <v>0.35859999999999997</v>
      </c>
      <c r="T10">
        <v>123.45</v>
      </c>
      <c r="U10">
        <v>11.16</v>
      </c>
      <c r="V10">
        <v>13.67</v>
      </c>
      <c r="W10" s="3">
        <v>45783</v>
      </c>
      <c r="X10">
        <v>3038</v>
      </c>
      <c r="Y10">
        <v>609</v>
      </c>
      <c r="Z10">
        <v>104.55</v>
      </c>
      <c r="AA10">
        <v>5.05</v>
      </c>
      <c r="AB10">
        <v>592.6</v>
      </c>
      <c r="AC10">
        <v>164.3</v>
      </c>
      <c r="AD10">
        <v>156.25</v>
      </c>
      <c r="AE10">
        <v>4032</v>
      </c>
      <c r="AF10">
        <v>184.6</v>
      </c>
      <c r="AG10">
        <v>4030</v>
      </c>
      <c r="AH10">
        <v>2842</v>
      </c>
      <c r="AI10">
        <v>271.39999999999998</v>
      </c>
      <c r="AJ10">
        <v>61.436741679999997</v>
      </c>
      <c r="AK10">
        <v>42.41</v>
      </c>
      <c r="AL10">
        <v>71.650000000000006</v>
      </c>
      <c r="AM10">
        <v>1011</v>
      </c>
      <c r="AN10">
        <v>507</v>
      </c>
      <c r="AO10">
        <v>6025</v>
      </c>
      <c r="AP10">
        <v>76.02</v>
      </c>
      <c r="AQ10">
        <v>148.8435078</v>
      </c>
    </row>
    <row r="11" spans="1:43" x14ac:dyDescent="0.2">
      <c r="B11" s="3">
        <v>45784</v>
      </c>
      <c r="C11">
        <v>766</v>
      </c>
      <c r="D11">
        <v>70.98</v>
      </c>
      <c r="E11">
        <v>2.5529999999999999</v>
      </c>
      <c r="F11">
        <v>9.7579999999999991</v>
      </c>
      <c r="G11">
        <v>73.959999999999994</v>
      </c>
      <c r="H11">
        <v>7.3440000000000003</v>
      </c>
      <c r="I11">
        <v>32.94</v>
      </c>
      <c r="J11">
        <v>45.94</v>
      </c>
      <c r="K11">
        <v>36.68</v>
      </c>
      <c r="L11">
        <v>403.2</v>
      </c>
      <c r="M11">
        <v>94.4</v>
      </c>
      <c r="N11">
        <v>76.44</v>
      </c>
      <c r="O11">
        <v>6.2</v>
      </c>
      <c r="P11">
        <v>159.1</v>
      </c>
      <c r="Q11">
        <v>15.2</v>
      </c>
      <c r="R11">
        <v>15520</v>
      </c>
      <c r="S11">
        <v>0.35639999999999999</v>
      </c>
      <c r="T11">
        <v>124</v>
      </c>
      <c r="U11">
        <v>11.05</v>
      </c>
      <c r="V11">
        <v>13.53</v>
      </c>
      <c r="W11" s="3">
        <v>45784</v>
      </c>
      <c r="X11">
        <v>3063</v>
      </c>
      <c r="Y11">
        <v>606</v>
      </c>
      <c r="Z11">
        <v>102.85</v>
      </c>
      <c r="AA11">
        <v>5.0620000000000003</v>
      </c>
      <c r="AB11">
        <v>577.79999999999995</v>
      </c>
      <c r="AC11">
        <v>149.69999999999999</v>
      </c>
      <c r="AD11">
        <v>157.94999999999999</v>
      </c>
      <c r="AE11">
        <v>3985</v>
      </c>
      <c r="AF11">
        <v>185.2</v>
      </c>
      <c r="AG11">
        <v>4019</v>
      </c>
      <c r="AH11">
        <v>2830</v>
      </c>
      <c r="AI11">
        <v>266.2</v>
      </c>
      <c r="AJ11">
        <v>61.058086877000001</v>
      </c>
      <c r="AK11">
        <v>42.3</v>
      </c>
      <c r="AL11">
        <v>72.349999999999994</v>
      </c>
      <c r="AM11">
        <v>1005.5</v>
      </c>
      <c r="AN11">
        <v>518.5</v>
      </c>
      <c r="AO11">
        <v>5985</v>
      </c>
      <c r="AP11">
        <v>75.040000000000006</v>
      </c>
      <c r="AQ11">
        <v>144.06361920000001</v>
      </c>
    </row>
    <row r="12" spans="1:43" x14ac:dyDescent="0.2">
      <c r="B12" s="3">
        <v>45785</v>
      </c>
      <c r="C12">
        <v>794</v>
      </c>
      <c r="D12">
        <v>73.34</v>
      </c>
      <c r="E12">
        <v>2.6459999999999999</v>
      </c>
      <c r="F12">
        <v>9.8539999999999992</v>
      </c>
      <c r="G12">
        <v>74.56</v>
      </c>
      <c r="H12">
        <v>7.5960000000000001</v>
      </c>
      <c r="I12">
        <v>32.86</v>
      </c>
      <c r="J12">
        <v>46.68</v>
      </c>
      <c r="K12">
        <v>37.26</v>
      </c>
      <c r="L12">
        <v>399.2</v>
      </c>
      <c r="M12">
        <v>93.76</v>
      </c>
      <c r="N12">
        <v>72.8</v>
      </c>
      <c r="O12">
        <v>6.2450000000000001</v>
      </c>
      <c r="P12">
        <v>147.05000000000001</v>
      </c>
      <c r="Q12">
        <v>15.45</v>
      </c>
      <c r="R12">
        <v>15660</v>
      </c>
      <c r="S12">
        <v>0.35899999999999999</v>
      </c>
      <c r="T12">
        <v>124</v>
      </c>
      <c r="U12">
        <v>10.9</v>
      </c>
      <c r="V12">
        <v>13.83</v>
      </c>
      <c r="W12" s="3">
        <v>45785</v>
      </c>
      <c r="X12">
        <v>3091</v>
      </c>
      <c r="Y12">
        <v>609.5</v>
      </c>
      <c r="Z12">
        <v>102.9</v>
      </c>
      <c r="AA12">
        <v>5.12</v>
      </c>
      <c r="AB12">
        <v>571.20000000000005</v>
      </c>
      <c r="AC12">
        <v>149.9</v>
      </c>
      <c r="AD12">
        <v>158.9</v>
      </c>
      <c r="AE12">
        <v>3999</v>
      </c>
      <c r="AF12">
        <v>184</v>
      </c>
      <c r="AG12">
        <v>4096</v>
      </c>
      <c r="AH12">
        <v>2876</v>
      </c>
      <c r="AI12">
        <v>259.89999999999998</v>
      </c>
      <c r="AJ12">
        <v>60.300777273000001</v>
      </c>
      <c r="AK12">
        <v>43.76</v>
      </c>
      <c r="AL12">
        <v>72.75</v>
      </c>
      <c r="AM12">
        <v>1024</v>
      </c>
      <c r="AN12">
        <v>506</v>
      </c>
      <c r="AO12">
        <v>6150</v>
      </c>
      <c r="AP12">
        <v>76.92</v>
      </c>
      <c r="AQ12">
        <v>139.17257040000001</v>
      </c>
    </row>
    <row r="13" spans="1:43" x14ac:dyDescent="0.2">
      <c r="B13" s="3">
        <v>45786</v>
      </c>
      <c r="C13">
        <v>791.6</v>
      </c>
      <c r="D13">
        <v>74.760000000000005</v>
      </c>
      <c r="E13">
        <v>2.6259999999999999</v>
      </c>
      <c r="F13">
        <v>10.045</v>
      </c>
      <c r="G13">
        <v>78.28</v>
      </c>
      <c r="H13">
        <v>7.8419999999999996</v>
      </c>
      <c r="I13">
        <v>32.94</v>
      </c>
      <c r="J13">
        <v>46.3</v>
      </c>
      <c r="K13">
        <v>38.03</v>
      </c>
      <c r="L13">
        <v>406.8</v>
      </c>
      <c r="M13">
        <v>94.92</v>
      </c>
      <c r="N13">
        <v>73.5</v>
      </c>
      <c r="O13">
        <v>6.2450000000000001</v>
      </c>
      <c r="P13">
        <v>147.69999999999999</v>
      </c>
      <c r="Q13">
        <v>15.86</v>
      </c>
      <c r="R13">
        <v>16400</v>
      </c>
      <c r="S13">
        <v>0.3679</v>
      </c>
      <c r="T13">
        <v>126.25</v>
      </c>
      <c r="U13">
        <v>11.04</v>
      </c>
      <c r="V13">
        <v>13.92</v>
      </c>
      <c r="W13" s="3">
        <v>45786</v>
      </c>
      <c r="X13">
        <v>3108</v>
      </c>
      <c r="Y13">
        <v>587</v>
      </c>
      <c r="Z13">
        <v>103.75</v>
      </c>
      <c r="AA13">
        <v>5.1059999999999999</v>
      </c>
      <c r="AB13">
        <v>584.79999999999995</v>
      </c>
      <c r="AC13">
        <v>145.1</v>
      </c>
      <c r="AD13">
        <v>156.30000000000001</v>
      </c>
      <c r="AE13">
        <v>4026</v>
      </c>
      <c r="AF13">
        <v>184</v>
      </c>
      <c r="AG13">
        <v>4108</v>
      </c>
      <c r="AH13">
        <v>2896</v>
      </c>
      <c r="AI13">
        <v>257.60000000000002</v>
      </c>
      <c r="AJ13">
        <v>60.490104674000001</v>
      </c>
      <c r="AK13">
        <v>44.38</v>
      </c>
      <c r="AL13">
        <v>69.900000000000006</v>
      </c>
      <c r="AM13">
        <v>1024.5</v>
      </c>
      <c r="AN13">
        <v>503.5</v>
      </c>
      <c r="AO13">
        <v>6160</v>
      </c>
      <c r="AP13">
        <v>76.180000000000007</v>
      </c>
      <c r="AQ13">
        <v>140.3397525</v>
      </c>
    </row>
    <row r="14" spans="1:43" x14ac:dyDescent="0.2">
      <c r="B14" s="3">
        <v>45789</v>
      </c>
      <c r="C14">
        <v>785</v>
      </c>
      <c r="D14">
        <v>75.62</v>
      </c>
      <c r="E14">
        <v>2.681</v>
      </c>
      <c r="F14">
        <v>10.375</v>
      </c>
      <c r="G14">
        <v>78.02</v>
      </c>
      <c r="H14">
        <v>7.8479999999999999</v>
      </c>
      <c r="I14">
        <v>32.92</v>
      </c>
      <c r="J14">
        <v>47.72</v>
      </c>
      <c r="K14">
        <v>37.799999999999997</v>
      </c>
      <c r="L14">
        <v>404</v>
      </c>
      <c r="M14">
        <v>94.52</v>
      </c>
      <c r="N14">
        <v>75.12</v>
      </c>
      <c r="O14">
        <v>6.56</v>
      </c>
      <c r="P14">
        <v>148.05000000000001</v>
      </c>
      <c r="Q14">
        <v>16.02</v>
      </c>
      <c r="R14">
        <v>16260</v>
      </c>
      <c r="S14">
        <v>0.36159999999999998</v>
      </c>
      <c r="T14">
        <v>129.69999999999999</v>
      </c>
      <c r="U14">
        <v>11.02</v>
      </c>
      <c r="V14">
        <v>14.74</v>
      </c>
      <c r="W14" s="3">
        <v>45789</v>
      </c>
      <c r="X14">
        <v>3166</v>
      </c>
      <c r="Y14">
        <v>602</v>
      </c>
      <c r="Z14">
        <v>101.2</v>
      </c>
      <c r="AA14">
        <v>4.9989999999999997</v>
      </c>
      <c r="AB14">
        <v>575.79999999999995</v>
      </c>
      <c r="AC14">
        <v>148.5</v>
      </c>
      <c r="AD14">
        <v>155.25</v>
      </c>
      <c r="AE14">
        <v>3977</v>
      </c>
      <c r="AF14">
        <v>182</v>
      </c>
      <c r="AG14">
        <v>4311</v>
      </c>
      <c r="AH14">
        <v>2934</v>
      </c>
      <c r="AI14">
        <v>261.89999999999998</v>
      </c>
      <c r="AJ14">
        <v>59.82745877</v>
      </c>
      <c r="AK14">
        <v>46.15</v>
      </c>
      <c r="AL14">
        <v>71.3</v>
      </c>
      <c r="AM14">
        <v>1063.5</v>
      </c>
      <c r="AN14">
        <v>489.4</v>
      </c>
      <c r="AO14">
        <v>6435</v>
      </c>
      <c r="AP14">
        <v>81.36</v>
      </c>
      <c r="AQ14">
        <v>144.50826000000001</v>
      </c>
    </row>
    <row r="15" spans="1:43" x14ac:dyDescent="0.2">
      <c r="B15" s="3">
        <v>45790</v>
      </c>
      <c r="C15">
        <v>801</v>
      </c>
      <c r="D15">
        <v>75.040000000000006</v>
      </c>
      <c r="E15">
        <v>2.6989999999999998</v>
      </c>
      <c r="F15">
        <v>10.31</v>
      </c>
      <c r="G15">
        <v>78.2</v>
      </c>
      <c r="H15">
        <v>7.9480000000000004</v>
      </c>
      <c r="I15">
        <v>32.74</v>
      </c>
      <c r="J15">
        <v>48.36</v>
      </c>
      <c r="K15">
        <v>37.82</v>
      </c>
      <c r="L15">
        <v>396</v>
      </c>
      <c r="M15">
        <v>95.52</v>
      </c>
      <c r="N15">
        <v>75.48</v>
      </c>
      <c r="O15">
        <v>6.49</v>
      </c>
      <c r="P15">
        <v>145.85</v>
      </c>
      <c r="Q15">
        <v>16.03</v>
      </c>
      <c r="R15">
        <v>16560</v>
      </c>
      <c r="S15">
        <v>0.36380000000000001</v>
      </c>
      <c r="T15">
        <v>129.44999999999999</v>
      </c>
      <c r="U15">
        <v>11.14</v>
      </c>
      <c r="V15">
        <v>14.99</v>
      </c>
      <c r="W15" s="3">
        <v>45790</v>
      </c>
      <c r="X15">
        <v>3166</v>
      </c>
      <c r="Y15">
        <v>608.5</v>
      </c>
      <c r="Z15">
        <v>100.7</v>
      </c>
      <c r="AA15">
        <v>4.9909999999999997</v>
      </c>
      <c r="AB15">
        <v>573.79999999999995</v>
      </c>
      <c r="AC15">
        <v>146.9</v>
      </c>
      <c r="AD15">
        <v>157.05000000000001</v>
      </c>
      <c r="AE15">
        <v>3957</v>
      </c>
      <c r="AF15">
        <v>180.2</v>
      </c>
      <c r="AG15">
        <v>4452</v>
      </c>
      <c r="AH15">
        <v>2990</v>
      </c>
      <c r="AI15">
        <v>259</v>
      </c>
      <c r="AJ15">
        <v>59.922122469999998</v>
      </c>
      <c r="AK15">
        <v>47.12</v>
      </c>
      <c r="AL15">
        <v>71.599999999999994</v>
      </c>
      <c r="AM15">
        <v>1095.5</v>
      </c>
      <c r="AN15">
        <v>478.4</v>
      </c>
      <c r="AO15">
        <v>6585</v>
      </c>
      <c r="AP15">
        <v>83.26</v>
      </c>
      <c r="AQ15">
        <v>142.9520172</v>
      </c>
    </row>
    <row r="16" spans="1:43" x14ac:dyDescent="0.2">
      <c r="B16" s="3">
        <v>45791</v>
      </c>
      <c r="C16">
        <v>797</v>
      </c>
      <c r="D16">
        <v>73.86</v>
      </c>
      <c r="E16">
        <v>2.738</v>
      </c>
      <c r="F16">
        <v>10.305</v>
      </c>
      <c r="G16">
        <v>78.959999999999994</v>
      </c>
      <c r="H16">
        <v>7.9660000000000002</v>
      </c>
      <c r="I16">
        <v>32.68</v>
      </c>
      <c r="J16">
        <v>48.6</v>
      </c>
      <c r="K16">
        <v>37.99</v>
      </c>
      <c r="L16">
        <v>394.4</v>
      </c>
      <c r="M16">
        <v>96.64</v>
      </c>
      <c r="N16">
        <v>75.819999999999993</v>
      </c>
      <c r="O16">
        <v>6.64</v>
      </c>
      <c r="P16">
        <v>146.55000000000001</v>
      </c>
      <c r="Q16">
        <v>15.36</v>
      </c>
      <c r="R16">
        <v>16385</v>
      </c>
      <c r="S16">
        <v>0.36599999999999999</v>
      </c>
      <c r="T16">
        <v>127.15</v>
      </c>
      <c r="U16">
        <v>10.86</v>
      </c>
      <c r="V16">
        <v>14.84</v>
      </c>
      <c r="W16" s="3">
        <v>45791</v>
      </c>
      <c r="X16">
        <v>3113</v>
      </c>
      <c r="Y16">
        <v>616</v>
      </c>
      <c r="Z16">
        <v>101.05</v>
      </c>
      <c r="AA16">
        <v>5.0220000000000002</v>
      </c>
      <c r="AB16">
        <v>570.6</v>
      </c>
      <c r="AC16">
        <v>148.5</v>
      </c>
      <c r="AD16">
        <v>156.85</v>
      </c>
      <c r="AE16">
        <v>3994</v>
      </c>
      <c r="AF16">
        <v>180.6</v>
      </c>
      <c r="AG16">
        <v>4395</v>
      </c>
      <c r="AH16">
        <v>2968</v>
      </c>
      <c r="AI16">
        <v>254.5</v>
      </c>
      <c r="AJ16">
        <v>60.016786171</v>
      </c>
      <c r="AK16">
        <v>46.69</v>
      </c>
      <c r="AL16">
        <v>71.650000000000006</v>
      </c>
      <c r="AM16">
        <v>1096.5</v>
      </c>
      <c r="AN16">
        <v>480.2</v>
      </c>
      <c r="AO16">
        <v>6190</v>
      </c>
      <c r="AP16">
        <v>82.3</v>
      </c>
      <c r="AQ16">
        <v>138.50560920000001</v>
      </c>
    </row>
    <row r="17" spans="2:43" x14ac:dyDescent="0.2">
      <c r="B17" s="3">
        <v>45792</v>
      </c>
      <c r="C17">
        <v>816</v>
      </c>
      <c r="D17">
        <v>76.02</v>
      </c>
      <c r="E17">
        <v>2.7080000000000002</v>
      </c>
      <c r="F17">
        <v>10.199999999999999</v>
      </c>
      <c r="G17">
        <v>77.62</v>
      </c>
      <c r="H17">
        <v>7.8739999999999997</v>
      </c>
      <c r="I17">
        <v>33.1</v>
      </c>
      <c r="J17">
        <v>49.08</v>
      </c>
      <c r="K17">
        <v>38.4</v>
      </c>
      <c r="L17">
        <v>401.6</v>
      </c>
      <c r="M17">
        <v>97</v>
      </c>
      <c r="N17">
        <v>78.02</v>
      </c>
      <c r="O17">
        <v>6.56</v>
      </c>
      <c r="P17">
        <v>149.25</v>
      </c>
      <c r="Q17">
        <v>15.26</v>
      </c>
      <c r="R17">
        <v>16450</v>
      </c>
      <c r="S17">
        <v>0.37280000000000002</v>
      </c>
      <c r="T17">
        <v>123.75</v>
      </c>
      <c r="U17">
        <v>10.79</v>
      </c>
      <c r="V17">
        <v>14.66</v>
      </c>
      <c r="W17" s="3">
        <v>45792</v>
      </c>
      <c r="X17">
        <v>3148</v>
      </c>
      <c r="Y17">
        <v>616</v>
      </c>
      <c r="Z17">
        <v>102.6</v>
      </c>
      <c r="AA17">
        <v>5.0880000000000001</v>
      </c>
      <c r="AB17">
        <v>566.4</v>
      </c>
      <c r="AC17">
        <v>149.69999999999999</v>
      </c>
      <c r="AD17">
        <v>159.1</v>
      </c>
      <c r="AE17">
        <v>4095</v>
      </c>
      <c r="AF17">
        <v>183.6</v>
      </c>
      <c r="AG17">
        <v>4374</v>
      </c>
      <c r="AH17">
        <v>2998</v>
      </c>
      <c r="AI17">
        <v>257</v>
      </c>
      <c r="AJ17">
        <v>60.4722084</v>
      </c>
      <c r="AK17">
        <v>44</v>
      </c>
      <c r="AL17">
        <v>72.099999999999994</v>
      </c>
      <c r="AM17">
        <v>1071</v>
      </c>
      <c r="AN17">
        <v>489.4</v>
      </c>
      <c r="AO17">
        <v>6100</v>
      </c>
      <c r="AP17">
        <v>84.02</v>
      </c>
      <c r="AQ17">
        <v>136.0600848</v>
      </c>
    </row>
    <row r="18" spans="2:43" x14ac:dyDescent="0.2">
      <c r="B18" s="3">
        <v>45793</v>
      </c>
      <c r="C18">
        <v>809.6</v>
      </c>
      <c r="D18">
        <v>75.459999999999994</v>
      </c>
      <c r="E18">
        <v>2.7309999999999999</v>
      </c>
      <c r="F18">
        <v>10.225</v>
      </c>
      <c r="G18">
        <v>77.16</v>
      </c>
      <c r="H18">
        <v>7.8520000000000003</v>
      </c>
      <c r="I18">
        <v>33.520000000000003</v>
      </c>
      <c r="J18">
        <v>48.44</v>
      </c>
      <c r="K18">
        <v>39.090000000000003</v>
      </c>
      <c r="L18">
        <v>404</v>
      </c>
      <c r="M18">
        <v>97.16</v>
      </c>
      <c r="N18">
        <v>77.900000000000006</v>
      </c>
      <c r="O18">
        <v>6.54</v>
      </c>
      <c r="P18">
        <v>149.35</v>
      </c>
      <c r="Q18">
        <v>15.09</v>
      </c>
      <c r="R18">
        <v>16150</v>
      </c>
      <c r="S18">
        <v>0.38200000000000001</v>
      </c>
      <c r="T18">
        <v>123.4</v>
      </c>
      <c r="U18">
        <v>10.65</v>
      </c>
      <c r="V18">
        <v>14.88</v>
      </c>
      <c r="W18" s="3">
        <v>45793</v>
      </c>
      <c r="X18">
        <v>3111</v>
      </c>
      <c r="Y18">
        <v>615</v>
      </c>
      <c r="Z18">
        <v>103.7</v>
      </c>
      <c r="AA18">
        <v>5.1719999999999997</v>
      </c>
      <c r="AB18">
        <v>573.6</v>
      </c>
      <c r="AC18">
        <v>153.9</v>
      </c>
      <c r="AD18">
        <v>160.44999999999999</v>
      </c>
      <c r="AE18">
        <v>4090</v>
      </c>
      <c r="AF18">
        <v>186.8</v>
      </c>
      <c r="AG18">
        <v>4371</v>
      </c>
      <c r="AH18">
        <v>3000</v>
      </c>
      <c r="AI18">
        <v>259.7</v>
      </c>
      <c r="AJ18">
        <v>61.055541599999998</v>
      </c>
      <c r="AK18">
        <v>42.21</v>
      </c>
      <c r="AL18">
        <v>72.55</v>
      </c>
      <c r="AM18">
        <v>1094</v>
      </c>
      <c r="AN18">
        <v>495.8</v>
      </c>
      <c r="AO18">
        <v>6095</v>
      </c>
      <c r="AP18">
        <v>83.48</v>
      </c>
      <c r="AQ18">
        <v>137.11610669999999</v>
      </c>
    </row>
    <row r="19" spans="2:43" x14ac:dyDescent="0.2">
      <c r="B19" s="3">
        <v>45796</v>
      </c>
      <c r="C19">
        <v>819.2</v>
      </c>
      <c r="D19">
        <v>78.14</v>
      </c>
      <c r="E19">
        <v>2.77</v>
      </c>
      <c r="F19">
        <v>9.9120000000000008</v>
      </c>
      <c r="G19">
        <v>75.599999999999994</v>
      </c>
      <c r="H19">
        <v>7.5919999999999996</v>
      </c>
      <c r="I19">
        <v>33.72</v>
      </c>
      <c r="J19">
        <v>49.3</v>
      </c>
      <c r="K19">
        <v>39.18</v>
      </c>
      <c r="L19">
        <v>405.8</v>
      </c>
      <c r="M19">
        <v>97.62</v>
      </c>
      <c r="N19">
        <v>78.260000000000005</v>
      </c>
      <c r="O19">
        <v>6.5</v>
      </c>
      <c r="P19">
        <v>152</v>
      </c>
      <c r="Q19">
        <v>15.13</v>
      </c>
      <c r="R19">
        <v>15980</v>
      </c>
      <c r="S19">
        <v>0.38800000000000001</v>
      </c>
      <c r="T19">
        <v>124.15</v>
      </c>
      <c r="U19">
        <v>10.6</v>
      </c>
      <c r="V19">
        <v>14.84</v>
      </c>
      <c r="W19" s="3">
        <v>45796</v>
      </c>
      <c r="X19">
        <v>3085</v>
      </c>
      <c r="Y19">
        <v>618</v>
      </c>
      <c r="Z19">
        <v>104.3</v>
      </c>
      <c r="AA19">
        <v>5.1559999999999997</v>
      </c>
      <c r="AB19">
        <v>574.20000000000005</v>
      </c>
      <c r="AC19">
        <v>154.30000000000001</v>
      </c>
      <c r="AD19">
        <v>159.65</v>
      </c>
      <c r="AE19">
        <v>4118</v>
      </c>
      <c r="AF19">
        <v>187.2</v>
      </c>
      <c r="AG19">
        <v>4345</v>
      </c>
      <c r="AH19">
        <v>2956</v>
      </c>
      <c r="AI19">
        <v>260</v>
      </c>
      <c r="AJ19">
        <v>61.736097000000001</v>
      </c>
      <c r="AK19">
        <v>41.2</v>
      </c>
      <c r="AL19">
        <v>72.400000000000006</v>
      </c>
      <c r="AM19">
        <v>1088</v>
      </c>
      <c r="AN19">
        <v>499.4</v>
      </c>
      <c r="AO19">
        <v>5980</v>
      </c>
      <c r="AP19">
        <v>81.84</v>
      </c>
      <c r="AQ19">
        <v>136.67146589999999</v>
      </c>
    </row>
    <row r="20" spans="2:43" x14ac:dyDescent="0.2">
      <c r="B20" s="3">
        <v>45797</v>
      </c>
      <c r="C20">
        <v>817.6</v>
      </c>
      <c r="D20">
        <v>78.739999999999995</v>
      </c>
      <c r="E20">
        <v>2.8250000000000002</v>
      </c>
      <c r="F20">
        <v>9.9719999999999995</v>
      </c>
      <c r="G20">
        <v>76</v>
      </c>
      <c r="H20">
        <v>7.62</v>
      </c>
      <c r="I20">
        <v>33.880000000000003</v>
      </c>
      <c r="J20">
        <v>49.46</v>
      </c>
      <c r="K20">
        <v>40.049999999999997</v>
      </c>
      <c r="L20">
        <v>409</v>
      </c>
      <c r="M20">
        <v>97.4</v>
      </c>
      <c r="N20">
        <v>79.040000000000006</v>
      </c>
      <c r="O20">
        <v>6.71</v>
      </c>
      <c r="P20">
        <v>156.9</v>
      </c>
      <c r="Q20">
        <v>14.77</v>
      </c>
      <c r="R20">
        <v>15830</v>
      </c>
      <c r="S20">
        <v>0.38940000000000002</v>
      </c>
      <c r="T20">
        <v>123.6</v>
      </c>
      <c r="U20">
        <v>10.53</v>
      </c>
      <c r="V20">
        <v>14.88</v>
      </c>
      <c r="W20" s="3">
        <v>45797</v>
      </c>
      <c r="X20">
        <v>3118</v>
      </c>
      <c r="Y20">
        <v>625</v>
      </c>
      <c r="Z20">
        <v>104.95</v>
      </c>
      <c r="AA20">
        <v>5.2240000000000002</v>
      </c>
      <c r="AB20">
        <v>564.20000000000005</v>
      </c>
      <c r="AC20">
        <v>154.69999999999999</v>
      </c>
      <c r="AD20">
        <v>160.5</v>
      </c>
      <c r="AE20">
        <v>4123</v>
      </c>
      <c r="AF20">
        <v>188</v>
      </c>
      <c r="AG20">
        <v>4389</v>
      </c>
      <c r="AH20">
        <v>2954</v>
      </c>
      <c r="AI20">
        <v>263.39999999999998</v>
      </c>
      <c r="AJ20">
        <v>61.930541400000003</v>
      </c>
      <c r="AK20">
        <v>42.13</v>
      </c>
      <c r="AL20">
        <v>73.3</v>
      </c>
      <c r="AM20">
        <v>1092</v>
      </c>
      <c r="AN20">
        <v>504</v>
      </c>
      <c r="AO20">
        <v>6020</v>
      </c>
      <c r="AP20">
        <v>83.5</v>
      </c>
      <c r="AQ20">
        <v>156.5135616</v>
      </c>
    </row>
    <row r="21" spans="2:43" x14ac:dyDescent="0.2">
      <c r="B21" s="3">
        <v>45798</v>
      </c>
      <c r="C21">
        <v>824.4</v>
      </c>
      <c r="D21">
        <v>79.16</v>
      </c>
      <c r="E21">
        <v>2.786</v>
      </c>
      <c r="F21">
        <v>10.02</v>
      </c>
      <c r="G21">
        <v>75.180000000000007</v>
      </c>
      <c r="H21">
        <v>7.6619999999999999</v>
      </c>
      <c r="I21">
        <v>33.96</v>
      </c>
      <c r="J21">
        <v>48.66</v>
      </c>
      <c r="K21">
        <v>40.340000000000003</v>
      </c>
      <c r="L21">
        <v>413.7</v>
      </c>
      <c r="M21">
        <v>97.02</v>
      </c>
      <c r="N21">
        <v>78.88</v>
      </c>
      <c r="O21">
        <v>6.68</v>
      </c>
      <c r="P21">
        <v>158.80000000000001</v>
      </c>
      <c r="Q21">
        <v>14.63</v>
      </c>
      <c r="R21">
        <v>15600</v>
      </c>
      <c r="S21">
        <v>0.3952</v>
      </c>
      <c r="T21">
        <v>122.35</v>
      </c>
      <c r="U21">
        <v>10.57</v>
      </c>
      <c r="V21">
        <v>14.8</v>
      </c>
      <c r="W21" s="3">
        <v>45798</v>
      </c>
      <c r="X21">
        <v>3108</v>
      </c>
      <c r="Y21">
        <v>622.5</v>
      </c>
      <c r="Z21">
        <v>104.05</v>
      </c>
      <c r="AA21">
        <v>5.21</v>
      </c>
      <c r="AB21">
        <v>564.6</v>
      </c>
      <c r="AC21">
        <v>147.80000000000001</v>
      </c>
      <c r="AD21">
        <v>160.9</v>
      </c>
      <c r="AE21">
        <v>4109</v>
      </c>
      <c r="AF21">
        <v>188.4</v>
      </c>
      <c r="AG21">
        <v>4305</v>
      </c>
      <c r="AH21">
        <v>2974</v>
      </c>
      <c r="AI21">
        <v>262.60000000000002</v>
      </c>
      <c r="AJ21">
        <v>61.833319199999998</v>
      </c>
      <c r="AK21">
        <v>40.950000000000003</v>
      </c>
      <c r="AL21">
        <v>73.05</v>
      </c>
      <c r="AM21">
        <v>1091</v>
      </c>
      <c r="AN21">
        <v>515</v>
      </c>
      <c r="AO21">
        <v>5860</v>
      </c>
      <c r="AP21">
        <v>82.92</v>
      </c>
      <c r="AQ21">
        <v>147.67632570000001</v>
      </c>
    </row>
    <row r="22" spans="2:43" x14ac:dyDescent="0.2">
      <c r="B22" s="3">
        <v>45799</v>
      </c>
      <c r="C22">
        <v>839</v>
      </c>
      <c r="D22">
        <v>81.680000000000007</v>
      </c>
      <c r="E22">
        <v>2.8220000000000001</v>
      </c>
      <c r="F22">
        <v>10.015000000000001</v>
      </c>
      <c r="G22">
        <v>74.900000000000006</v>
      </c>
      <c r="H22">
        <v>7.86</v>
      </c>
      <c r="I22">
        <v>33.9</v>
      </c>
      <c r="J22">
        <v>48.36</v>
      </c>
      <c r="K22">
        <v>40.270000000000003</v>
      </c>
      <c r="L22">
        <v>411.5</v>
      </c>
      <c r="M22">
        <v>95.52</v>
      </c>
      <c r="N22">
        <v>79.36</v>
      </c>
      <c r="O22">
        <v>6.64</v>
      </c>
      <c r="P22">
        <v>159</v>
      </c>
      <c r="Q22">
        <v>14.62</v>
      </c>
      <c r="R22">
        <v>15495</v>
      </c>
      <c r="S22">
        <v>0.38919999999999999</v>
      </c>
      <c r="T22">
        <v>122.1</v>
      </c>
      <c r="U22">
        <v>10.48</v>
      </c>
      <c r="V22">
        <v>14.4</v>
      </c>
      <c r="W22" s="3">
        <v>45799</v>
      </c>
      <c r="X22">
        <v>3092</v>
      </c>
      <c r="Y22">
        <v>617</v>
      </c>
      <c r="Z22">
        <v>103.8</v>
      </c>
      <c r="AA22">
        <v>5.25</v>
      </c>
      <c r="AB22">
        <v>560.6</v>
      </c>
      <c r="AC22">
        <v>146.1</v>
      </c>
      <c r="AD22">
        <v>160.15</v>
      </c>
      <c r="AE22">
        <v>4068</v>
      </c>
      <c r="AF22">
        <v>187.6</v>
      </c>
      <c r="AG22">
        <v>4263</v>
      </c>
      <c r="AH22">
        <v>2906</v>
      </c>
      <c r="AI22">
        <v>259.2</v>
      </c>
      <c r="AJ22">
        <v>61.541652599999999</v>
      </c>
      <c r="AK22">
        <v>40.72</v>
      </c>
      <c r="AL22">
        <v>72.099999999999994</v>
      </c>
      <c r="AM22">
        <v>1104</v>
      </c>
      <c r="AN22">
        <v>512</v>
      </c>
      <c r="AO22">
        <v>5785</v>
      </c>
      <c r="AP22">
        <v>80.08</v>
      </c>
      <c r="AQ22">
        <v>145.5642819</v>
      </c>
    </row>
    <row r="23" spans="2:43" x14ac:dyDescent="0.2">
      <c r="B23" s="3">
        <v>45800</v>
      </c>
      <c r="C23">
        <v>835.8</v>
      </c>
      <c r="D23">
        <v>81.7</v>
      </c>
      <c r="E23">
        <v>2.7589999999999999</v>
      </c>
      <c r="F23">
        <v>9.8000000000000007</v>
      </c>
      <c r="G23">
        <v>74.12</v>
      </c>
      <c r="H23">
        <v>7.6340000000000003</v>
      </c>
      <c r="I23">
        <v>34.020000000000003</v>
      </c>
      <c r="J23">
        <v>48.26</v>
      </c>
      <c r="K23">
        <v>40.47</v>
      </c>
      <c r="L23">
        <v>411.6</v>
      </c>
      <c r="M23">
        <v>97.44</v>
      </c>
      <c r="N23">
        <v>78.739999999999995</v>
      </c>
      <c r="O23">
        <v>6.5650000000000004</v>
      </c>
      <c r="P23">
        <v>158.6</v>
      </c>
      <c r="Q23">
        <v>14.38</v>
      </c>
      <c r="R23">
        <v>15020</v>
      </c>
      <c r="S23">
        <v>0.38779999999999998</v>
      </c>
      <c r="T23">
        <v>123.6</v>
      </c>
      <c r="U23">
        <v>10.31</v>
      </c>
      <c r="V23">
        <v>14.27</v>
      </c>
      <c r="W23" s="3">
        <v>45800</v>
      </c>
      <c r="X23">
        <v>3052</v>
      </c>
      <c r="Y23">
        <v>618</v>
      </c>
      <c r="Z23">
        <v>104.55</v>
      </c>
      <c r="AA23">
        <v>5.2539999999999996</v>
      </c>
      <c r="AB23">
        <v>560</v>
      </c>
      <c r="AC23">
        <v>146.6</v>
      </c>
      <c r="AD23">
        <v>161.25</v>
      </c>
      <c r="AE23">
        <v>4097</v>
      </c>
      <c r="AF23">
        <v>188</v>
      </c>
      <c r="AG23">
        <v>4217</v>
      </c>
      <c r="AH23">
        <v>2878</v>
      </c>
      <c r="AI23">
        <v>259.89999999999998</v>
      </c>
      <c r="AJ23">
        <v>62.0277636</v>
      </c>
      <c r="AK23">
        <v>39.72</v>
      </c>
      <c r="AL23">
        <v>71.45</v>
      </c>
      <c r="AM23">
        <v>1087</v>
      </c>
      <c r="AN23">
        <v>514</v>
      </c>
      <c r="AO23">
        <v>5715</v>
      </c>
      <c r="AP23">
        <v>79.319999999999993</v>
      </c>
      <c r="AQ23">
        <v>148.06538639999999</v>
      </c>
    </row>
    <row r="24" spans="2:43" x14ac:dyDescent="0.2">
      <c r="B24" s="3">
        <v>45804</v>
      </c>
      <c r="C24">
        <v>851.6</v>
      </c>
      <c r="D24">
        <v>85.4</v>
      </c>
      <c r="E24">
        <v>2.8050000000000002</v>
      </c>
      <c r="F24">
        <v>9.8559999999999999</v>
      </c>
      <c r="G24">
        <v>77.08</v>
      </c>
      <c r="H24">
        <v>7.6840000000000002</v>
      </c>
      <c r="I24">
        <v>34.299999999999997</v>
      </c>
      <c r="J24">
        <v>48.76</v>
      </c>
      <c r="K24">
        <v>40.74</v>
      </c>
      <c r="L24">
        <v>413.3</v>
      </c>
      <c r="M24">
        <v>98.86</v>
      </c>
      <c r="N24">
        <v>81.099999999999994</v>
      </c>
      <c r="O24">
        <v>6.7649999999999997</v>
      </c>
      <c r="P24">
        <v>156.15</v>
      </c>
      <c r="Q24">
        <v>14.77</v>
      </c>
      <c r="R24">
        <v>15590</v>
      </c>
      <c r="S24">
        <v>0.38300000000000001</v>
      </c>
      <c r="T24">
        <v>125.85</v>
      </c>
      <c r="U24">
        <v>10.73</v>
      </c>
      <c r="V24">
        <v>14.99</v>
      </c>
      <c r="W24" s="3">
        <v>45804</v>
      </c>
      <c r="X24">
        <v>3076</v>
      </c>
      <c r="Y24">
        <v>625.5</v>
      </c>
      <c r="Z24">
        <v>105.6</v>
      </c>
      <c r="AA24">
        <v>5.2380000000000004</v>
      </c>
      <c r="AB24">
        <v>567.20000000000005</v>
      </c>
      <c r="AC24">
        <v>151</v>
      </c>
      <c r="AD24">
        <v>160.30000000000001</v>
      </c>
      <c r="AE24">
        <v>4167</v>
      </c>
      <c r="AF24">
        <v>187.4</v>
      </c>
      <c r="AG24">
        <v>4348</v>
      </c>
      <c r="AH24">
        <v>2918</v>
      </c>
      <c r="AI24">
        <v>260.89999999999998</v>
      </c>
      <c r="AJ24">
        <v>61.638874800000004</v>
      </c>
      <c r="AK24">
        <v>40.54</v>
      </c>
      <c r="AL24">
        <v>72.2</v>
      </c>
      <c r="AM24">
        <v>1109</v>
      </c>
      <c r="AN24">
        <v>510.5</v>
      </c>
      <c r="AO24">
        <v>5830</v>
      </c>
      <c r="AP24">
        <v>81.28</v>
      </c>
      <c r="AQ24">
        <v>149.67720929999999</v>
      </c>
    </row>
    <row r="25" spans="2:43" x14ac:dyDescent="0.2">
      <c r="B25" s="3">
        <v>45805</v>
      </c>
      <c r="C25">
        <v>857.8</v>
      </c>
      <c r="D25">
        <v>85.72</v>
      </c>
      <c r="E25">
        <v>2.7719999999999998</v>
      </c>
      <c r="F25">
        <v>10.09</v>
      </c>
      <c r="G25">
        <v>77.8</v>
      </c>
      <c r="H25">
        <v>7.726</v>
      </c>
      <c r="I25">
        <v>34.04</v>
      </c>
      <c r="J25">
        <v>48.32</v>
      </c>
      <c r="K25">
        <v>40.39</v>
      </c>
      <c r="L25">
        <v>415.2</v>
      </c>
      <c r="M25">
        <v>96.9</v>
      </c>
      <c r="N25">
        <v>83.18</v>
      </c>
      <c r="O25">
        <v>6.7</v>
      </c>
      <c r="P25">
        <v>155.94999999999999</v>
      </c>
      <c r="Q25">
        <v>14.65</v>
      </c>
      <c r="R25">
        <v>15350</v>
      </c>
      <c r="S25">
        <v>0.38169999999999998</v>
      </c>
      <c r="T25">
        <v>124.65</v>
      </c>
      <c r="U25">
        <v>10.43</v>
      </c>
      <c r="V25">
        <v>15.24</v>
      </c>
      <c r="W25" s="3">
        <v>45805</v>
      </c>
      <c r="X25">
        <v>3067</v>
      </c>
      <c r="Y25">
        <v>620</v>
      </c>
      <c r="Z25">
        <v>104.15</v>
      </c>
      <c r="AA25">
        <v>5.2519999999999998</v>
      </c>
      <c r="AB25">
        <v>561.20000000000005</v>
      </c>
      <c r="AC25">
        <v>152</v>
      </c>
      <c r="AD25">
        <v>158.4</v>
      </c>
      <c r="AE25">
        <v>4113</v>
      </c>
      <c r="AF25">
        <v>186.8</v>
      </c>
      <c r="AG25">
        <v>4312</v>
      </c>
      <c r="AH25">
        <v>2902</v>
      </c>
      <c r="AI25">
        <v>260.2</v>
      </c>
      <c r="AJ25">
        <v>61.541652599999999</v>
      </c>
      <c r="AK25">
        <v>40.71</v>
      </c>
      <c r="AL25">
        <v>71.8</v>
      </c>
      <c r="AM25">
        <v>1100.5</v>
      </c>
      <c r="AN25">
        <v>503</v>
      </c>
      <c r="AO25">
        <v>5810</v>
      </c>
      <c r="AP25">
        <v>81</v>
      </c>
      <c r="AQ25">
        <v>149.12140830000001</v>
      </c>
    </row>
    <row r="26" spans="2:43" x14ac:dyDescent="0.2">
      <c r="B26" s="3">
        <v>45806</v>
      </c>
      <c r="C26">
        <v>851</v>
      </c>
      <c r="D26">
        <v>84.72</v>
      </c>
      <c r="E26">
        <v>2.7890000000000001</v>
      </c>
      <c r="F26">
        <v>10.119999999999999</v>
      </c>
      <c r="G26">
        <v>76.02</v>
      </c>
      <c r="H26">
        <v>7.7380000000000004</v>
      </c>
      <c r="I26">
        <v>34.4</v>
      </c>
      <c r="J26" s="2" t="s">
        <v>20</v>
      </c>
      <c r="K26" s="2" t="s">
        <v>20</v>
      </c>
      <c r="L26">
        <v>415.2</v>
      </c>
      <c r="M26">
        <v>98.22</v>
      </c>
      <c r="N26">
        <v>83.84</v>
      </c>
      <c r="O26">
        <v>6.88</v>
      </c>
      <c r="P26">
        <v>156.55000000000001</v>
      </c>
      <c r="Q26">
        <v>14.7</v>
      </c>
      <c r="R26">
        <v>14740</v>
      </c>
      <c r="S26">
        <v>0.38290000000000002</v>
      </c>
      <c r="T26">
        <v>123.45</v>
      </c>
      <c r="U26">
        <v>10.31</v>
      </c>
      <c r="V26">
        <v>14.82</v>
      </c>
      <c r="W26" s="3">
        <v>45806</v>
      </c>
      <c r="X26">
        <v>3079</v>
      </c>
      <c r="Y26" s="2" t="s">
        <v>20</v>
      </c>
      <c r="Z26">
        <v>104</v>
      </c>
      <c r="AA26">
        <v>5.23</v>
      </c>
      <c r="AB26" s="2" t="s">
        <v>20</v>
      </c>
      <c r="AC26" s="2" t="s">
        <v>20</v>
      </c>
      <c r="AD26">
        <v>156</v>
      </c>
      <c r="AE26" s="2" t="s">
        <v>20</v>
      </c>
      <c r="AF26" s="2" t="s">
        <v>20</v>
      </c>
      <c r="AG26">
        <v>4300</v>
      </c>
      <c r="AH26">
        <v>2904</v>
      </c>
      <c r="AI26" s="2" t="s">
        <v>20</v>
      </c>
      <c r="AJ26">
        <v>61.541652599999999</v>
      </c>
      <c r="AK26" s="2" t="s">
        <v>20</v>
      </c>
      <c r="AL26">
        <v>72</v>
      </c>
      <c r="AM26">
        <v>1110</v>
      </c>
      <c r="AN26">
        <v>506.5</v>
      </c>
      <c r="AO26">
        <v>5815</v>
      </c>
      <c r="AP26" s="2" t="s">
        <v>20</v>
      </c>
      <c r="AQ26" s="2" t="s">
        <v>20</v>
      </c>
    </row>
    <row r="27" spans="2:43" x14ac:dyDescent="0.2">
      <c r="B27" s="3">
        <v>45807</v>
      </c>
      <c r="C27">
        <v>866.2</v>
      </c>
      <c r="D27">
        <v>85.5</v>
      </c>
      <c r="E27">
        <v>2.8050000000000002</v>
      </c>
      <c r="F27">
        <v>10.11</v>
      </c>
      <c r="G27">
        <v>75.28</v>
      </c>
      <c r="H27">
        <v>7.8120000000000003</v>
      </c>
      <c r="I27">
        <v>34.46</v>
      </c>
      <c r="J27">
        <v>47.44</v>
      </c>
      <c r="K27">
        <v>41.73</v>
      </c>
      <c r="L27">
        <v>413.9</v>
      </c>
      <c r="M27">
        <v>98.02</v>
      </c>
      <c r="N27">
        <v>83.46</v>
      </c>
      <c r="O27">
        <v>6.92</v>
      </c>
      <c r="P27">
        <v>158.35</v>
      </c>
      <c r="Q27">
        <v>14.48</v>
      </c>
      <c r="R27">
        <v>14420</v>
      </c>
      <c r="S27">
        <v>0.37640000000000001</v>
      </c>
      <c r="T27">
        <v>122.9</v>
      </c>
      <c r="U27">
        <v>10.26</v>
      </c>
      <c r="V27">
        <v>14.57</v>
      </c>
      <c r="W27" s="3">
        <v>45807</v>
      </c>
      <c r="X27">
        <v>3068</v>
      </c>
      <c r="Y27">
        <v>625</v>
      </c>
      <c r="Z27">
        <v>105.05</v>
      </c>
      <c r="AA27">
        <v>5.266</v>
      </c>
      <c r="AB27">
        <v>569.20000000000005</v>
      </c>
      <c r="AC27">
        <v>152.4</v>
      </c>
      <c r="AD27">
        <v>156.30000000000001</v>
      </c>
      <c r="AE27">
        <v>4128</v>
      </c>
      <c r="AF27">
        <v>188.2</v>
      </c>
      <c r="AG27">
        <v>4335</v>
      </c>
      <c r="AH27">
        <v>2906</v>
      </c>
      <c r="AI27">
        <v>265.5</v>
      </c>
      <c r="AJ27">
        <v>61.638874800000004</v>
      </c>
      <c r="AK27">
        <v>39.270000000000003</v>
      </c>
      <c r="AL27">
        <v>71.95</v>
      </c>
      <c r="AM27">
        <v>1114.5</v>
      </c>
      <c r="AN27">
        <v>509</v>
      </c>
      <c r="AO27">
        <v>5715</v>
      </c>
      <c r="AP27">
        <v>81.48</v>
      </c>
      <c r="AQ27" s="2" t="s">
        <v>20</v>
      </c>
    </row>
    <row r="28" spans="2:43" x14ac:dyDescent="0.2">
      <c r="B28" s="3">
        <v>45810</v>
      </c>
      <c r="C28">
        <v>868.8</v>
      </c>
      <c r="D28">
        <v>87.16</v>
      </c>
      <c r="E28">
        <v>2.8050000000000002</v>
      </c>
      <c r="F28">
        <v>10.119999999999999</v>
      </c>
      <c r="G28">
        <v>72.94</v>
      </c>
      <c r="H28">
        <v>7.7480000000000002</v>
      </c>
      <c r="I28">
        <v>34.479999999999997</v>
      </c>
      <c r="J28">
        <v>47.18</v>
      </c>
      <c r="K28">
        <v>41.78</v>
      </c>
      <c r="L28">
        <v>414.4</v>
      </c>
      <c r="M28">
        <v>98.06</v>
      </c>
      <c r="N28">
        <v>83.04</v>
      </c>
      <c r="O28">
        <v>6.94</v>
      </c>
      <c r="P28">
        <v>157.15</v>
      </c>
      <c r="Q28">
        <v>14.5</v>
      </c>
      <c r="R28">
        <v>14400</v>
      </c>
      <c r="S28">
        <v>0.37890000000000001</v>
      </c>
      <c r="T28">
        <v>125.4</v>
      </c>
      <c r="U28">
        <v>10.33</v>
      </c>
      <c r="V28">
        <v>14.38</v>
      </c>
      <c r="W28" s="3">
        <v>45810</v>
      </c>
      <c r="X28">
        <v>3046</v>
      </c>
      <c r="Y28">
        <v>616.5</v>
      </c>
      <c r="Z28">
        <v>105.8</v>
      </c>
      <c r="AA28">
        <v>5.3120000000000003</v>
      </c>
      <c r="AB28">
        <v>568.6</v>
      </c>
      <c r="AC28">
        <v>150</v>
      </c>
      <c r="AD28">
        <v>155.94999999999999</v>
      </c>
      <c r="AE28">
        <v>4154</v>
      </c>
      <c r="AF28">
        <v>188.2</v>
      </c>
      <c r="AG28">
        <v>4158</v>
      </c>
      <c r="AH28">
        <v>2912</v>
      </c>
      <c r="AI28">
        <v>264.7</v>
      </c>
      <c r="AJ28">
        <v>60.763874999999999</v>
      </c>
      <c r="AK28">
        <v>38.07</v>
      </c>
      <c r="AL28">
        <v>71.75</v>
      </c>
      <c r="AM28">
        <v>1113</v>
      </c>
      <c r="AN28">
        <v>508.5</v>
      </c>
      <c r="AO28">
        <v>5610</v>
      </c>
      <c r="AP28">
        <v>80.94</v>
      </c>
      <c r="AQ28">
        <v>146.3424033</v>
      </c>
    </row>
    <row r="29" spans="2:43" x14ac:dyDescent="0.2">
      <c r="B29" s="3">
        <v>45811</v>
      </c>
      <c r="C29">
        <v>894.2</v>
      </c>
      <c r="D29">
        <v>88.92</v>
      </c>
      <c r="E29">
        <v>2.782</v>
      </c>
      <c r="F29">
        <v>10.17</v>
      </c>
      <c r="G29">
        <v>71.819999999999993</v>
      </c>
      <c r="H29">
        <v>7.718</v>
      </c>
      <c r="I29">
        <v>33.86</v>
      </c>
      <c r="J29">
        <v>47.8</v>
      </c>
      <c r="K29">
        <v>42.17</v>
      </c>
      <c r="L29">
        <v>405.1</v>
      </c>
      <c r="M29">
        <v>97.44</v>
      </c>
      <c r="N29">
        <v>82.12</v>
      </c>
      <c r="O29">
        <v>7.0750000000000002</v>
      </c>
      <c r="P29">
        <v>164</v>
      </c>
      <c r="Q29">
        <v>14.39</v>
      </c>
      <c r="R29">
        <v>14260</v>
      </c>
      <c r="S29">
        <v>0.37630000000000002</v>
      </c>
      <c r="T29">
        <v>122.55</v>
      </c>
      <c r="U29">
        <v>10.4</v>
      </c>
      <c r="V29">
        <v>14.39</v>
      </c>
      <c r="W29" s="3">
        <v>45811</v>
      </c>
      <c r="X29">
        <v>3011</v>
      </c>
      <c r="Y29">
        <v>612.5</v>
      </c>
      <c r="Z29">
        <v>105.15</v>
      </c>
      <c r="AA29">
        <v>5.242</v>
      </c>
      <c r="AB29">
        <v>564.4</v>
      </c>
      <c r="AC29">
        <v>149.5</v>
      </c>
      <c r="AD29">
        <v>154.55000000000001</v>
      </c>
      <c r="AE29">
        <v>4147</v>
      </c>
      <c r="AF29">
        <v>185.6</v>
      </c>
      <c r="AG29">
        <v>4265</v>
      </c>
      <c r="AH29">
        <v>2906</v>
      </c>
      <c r="AI29">
        <v>263.8</v>
      </c>
      <c r="AJ29">
        <v>60.1805418</v>
      </c>
      <c r="AK29">
        <v>38.409999999999997</v>
      </c>
      <c r="AL29">
        <v>72.650000000000006</v>
      </c>
      <c r="AM29">
        <v>1102</v>
      </c>
      <c r="AN29">
        <v>488.6</v>
      </c>
      <c r="AO29">
        <v>5660</v>
      </c>
      <c r="AP29">
        <v>80.98</v>
      </c>
      <c r="AQ29">
        <v>144.61942020000001</v>
      </c>
    </row>
    <row r="30" spans="2:43" x14ac:dyDescent="0.2">
      <c r="B30" s="3">
        <v>45812</v>
      </c>
      <c r="C30">
        <v>891.2</v>
      </c>
      <c r="D30">
        <v>88.52</v>
      </c>
      <c r="E30">
        <v>2.7669999999999999</v>
      </c>
      <c r="F30">
        <v>10.14</v>
      </c>
      <c r="G30">
        <v>71.8</v>
      </c>
      <c r="H30">
        <v>7.6680000000000001</v>
      </c>
      <c r="I30">
        <v>33.659999999999997</v>
      </c>
      <c r="J30">
        <v>48.58</v>
      </c>
      <c r="K30">
        <v>42.45</v>
      </c>
      <c r="L30">
        <v>399</v>
      </c>
      <c r="M30">
        <v>97.7</v>
      </c>
      <c r="N30">
        <v>81.08</v>
      </c>
      <c r="O30">
        <v>6.8150000000000004</v>
      </c>
      <c r="P30">
        <v>161.69999999999999</v>
      </c>
      <c r="Q30">
        <v>14.34</v>
      </c>
      <c r="R30">
        <v>14330</v>
      </c>
      <c r="S30">
        <v>0.37930000000000003</v>
      </c>
      <c r="T30">
        <v>126.25</v>
      </c>
      <c r="U30">
        <v>10.5</v>
      </c>
      <c r="V30">
        <v>14.31</v>
      </c>
      <c r="W30" s="3">
        <v>45812</v>
      </c>
      <c r="X30">
        <v>3031</v>
      </c>
      <c r="Y30">
        <v>614.5</v>
      </c>
      <c r="Z30">
        <v>106.55</v>
      </c>
      <c r="AA30">
        <v>5.2519999999999998</v>
      </c>
      <c r="AB30">
        <v>562</v>
      </c>
      <c r="AC30">
        <v>154.9</v>
      </c>
      <c r="AD30">
        <v>156.19999999999999</v>
      </c>
      <c r="AE30">
        <v>4224</v>
      </c>
      <c r="AF30">
        <v>184.8</v>
      </c>
      <c r="AG30">
        <v>4282</v>
      </c>
      <c r="AH30">
        <v>2942</v>
      </c>
      <c r="AI30">
        <v>267.2</v>
      </c>
      <c r="AJ30">
        <v>60.083319600000003</v>
      </c>
      <c r="AK30">
        <v>39.57</v>
      </c>
      <c r="AL30">
        <v>72.650000000000006</v>
      </c>
      <c r="AM30">
        <v>1127</v>
      </c>
      <c r="AN30">
        <v>483.2</v>
      </c>
      <c r="AO30">
        <v>5760</v>
      </c>
      <c r="AP30">
        <v>81.92</v>
      </c>
      <c r="AQ30">
        <v>148.2877068</v>
      </c>
    </row>
    <row r="31" spans="2:43" x14ac:dyDescent="0.2">
      <c r="B31" s="3">
        <v>45813</v>
      </c>
      <c r="C31">
        <v>876.4</v>
      </c>
      <c r="D31">
        <v>88.44</v>
      </c>
      <c r="E31">
        <v>2.81</v>
      </c>
      <c r="F31">
        <v>10.35</v>
      </c>
      <c r="G31">
        <v>70.44</v>
      </c>
      <c r="H31">
        <v>7.8440000000000003</v>
      </c>
      <c r="I31">
        <v>33.5</v>
      </c>
      <c r="J31">
        <v>49.2</v>
      </c>
      <c r="K31">
        <v>43.79</v>
      </c>
      <c r="L31">
        <v>403.3</v>
      </c>
      <c r="M31">
        <v>97.18</v>
      </c>
      <c r="N31">
        <v>82</v>
      </c>
      <c r="O31">
        <v>7.07</v>
      </c>
      <c r="P31">
        <v>161</v>
      </c>
      <c r="Q31">
        <v>14.44</v>
      </c>
      <c r="R31">
        <v>14315</v>
      </c>
      <c r="S31">
        <v>0.38319999999999999</v>
      </c>
      <c r="T31">
        <v>131.19999999999999</v>
      </c>
      <c r="U31">
        <v>10.44</v>
      </c>
      <c r="V31">
        <v>13.91</v>
      </c>
      <c r="W31" s="3">
        <v>45813</v>
      </c>
      <c r="X31">
        <v>3018</v>
      </c>
      <c r="Y31">
        <v>608</v>
      </c>
      <c r="Z31">
        <v>104.85</v>
      </c>
      <c r="AA31">
        <v>5.19</v>
      </c>
      <c r="AB31">
        <v>561.6</v>
      </c>
      <c r="AC31">
        <v>156</v>
      </c>
      <c r="AD31">
        <v>156.05000000000001</v>
      </c>
      <c r="AE31">
        <v>4208</v>
      </c>
      <c r="AF31">
        <v>186.8</v>
      </c>
      <c r="AG31">
        <v>4303</v>
      </c>
      <c r="AH31">
        <v>2956</v>
      </c>
      <c r="AI31">
        <v>267.7</v>
      </c>
      <c r="AJ31">
        <v>60.569430599999997</v>
      </c>
      <c r="AK31">
        <v>39.5</v>
      </c>
      <c r="AL31">
        <v>72.5</v>
      </c>
      <c r="AM31">
        <v>1138.5</v>
      </c>
      <c r="AN31">
        <v>480.4</v>
      </c>
      <c r="AO31">
        <v>5740</v>
      </c>
      <c r="AP31">
        <v>81.5</v>
      </c>
      <c r="AQ31" s="2" t="s">
        <v>20</v>
      </c>
    </row>
    <row r="32" spans="2:43" x14ac:dyDescent="0.2">
      <c r="B32" s="3">
        <v>45814</v>
      </c>
      <c r="C32">
        <v>885</v>
      </c>
      <c r="D32">
        <v>88.68</v>
      </c>
      <c r="E32">
        <v>2.8119999999999998</v>
      </c>
      <c r="F32">
        <v>10.33</v>
      </c>
      <c r="G32">
        <v>69.040000000000006</v>
      </c>
      <c r="H32">
        <v>7.9480000000000004</v>
      </c>
      <c r="I32">
        <v>33.479999999999997</v>
      </c>
      <c r="J32">
        <v>49.66</v>
      </c>
      <c r="K32">
        <v>44.02</v>
      </c>
      <c r="L32">
        <v>405.2</v>
      </c>
      <c r="M32">
        <v>97.56</v>
      </c>
      <c r="N32">
        <v>82.28</v>
      </c>
      <c r="O32">
        <v>7.085</v>
      </c>
      <c r="P32">
        <v>160.69999999999999</v>
      </c>
      <c r="Q32">
        <v>14.59</v>
      </c>
      <c r="R32">
        <v>14310</v>
      </c>
      <c r="S32">
        <v>0.3861</v>
      </c>
      <c r="T32">
        <v>128.15</v>
      </c>
      <c r="U32">
        <v>10.55</v>
      </c>
      <c r="V32">
        <v>13.86</v>
      </c>
      <c r="W32" s="3">
        <v>45814</v>
      </c>
      <c r="X32">
        <v>3028</v>
      </c>
      <c r="Y32">
        <v>605.5</v>
      </c>
      <c r="Z32">
        <v>103.75</v>
      </c>
      <c r="AA32">
        <v>5.2320000000000002</v>
      </c>
      <c r="AB32">
        <v>573.4</v>
      </c>
      <c r="AC32">
        <v>159.4</v>
      </c>
      <c r="AD32">
        <v>155.44999999999999</v>
      </c>
      <c r="AE32">
        <v>4174</v>
      </c>
      <c r="AF32">
        <v>187.8</v>
      </c>
      <c r="AG32">
        <v>4281</v>
      </c>
      <c r="AH32">
        <v>2978</v>
      </c>
      <c r="AI32">
        <v>268.2</v>
      </c>
      <c r="AJ32">
        <v>60.4722084</v>
      </c>
      <c r="AK32" s="2" t="s">
        <v>20</v>
      </c>
      <c r="AL32">
        <v>72.849999999999994</v>
      </c>
      <c r="AM32">
        <v>1135</v>
      </c>
      <c r="AN32">
        <v>475</v>
      </c>
      <c r="AO32">
        <v>5750</v>
      </c>
      <c r="AP32" s="2" t="s">
        <v>20</v>
      </c>
      <c r="AQ32">
        <v>148.56560730000001</v>
      </c>
    </row>
    <row r="33" spans="2:43" x14ac:dyDescent="0.2">
      <c r="B33" s="3">
        <v>45817</v>
      </c>
      <c r="C33">
        <v>888.2</v>
      </c>
      <c r="D33">
        <v>86.14</v>
      </c>
      <c r="E33">
        <v>2.8130000000000002</v>
      </c>
      <c r="F33">
        <v>10.38</v>
      </c>
      <c r="G33">
        <v>70.44</v>
      </c>
      <c r="H33">
        <v>7.9340000000000002</v>
      </c>
      <c r="I33">
        <v>33.68</v>
      </c>
      <c r="J33" s="2" t="s">
        <v>20</v>
      </c>
      <c r="K33" s="2" t="s">
        <v>20</v>
      </c>
      <c r="L33">
        <v>397.8</v>
      </c>
      <c r="M33">
        <v>97.68</v>
      </c>
      <c r="N33">
        <v>83</v>
      </c>
      <c r="O33">
        <v>7.0750000000000002</v>
      </c>
      <c r="P33">
        <v>160.69999999999999</v>
      </c>
      <c r="Q33">
        <v>14.5</v>
      </c>
      <c r="R33">
        <v>14415</v>
      </c>
      <c r="S33">
        <v>0.38369999999999999</v>
      </c>
      <c r="T33">
        <v>129.35</v>
      </c>
      <c r="U33">
        <v>10.68</v>
      </c>
      <c r="V33">
        <v>14.01</v>
      </c>
      <c r="W33" s="3">
        <v>45817</v>
      </c>
      <c r="X33">
        <v>3083</v>
      </c>
      <c r="Y33" s="2" t="s">
        <v>20</v>
      </c>
      <c r="Z33">
        <v>103.35</v>
      </c>
      <c r="AA33">
        <v>5.202</v>
      </c>
      <c r="AB33" s="2" t="s">
        <v>20</v>
      </c>
      <c r="AC33" s="2" t="s">
        <v>20</v>
      </c>
      <c r="AD33">
        <v>154.19999999999999</v>
      </c>
      <c r="AE33" s="2" t="s">
        <v>20</v>
      </c>
      <c r="AF33" s="2" t="s">
        <v>20</v>
      </c>
      <c r="AG33">
        <v>4312</v>
      </c>
      <c r="AH33">
        <v>3012</v>
      </c>
      <c r="AI33" s="2" t="s">
        <v>20</v>
      </c>
      <c r="AJ33">
        <v>60.1805418</v>
      </c>
      <c r="AK33">
        <v>39.18</v>
      </c>
      <c r="AL33">
        <v>72.75</v>
      </c>
      <c r="AM33">
        <v>1123</v>
      </c>
      <c r="AN33">
        <v>484</v>
      </c>
      <c r="AO33">
        <v>5940</v>
      </c>
      <c r="AP33">
        <v>81.66</v>
      </c>
      <c r="AQ33" s="2" t="s">
        <v>20</v>
      </c>
    </row>
    <row r="34" spans="2:43" x14ac:dyDescent="0.2">
      <c r="B34" s="3">
        <v>45818</v>
      </c>
      <c r="C34">
        <v>880</v>
      </c>
      <c r="D34">
        <v>83.02</v>
      </c>
      <c r="E34">
        <v>2.7850000000000001</v>
      </c>
      <c r="F34">
        <v>10.11</v>
      </c>
      <c r="G34">
        <v>72.88</v>
      </c>
      <c r="H34">
        <v>7.6859999999999999</v>
      </c>
      <c r="I34">
        <v>33.72</v>
      </c>
      <c r="J34">
        <v>50.55</v>
      </c>
      <c r="K34">
        <v>43.45</v>
      </c>
      <c r="L34">
        <v>397.2</v>
      </c>
      <c r="M34">
        <v>99</v>
      </c>
      <c r="N34">
        <v>84.3</v>
      </c>
      <c r="O34">
        <v>6.99</v>
      </c>
      <c r="P34">
        <v>163.35</v>
      </c>
      <c r="Q34">
        <v>14.6</v>
      </c>
      <c r="R34">
        <v>14575</v>
      </c>
      <c r="S34">
        <v>0.3846</v>
      </c>
      <c r="T34">
        <v>129.6</v>
      </c>
      <c r="U34">
        <v>10.62</v>
      </c>
      <c r="V34">
        <v>14.27</v>
      </c>
      <c r="W34" s="3">
        <v>45818</v>
      </c>
      <c r="X34">
        <v>3152</v>
      </c>
      <c r="Y34">
        <v>619</v>
      </c>
      <c r="Z34">
        <v>104.1</v>
      </c>
      <c r="AA34">
        <v>5.2320000000000002</v>
      </c>
      <c r="AB34">
        <v>576.6</v>
      </c>
      <c r="AC34">
        <v>161.4</v>
      </c>
      <c r="AD34">
        <v>154.15</v>
      </c>
      <c r="AE34">
        <v>4188</v>
      </c>
      <c r="AF34">
        <v>187.8</v>
      </c>
      <c r="AG34">
        <v>4342</v>
      </c>
      <c r="AH34">
        <v>3002</v>
      </c>
      <c r="AI34">
        <v>269.8</v>
      </c>
      <c r="AJ34">
        <v>60.277763999999998</v>
      </c>
      <c r="AK34">
        <v>40.32</v>
      </c>
      <c r="AL34">
        <v>73.55</v>
      </c>
      <c r="AM34">
        <v>1112</v>
      </c>
      <c r="AN34">
        <v>494</v>
      </c>
      <c r="AO34">
        <v>5995</v>
      </c>
      <c r="AP34">
        <v>82.22</v>
      </c>
      <c r="AQ34">
        <v>154.51267799999999</v>
      </c>
    </row>
    <row r="35" spans="2:43" x14ac:dyDescent="0.2">
      <c r="B35" s="3">
        <v>45819</v>
      </c>
      <c r="C35">
        <v>893.4</v>
      </c>
      <c r="D35">
        <v>85.56</v>
      </c>
      <c r="E35">
        <v>2.8050000000000002</v>
      </c>
      <c r="F35">
        <v>10.045</v>
      </c>
      <c r="G35">
        <v>72.680000000000007</v>
      </c>
      <c r="H35">
        <v>7.68</v>
      </c>
      <c r="I35">
        <v>33.64</v>
      </c>
      <c r="J35">
        <v>51.65</v>
      </c>
      <c r="K35">
        <v>42.67</v>
      </c>
      <c r="L35">
        <v>398.3</v>
      </c>
      <c r="M35">
        <v>96.98</v>
      </c>
      <c r="N35">
        <v>83.92</v>
      </c>
      <c r="O35">
        <v>6.97</v>
      </c>
      <c r="P35">
        <v>163.75</v>
      </c>
      <c r="Q35">
        <v>14.34</v>
      </c>
      <c r="R35">
        <v>14425</v>
      </c>
      <c r="S35">
        <v>0.38829999999999998</v>
      </c>
      <c r="T35">
        <v>128.30000000000001</v>
      </c>
      <c r="U35">
        <v>10.48</v>
      </c>
      <c r="V35">
        <v>14.21</v>
      </c>
      <c r="W35" s="3">
        <v>45819</v>
      </c>
      <c r="X35">
        <v>3141</v>
      </c>
      <c r="Y35">
        <v>619</v>
      </c>
      <c r="Z35">
        <v>103.55</v>
      </c>
      <c r="AA35">
        <v>5.2359999999999998</v>
      </c>
      <c r="AB35">
        <v>577</v>
      </c>
      <c r="AC35">
        <v>161.19999999999999</v>
      </c>
      <c r="AD35">
        <v>152.05000000000001</v>
      </c>
      <c r="AE35">
        <v>4174</v>
      </c>
      <c r="AF35">
        <v>186.4</v>
      </c>
      <c r="AG35">
        <v>4337</v>
      </c>
      <c r="AH35">
        <v>3020</v>
      </c>
      <c r="AI35">
        <v>269.89999999999998</v>
      </c>
      <c r="AJ35">
        <v>60.083319600000003</v>
      </c>
      <c r="AK35">
        <v>40.14</v>
      </c>
      <c r="AL35">
        <v>73.400000000000006</v>
      </c>
      <c r="AM35">
        <v>1108.5</v>
      </c>
      <c r="AN35">
        <v>495.8</v>
      </c>
      <c r="AO35">
        <v>6005</v>
      </c>
      <c r="AP35">
        <v>81.42</v>
      </c>
      <c r="AQ35">
        <v>155.7354402</v>
      </c>
    </row>
    <row r="36" spans="2:43" x14ac:dyDescent="0.2">
      <c r="B36" s="3">
        <v>45820</v>
      </c>
      <c r="C36">
        <v>887.4</v>
      </c>
      <c r="D36">
        <v>85.7</v>
      </c>
      <c r="E36">
        <v>2.839</v>
      </c>
      <c r="F36">
        <v>10.06</v>
      </c>
      <c r="G36">
        <v>71.56</v>
      </c>
      <c r="H36">
        <v>7.6479999999999997</v>
      </c>
      <c r="I36">
        <v>33.54</v>
      </c>
      <c r="J36">
        <v>52.9</v>
      </c>
      <c r="K36">
        <v>43.17</v>
      </c>
      <c r="L36">
        <v>400</v>
      </c>
      <c r="M36">
        <v>96.24</v>
      </c>
      <c r="N36">
        <v>83.32</v>
      </c>
      <c r="O36">
        <v>7.04</v>
      </c>
      <c r="P36">
        <v>165.25</v>
      </c>
      <c r="Q36">
        <v>14.35</v>
      </c>
      <c r="R36">
        <v>14470</v>
      </c>
      <c r="S36">
        <v>0.38369999999999999</v>
      </c>
      <c r="T36">
        <v>126.1</v>
      </c>
      <c r="U36">
        <v>10.28</v>
      </c>
      <c r="V36">
        <v>13.82</v>
      </c>
      <c r="W36" s="3">
        <v>45820</v>
      </c>
      <c r="X36">
        <v>3100</v>
      </c>
      <c r="Y36">
        <v>609.5</v>
      </c>
      <c r="Z36">
        <v>102.9</v>
      </c>
      <c r="AA36">
        <v>5.2460000000000004</v>
      </c>
      <c r="AB36">
        <v>583.4</v>
      </c>
      <c r="AC36">
        <v>159.5</v>
      </c>
      <c r="AD36">
        <v>150.19999999999999</v>
      </c>
      <c r="AE36">
        <v>4171</v>
      </c>
      <c r="AF36">
        <v>186.4</v>
      </c>
      <c r="AG36">
        <v>4304</v>
      </c>
      <c r="AH36">
        <v>3120</v>
      </c>
      <c r="AI36">
        <v>272.60000000000002</v>
      </c>
      <c r="AJ36">
        <v>60.083319600000003</v>
      </c>
      <c r="AK36">
        <v>39.340000000000003</v>
      </c>
      <c r="AL36">
        <v>72.95</v>
      </c>
      <c r="AM36">
        <v>1102</v>
      </c>
      <c r="AN36">
        <v>495.2</v>
      </c>
      <c r="AO36">
        <v>5990</v>
      </c>
      <c r="AP36">
        <v>78.58</v>
      </c>
      <c r="AQ36">
        <v>153.95687699999999</v>
      </c>
    </row>
    <row r="37" spans="2:43" x14ac:dyDescent="0.2">
      <c r="B37" s="3">
        <v>45821</v>
      </c>
      <c r="C37">
        <v>870</v>
      </c>
      <c r="D37">
        <v>84.82</v>
      </c>
      <c r="E37">
        <v>2.778</v>
      </c>
      <c r="F37">
        <v>9.9160000000000004</v>
      </c>
      <c r="G37">
        <v>70.36</v>
      </c>
      <c r="H37">
        <v>7.55</v>
      </c>
      <c r="I37">
        <v>33.26</v>
      </c>
      <c r="J37">
        <v>53.3</v>
      </c>
      <c r="K37">
        <v>42.76</v>
      </c>
      <c r="L37">
        <v>396.1</v>
      </c>
      <c r="M37">
        <v>96.42</v>
      </c>
      <c r="N37">
        <v>82.84</v>
      </c>
      <c r="O37">
        <v>6.9349999999999996</v>
      </c>
      <c r="P37">
        <v>166</v>
      </c>
      <c r="Q37">
        <v>13.97</v>
      </c>
      <c r="R37">
        <v>14100</v>
      </c>
      <c r="S37">
        <v>0.375</v>
      </c>
      <c r="T37">
        <v>123.85</v>
      </c>
      <c r="U37">
        <v>10.01</v>
      </c>
      <c r="V37">
        <v>13.45</v>
      </c>
      <c r="W37" s="3">
        <v>45821</v>
      </c>
      <c r="X37">
        <v>3071</v>
      </c>
      <c r="Y37">
        <v>596</v>
      </c>
      <c r="Z37">
        <v>101.7</v>
      </c>
      <c r="AA37">
        <v>5.2560000000000002</v>
      </c>
      <c r="AB37">
        <v>568.79999999999995</v>
      </c>
      <c r="AC37">
        <v>155.19999999999999</v>
      </c>
      <c r="AD37">
        <v>146.44999999999999</v>
      </c>
      <c r="AE37">
        <v>4124</v>
      </c>
      <c r="AF37">
        <v>185</v>
      </c>
      <c r="AG37">
        <v>4267</v>
      </c>
      <c r="AH37">
        <v>3112</v>
      </c>
      <c r="AI37">
        <v>269.7</v>
      </c>
      <c r="AJ37">
        <v>59.597208600000002</v>
      </c>
      <c r="AK37">
        <v>40.39</v>
      </c>
      <c r="AL37">
        <v>72</v>
      </c>
      <c r="AM37">
        <v>1088</v>
      </c>
      <c r="AN37">
        <v>486</v>
      </c>
      <c r="AO37">
        <v>5945</v>
      </c>
      <c r="AP37">
        <v>76.5</v>
      </c>
      <c r="AQ37">
        <v>152.0115735</v>
      </c>
    </row>
    <row r="38" spans="2:43" x14ac:dyDescent="0.2">
      <c r="B38" s="3">
        <v>45824</v>
      </c>
      <c r="C38">
        <v>885.4</v>
      </c>
      <c r="D38">
        <v>88.7</v>
      </c>
      <c r="E38">
        <v>2.8380000000000001</v>
      </c>
      <c r="F38">
        <v>10.065</v>
      </c>
      <c r="G38">
        <v>70.38</v>
      </c>
      <c r="H38">
        <v>7.71</v>
      </c>
      <c r="I38">
        <v>33.94</v>
      </c>
      <c r="J38">
        <v>53.85</v>
      </c>
      <c r="K38">
        <v>42.5</v>
      </c>
      <c r="L38">
        <v>391</v>
      </c>
      <c r="M38">
        <v>95.48</v>
      </c>
      <c r="N38">
        <v>83.92</v>
      </c>
      <c r="O38">
        <v>7.01</v>
      </c>
      <c r="P38">
        <v>168.1</v>
      </c>
      <c r="Q38">
        <v>14.08</v>
      </c>
      <c r="R38">
        <v>14215</v>
      </c>
      <c r="S38">
        <v>0.38640000000000002</v>
      </c>
      <c r="T38">
        <v>125.15</v>
      </c>
      <c r="U38">
        <v>10.130000000000001</v>
      </c>
      <c r="V38">
        <v>13.55</v>
      </c>
      <c r="W38" s="3">
        <v>45824</v>
      </c>
      <c r="X38">
        <v>3076</v>
      </c>
      <c r="Y38">
        <v>597.5</v>
      </c>
      <c r="Z38">
        <v>98.68</v>
      </c>
      <c r="AA38">
        <v>5.23</v>
      </c>
      <c r="AB38">
        <v>567</v>
      </c>
      <c r="AC38">
        <v>158</v>
      </c>
      <c r="AD38">
        <v>145.9</v>
      </c>
      <c r="AE38">
        <v>4100</v>
      </c>
      <c r="AF38">
        <v>184.4</v>
      </c>
      <c r="AG38">
        <v>4382</v>
      </c>
      <c r="AH38">
        <v>3152</v>
      </c>
      <c r="AI38">
        <v>262.89999999999998</v>
      </c>
      <c r="AJ38">
        <v>58.722208799999997</v>
      </c>
      <c r="AK38">
        <v>40.5</v>
      </c>
      <c r="AL38">
        <v>72.3</v>
      </c>
      <c r="AM38">
        <v>1089</v>
      </c>
      <c r="AN38">
        <v>481.6</v>
      </c>
      <c r="AO38">
        <v>5940</v>
      </c>
      <c r="AP38">
        <v>77.64</v>
      </c>
      <c r="AQ38">
        <v>156.45798149999999</v>
      </c>
    </row>
    <row r="39" spans="2:43" x14ac:dyDescent="0.2">
      <c r="B39" s="3">
        <v>45825</v>
      </c>
      <c r="C39">
        <v>890.6</v>
      </c>
      <c r="D39">
        <v>88.64</v>
      </c>
      <c r="E39">
        <v>2.7690000000000001</v>
      </c>
      <c r="F39">
        <v>10.025</v>
      </c>
      <c r="G39">
        <v>70.44</v>
      </c>
      <c r="H39">
        <v>7.55</v>
      </c>
      <c r="I39">
        <v>34.06</v>
      </c>
      <c r="J39">
        <v>54.35</v>
      </c>
      <c r="K39">
        <v>42.4</v>
      </c>
      <c r="L39">
        <v>385</v>
      </c>
      <c r="M39">
        <v>95.76</v>
      </c>
      <c r="N39">
        <v>83.02</v>
      </c>
      <c r="O39">
        <v>6.7949999999999999</v>
      </c>
      <c r="P39">
        <v>167</v>
      </c>
      <c r="Q39">
        <v>13.64</v>
      </c>
      <c r="R39">
        <v>13825</v>
      </c>
      <c r="S39">
        <v>0.3886</v>
      </c>
      <c r="T39">
        <v>123.45</v>
      </c>
      <c r="U39">
        <v>9.9600000000000009</v>
      </c>
      <c r="V39">
        <v>13.23</v>
      </c>
      <c r="W39" s="3">
        <v>45825</v>
      </c>
      <c r="X39">
        <v>3097</v>
      </c>
      <c r="Y39">
        <v>595.5</v>
      </c>
      <c r="Z39">
        <v>98.52</v>
      </c>
      <c r="AA39">
        <v>5.258</v>
      </c>
      <c r="AB39">
        <v>559.79999999999995</v>
      </c>
      <c r="AC39">
        <v>159.30000000000001</v>
      </c>
      <c r="AD39">
        <v>143.35</v>
      </c>
      <c r="AE39">
        <v>4106</v>
      </c>
      <c r="AF39">
        <v>186.4</v>
      </c>
      <c r="AG39">
        <v>4564</v>
      </c>
      <c r="AH39">
        <v>3130</v>
      </c>
      <c r="AI39">
        <v>261.60000000000002</v>
      </c>
      <c r="AJ39">
        <v>58.527764400000002</v>
      </c>
      <c r="AK39">
        <v>39.9</v>
      </c>
      <c r="AL39">
        <v>71.95</v>
      </c>
      <c r="AM39">
        <v>1085</v>
      </c>
      <c r="AN39">
        <v>481.2</v>
      </c>
      <c r="AO39">
        <v>5885</v>
      </c>
      <c r="AP39">
        <v>76.680000000000007</v>
      </c>
      <c r="AQ39">
        <v>153.51223619999999</v>
      </c>
    </row>
    <row r="40" spans="2:43" x14ac:dyDescent="0.2">
      <c r="B40" s="3">
        <v>45826</v>
      </c>
      <c r="C40">
        <v>891</v>
      </c>
      <c r="D40">
        <v>87.82</v>
      </c>
      <c r="E40">
        <v>2.8050000000000002</v>
      </c>
      <c r="F40">
        <v>10.115</v>
      </c>
      <c r="G40">
        <v>70.040000000000006</v>
      </c>
      <c r="H40">
        <v>7.6</v>
      </c>
      <c r="I40">
        <v>34.1</v>
      </c>
      <c r="J40">
        <v>54.85</v>
      </c>
      <c r="K40">
        <v>43.4</v>
      </c>
      <c r="L40">
        <v>384.3</v>
      </c>
      <c r="M40">
        <v>95</v>
      </c>
      <c r="N40">
        <v>82.46</v>
      </c>
      <c r="O40">
        <v>6.8250000000000002</v>
      </c>
      <c r="P40">
        <v>166.35</v>
      </c>
      <c r="Q40">
        <v>13.8</v>
      </c>
      <c r="R40">
        <v>13910</v>
      </c>
      <c r="S40">
        <v>0.40699999999999997</v>
      </c>
      <c r="T40">
        <v>122.65</v>
      </c>
      <c r="U40">
        <v>9.5749999999999993</v>
      </c>
      <c r="V40">
        <v>13.08</v>
      </c>
      <c r="W40" s="3">
        <v>45826</v>
      </c>
      <c r="X40">
        <v>3040</v>
      </c>
      <c r="Y40">
        <v>591.5</v>
      </c>
      <c r="Z40">
        <v>98.14</v>
      </c>
      <c r="AA40">
        <v>5.2619999999999996</v>
      </c>
      <c r="AB40">
        <v>559.6</v>
      </c>
      <c r="AC40">
        <v>159.5</v>
      </c>
      <c r="AD40">
        <v>142.94999999999999</v>
      </c>
      <c r="AE40">
        <v>4104</v>
      </c>
      <c r="AF40">
        <v>188.8</v>
      </c>
      <c r="AG40">
        <v>4476</v>
      </c>
      <c r="AH40">
        <v>3122</v>
      </c>
      <c r="AI40">
        <v>259.10000000000002</v>
      </c>
      <c r="AJ40">
        <v>58.819431000000002</v>
      </c>
      <c r="AK40">
        <v>38.97</v>
      </c>
      <c r="AL40">
        <v>71.349999999999994</v>
      </c>
      <c r="AM40">
        <v>1098.5</v>
      </c>
      <c r="AN40">
        <v>483.2</v>
      </c>
      <c r="AO40">
        <v>5835</v>
      </c>
      <c r="AP40">
        <v>77.38</v>
      </c>
      <c r="AQ40">
        <v>150.95555160000001</v>
      </c>
    </row>
    <row r="41" spans="2:43" x14ac:dyDescent="0.2">
      <c r="B41" s="3">
        <v>45827</v>
      </c>
      <c r="C41">
        <v>882.8</v>
      </c>
      <c r="D41">
        <v>86.52</v>
      </c>
      <c r="E41">
        <v>2.7469999999999999</v>
      </c>
      <c r="F41">
        <v>9.81</v>
      </c>
      <c r="G41" s="2" t="s">
        <v>20</v>
      </c>
      <c r="H41">
        <v>7.45</v>
      </c>
      <c r="I41">
        <v>33.659999999999997</v>
      </c>
      <c r="J41">
        <v>54.7</v>
      </c>
      <c r="K41">
        <v>43.6</v>
      </c>
      <c r="L41">
        <v>382.5</v>
      </c>
      <c r="M41">
        <v>93.98</v>
      </c>
      <c r="N41">
        <v>80.94</v>
      </c>
      <c r="O41">
        <v>6.6950000000000003</v>
      </c>
      <c r="P41">
        <v>166.8</v>
      </c>
      <c r="Q41">
        <v>13.5</v>
      </c>
      <c r="R41" s="2" t="s">
        <v>20</v>
      </c>
      <c r="S41">
        <v>0.39279999999999998</v>
      </c>
      <c r="T41" s="2" t="s">
        <v>20</v>
      </c>
      <c r="U41">
        <v>9.3350000000000009</v>
      </c>
      <c r="V41">
        <v>13.05</v>
      </c>
      <c r="W41" s="3">
        <v>45827</v>
      </c>
      <c r="X41">
        <v>2985</v>
      </c>
      <c r="Y41">
        <v>587</v>
      </c>
      <c r="Z41">
        <v>96.66</v>
      </c>
      <c r="AA41">
        <v>5.274</v>
      </c>
      <c r="AB41">
        <v>558</v>
      </c>
      <c r="AC41">
        <v>161.4</v>
      </c>
      <c r="AD41">
        <v>141.94999999999999</v>
      </c>
      <c r="AE41">
        <v>4035</v>
      </c>
      <c r="AF41">
        <v>188.8</v>
      </c>
      <c r="AG41">
        <v>4430</v>
      </c>
      <c r="AH41">
        <v>3126</v>
      </c>
      <c r="AI41">
        <v>260</v>
      </c>
      <c r="AJ41">
        <v>58.527764400000002</v>
      </c>
      <c r="AK41">
        <v>38.64</v>
      </c>
      <c r="AL41">
        <v>70.75</v>
      </c>
      <c r="AM41">
        <v>1093.5</v>
      </c>
      <c r="AN41">
        <v>488</v>
      </c>
      <c r="AO41">
        <v>5845</v>
      </c>
      <c r="AP41">
        <v>76.48</v>
      </c>
      <c r="AQ41">
        <v>152.6785347</v>
      </c>
    </row>
    <row r="42" spans="2:43" x14ac:dyDescent="0.2">
      <c r="B42" s="3">
        <v>45828</v>
      </c>
      <c r="C42">
        <v>887.8</v>
      </c>
      <c r="D42">
        <v>87.42</v>
      </c>
      <c r="E42">
        <v>2.7160000000000002</v>
      </c>
      <c r="F42">
        <v>9.83</v>
      </c>
      <c r="G42">
        <v>70.52</v>
      </c>
      <c r="H42">
        <v>7.64</v>
      </c>
      <c r="I42">
        <v>33.76</v>
      </c>
      <c r="J42">
        <v>55</v>
      </c>
      <c r="K42">
        <v>43.63</v>
      </c>
      <c r="L42">
        <v>384.5</v>
      </c>
      <c r="M42">
        <v>93.76</v>
      </c>
      <c r="N42">
        <v>81.180000000000007</v>
      </c>
      <c r="O42">
        <v>6.69</v>
      </c>
      <c r="P42">
        <v>166.45</v>
      </c>
      <c r="Q42">
        <v>13.57</v>
      </c>
      <c r="R42">
        <v>14045</v>
      </c>
      <c r="S42">
        <v>0.4042</v>
      </c>
      <c r="T42">
        <v>121.75</v>
      </c>
      <c r="U42">
        <v>9.2949999999999999</v>
      </c>
      <c r="V42">
        <v>13.22</v>
      </c>
      <c r="W42" s="3">
        <v>45828</v>
      </c>
      <c r="X42">
        <v>2993</v>
      </c>
      <c r="Y42">
        <v>588.5</v>
      </c>
      <c r="Z42">
        <v>96.08</v>
      </c>
      <c r="AA42">
        <v>5.23</v>
      </c>
      <c r="AB42">
        <v>560.20000000000005</v>
      </c>
      <c r="AC42">
        <v>160.9</v>
      </c>
      <c r="AD42">
        <v>141.65</v>
      </c>
      <c r="AE42">
        <v>4000</v>
      </c>
      <c r="AF42">
        <v>190</v>
      </c>
      <c r="AG42">
        <v>4418</v>
      </c>
      <c r="AH42">
        <v>3118</v>
      </c>
      <c r="AI42">
        <v>259.3</v>
      </c>
      <c r="AJ42">
        <v>58.430542199999998</v>
      </c>
      <c r="AK42" s="2" t="s">
        <v>20</v>
      </c>
      <c r="AL42">
        <v>70.900000000000006</v>
      </c>
      <c r="AM42">
        <v>1103.5</v>
      </c>
      <c r="AN42">
        <v>480.2</v>
      </c>
      <c r="AO42">
        <v>5810</v>
      </c>
      <c r="AP42" s="2" t="s">
        <v>20</v>
      </c>
      <c r="AQ42">
        <v>151.62251280000001</v>
      </c>
    </row>
    <row r="43" spans="2:43" x14ac:dyDescent="0.2">
      <c r="B43" s="3">
        <v>45831</v>
      </c>
      <c r="C43">
        <v>886.6</v>
      </c>
      <c r="D43">
        <v>87.32</v>
      </c>
      <c r="E43">
        <v>2.6859999999999999</v>
      </c>
      <c r="F43">
        <v>9.6319999999999997</v>
      </c>
      <c r="G43">
        <v>68.540000000000006</v>
      </c>
      <c r="H43">
        <v>7.4779999999999998</v>
      </c>
      <c r="I43">
        <v>33.78</v>
      </c>
      <c r="J43">
        <v>54.7</v>
      </c>
      <c r="K43">
        <v>43.14</v>
      </c>
      <c r="L43">
        <v>384</v>
      </c>
      <c r="M43">
        <v>94.1</v>
      </c>
      <c r="N43">
        <v>80.599999999999994</v>
      </c>
      <c r="O43">
        <v>6.6449999999999996</v>
      </c>
      <c r="P43">
        <v>168.1</v>
      </c>
      <c r="Q43">
        <v>13.77</v>
      </c>
      <c r="R43">
        <v>13660</v>
      </c>
      <c r="S43">
        <v>0.39439999999999997</v>
      </c>
      <c r="T43">
        <v>120.5</v>
      </c>
      <c r="U43">
        <v>9.2650000000000006</v>
      </c>
      <c r="V43">
        <v>13.26</v>
      </c>
      <c r="W43" s="3">
        <v>45831</v>
      </c>
      <c r="X43">
        <v>2972</v>
      </c>
      <c r="Y43">
        <v>587.5</v>
      </c>
      <c r="Z43">
        <v>96.04</v>
      </c>
      <c r="AA43">
        <v>5.08</v>
      </c>
      <c r="AB43">
        <v>561</v>
      </c>
      <c r="AC43">
        <v>159.80000000000001</v>
      </c>
      <c r="AD43">
        <v>142.85</v>
      </c>
      <c r="AE43">
        <v>3992</v>
      </c>
      <c r="AF43">
        <v>190.8</v>
      </c>
      <c r="AG43">
        <v>4330</v>
      </c>
      <c r="AH43">
        <v>3144</v>
      </c>
      <c r="AI43">
        <v>260.5</v>
      </c>
      <c r="AJ43">
        <v>59.208319799999998</v>
      </c>
      <c r="AK43">
        <v>38.369999999999997</v>
      </c>
      <c r="AL43">
        <v>71.05</v>
      </c>
      <c r="AM43">
        <v>1092</v>
      </c>
      <c r="AN43">
        <v>491.6</v>
      </c>
      <c r="AO43">
        <v>5820</v>
      </c>
      <c r="AP43">
        <v>76</v>
      </c>
      <c r="AQ43">
        <v>152.6785347</v>
      </c>
    </row>
    <row r="44" spans="2:43" x14ac:dyDescent="0.2">
      <c r="B44" s="3">
        <v>45832</v>
      </c>
      <c r="C44">
        <v>909.2</v>
      </c>
      <c r="D44">
        <v>91.12</v>
      </c>
      <c r="E44">
        <v>2.698</v>
      </c>
      <c r="F44">
        <v>9.9559999999999995</v>
      </c>
      <c r="G44">
        <v>72.7</v>
      </c>
      <c r="H44">
        <v>7.7039999999999997</v>
      </c>
      <c r="I44">
        <v>33.72</v>
      </c>
      <c r="J44">
        <v>54.45</v>
      </c>
      <c r="K44">
        <v>42.3</v>
      </c>
      <c r="L44">
        <v>382.8</v>
      </c>
      <c r="M44">
        <v>95.28</v>
      </c>
      <c r="N44">
        <v>81.040000000000006</v>
      </c>
      <c r="O44">
        <v>6.73</v>
      </c>
      <c r="P44">
        <v>165.85</v>
      </c>
      <c r="Q44">
        <v>14.1</v>
      </c>
      <c r="R44">
        <v>14030</v>
      </c>
      <c r="S44">
        <v>0.4027</v>
      </c>
      <c r="T44">
        <v>124.8</v>
      </c>
      <c r="U44">
        <v>9.7200000000000006</v>
      </c>
      <c r="V44">
        <v>13.62</v>
      </c>
      <c r="W44" s="3">
        <v>45832</v>
      </c>
      <c r="X44">
        <v>3060</v>
      </c>
      <c r="Y44">
        <v>594.5</v>
      </c>
      <c r="Z44">
        <v>96.78</v>
      </c>
      <c r="AA44">
        <v>5.1059999999999999</v>
      </c>
      <c r="AB44">
        <v>570</v>
      </c>
      <c r="AC44">
        <v>167.1</v>
      </c>
      <c r="AD44">
        <v>141.6</v>
      </c>
      <c r="AE44">
        <v>3990</v>
      </c>
      <c r="AF44">
        <v>187</v>
      </c>
      <c r="AG44">
        <v>4419</v>
      </c>
      <c r="AH44">
        <v>3162</v>
      </c>
      <c r="AI44">
        <v>262.10000000000002</v>
      </c>
      <c r="AJ44">
        <v>58.6249866</v>
      </c>
      <c r="AK44">
        <v>38.619999999999997</v>
      </c>
      <c r="AL44">
        <v>72.05</v>
      </c>
      <c r="AM44">
        <v>1113</v>
      </c>
      <c r="AN44">
        <v>493.4</v>
      </c>
      <c r="AO44">
        <v>5905</v>
      </c>
      <c r="AP44">
        <v>79</v>
      </c>
      <c r="AQ44">
        <v>157.29168300000001</v>
      </c>
    </row>
    <row r="45" spans="2:43" x14ac:dyDescent="0.2">
      <c r="B45" s="3">
        <v>45833</v>
      </c>
      <c r="C45">
        <v>916.8</v>
      </c>
      <c r="D45">
        <v>92.4</v>
      </c>
      <c r="E45">
        <v>2.64</v>
      </c>
      <c r="F45">
        <v>9.8879999999999999</v>
      </c>
      <c r="G45">
        <v>71.099999999999994</v>
      </c>
      <c r="H45">
        <v>7.5979999999999999</v>
      </c>
      <c r="I45">
        <v>33.44</v>
      </c>
      <c r="J45">
        <v>54.4</v>
      </c>
      <c r="K45">
        <v>42.61</v>
      </c>
      <c r="L45">
        <v>383.4</v>
      </c>
      <c r="M45">
        <v>91.52</v>
      </c>
      <c r="N45">
        <v>80.099999999999994</v>
      </c>
      <c r="O45">
        <v>6.76</v>
      </c>
      <c r="P45">
        <v>165.05</v>
      </c>
      <c r="Q45">
        <v>13.85</v>
      </c>
      <c r="R45">
        <v>13930</v>
      </c>
      <c r="S45">
        <v>0.40920000000000001</v>
      </c>
      <c r="T45">
        <v>123.8</v>
      </c>
      <c r="U45">
        <v>9.5299999999999994</v>
      </c>
      <c r="V45">
        <v>13.59</v>
      </c>
      <c r="W45" s="3">
        <v>45833</v>
      </c>
      <c r="X45">
        <v>2993</v>
      </c>
      <c r="Y45">
        <v>590</v>
      </c>
      <c r="Z45">
        <v>94</v>
      </c>
      <c r="AA45">
        <v>5.048</v>
      </c>
      <c r="AB45">
        <v>565.79999999999995</v>
      </c>
      <c r="AC45">
        <v>169.4</v>
      </c>
      <c r="AD45">
        <v>140.25</v>
      </c>
      <c r="AE45">
        <v>3914</v>
      </c>
      <c r="AF45">
        <v>186.2</v>
      </c>
      <c r="AG45">
        <v>4423</v>
      </c>
      <c r="AH45">
        <v>3202</v>
      </c>
      <c r="AI45">
        <v>259.39999999999998</v>
      </c>
      <c r="AJ45">
        <v>57.749986800000002</v>
      </c>
      <c r="AK45">
        <v>38.74</v>
      </c>
      <c r="AL45">
        <v>71.650000000000006</v>
      </c>
      <c r="AM45">
        <v>1122</v>
      </c>
      <c r="AN45">
        <v>491.8</v>
      </c>
      <c r="AO45">
        <v>5835</v>
      </c>
      <c r="AP45">
        <v>78.88</v>
      </c>
      <c r="AQ45">
        <v>157.12494269999999</v>
      </c>
    </row>
    <row r="46" spans="2:43" x14ac:dyDescent="0.2">
      <c r="B46" s="3">
        <v>45834</v>
      </c>
      <c r="C46">
        <v>933.8</v>
      </c>
      <c r="D46">
        <v>92.9</v>
      </c>
      <c r="E46">
        <v>2.6469999999999998</v>
      </c>
      <c r="F46">
        <v>9.8879999999999999</v>
      </c>
      <c r="G46">
        <v>73.7</v>
      </c>
      <c r="H46">
        <v>7.5460000000000003</v>
      </c>
      <c r="I46">
        <v>32.799999999999997</v>
      </c>
      <c r="J46">
        <v>55.05</v>
      </c>
      <c r="K46">
        <v>42.94</v>
      </c>
      <c r="L46">
        <v>377.6</v>
      </c>
      <c r="M46">
        <v>91.94</v>
      </c>
      <c r="N46">
        <v>80.459999999999994</v>
      </c>
      <c r="O46">
        <v>6.7549999999999999</v>
      </c>
      <c r="P46">
        <v>163.19999999999999</v>
      </c>
      <c r="Q46">
        <v>14.21</v>
      </c>
      <c r="R46">
        <v>14430</v>
      </c>
      <c r="S46">
        <v>0.4173</v>
      </c>
      <c r="T46">
        <v>130</v>
      </c>
      <c r="U46">
        <v>9.58</v>
      </c>
      <c r="V46">
        <v>13.81</v>
      </c>
      <c r="W46" s="3">
        <v>45834</v>
      </c>
      <c r="X46">
        <v>2975</v>
      </c>
      <c r="Y46">
        <v>591.5</v>
      </c>
      <c r="Z46">
        <v>94.3</v>
      </c>
      <c r="AA46">
        <v>5.0979999999999999</v>
      </c>
      <c r="AB46">
        <v>563.20000000000005</v>
      </c>
      <c r="AC46">
        <v>153</v>
      </c>
      <c r="AD46">
        <v>141.35</v>
      </c>
      <c r="AE46">
        <v>3879</v>
      </c>
      <c r="AF46">
        <v>187</v>
      </c>
      <c r="AG46">
        <v>4483</v>
      </c>
      <c r="AH46">
        <v>3248</v>
      </c>
      <c r="AI46">
        <v>262.10000000000002</v>
      </c>
      <c r="AJ46">
        <v>58.333320000000001</v>
      </c>
      <c r="AK46">
        <v>39.19</v>
      </c>
      <c r="AL46">
        <v>71.599999999999994</v>
      </c>
      <c r="AM46">
        <v>1166.5</v>
      </c>
      <c r="AN46">
        <v>496</v>
      </c>
      <c r="AO46">
        <v>5985</v>
      </c>
      <c r="AP46">
        <v>80.36</v>
      </c>
      <c r="AQ46">
        <v>158.95908600000001</v>
      </c>
    </row>
    <row r="47" spans="2:43" x14ac:dyDescent="0.2">
      <c r="B47" s="3">
        <v>45835</v>
      </c>
      <c r="C47">
        <v>954.2</v>
      </c>
      <c r="D47">
        <v>95.5</v>
      </c>
      <c r="E47">
        <v>2.698</v>
      </c>
      <c r="F47">
        <v>9.9760000000000009</v>
      </c>
      <c r="G47">
        <v>73.739999999999995</v>
      </c>
      <c r="H47">
        <v>7.5960000000000001</v>
      </c>
      <c r="I47">
        <v>33</v>
      </c>
      <c r="J47">
        <v>55.85</v>
      </c>
      <c r="K47">
        <v>43.35</v>
      </c>
      <c r="L47">
        <v>378.3</v>
      </c>
      <c r="M47">
        <v>93.44</v>
      </c>
      <c r="N47">
        <v>80.38</v>
      </c>
      <c r="O47">
        <v>6.9</v>
      </c>
      <c r="P47">
        <v>163.5</v>
      </c>
      <c r="Q47">
        <v>14.26</v>
      </c>
      <c r="R47">
        <v>14900</v>
      </c>
      <c r="S47">
        <v>0.41710000000000003</v>
      </c>
      <c r="T47">
        <v>129</v>
      </c>
      <c r="U47">
        <v>9.69</v>
      </c>
      <c r="V47">
        <v>13.86</v>
      </c>
      <c r="W47" s="3">
        <v>45835</v>
      </c>
      <c r="X47">
        <v>3018</v>
      </c>
      <c r="Y47">
        <v>602.5</v>
      </c>
      <c r="Z47">
        <v>95.52</v>
      </c>
      <c r="AA47">
        <v>5.0659999999999998</v>
      </c>
      <c r="AB47">
        <v>566.6</v>
      </c>
      <c r="AC47">
        <v>153.30000000000001</v>
      </c>
      <c r="AD47">
        <v>145.1</v>
      </c>
      <c r="AE47">
        <v>3907</v>
      </c>
      <c r="AF47">
        <v>185.8</v>
      </c>
      <c r="AG47">
        <v>4732</v>
      </c>
      <c r="AH47">
        <v>3216</v>
      </c>
      <c r="AI47">
        <v>261.60000000000002</v>
      </c>
      <c r="AJ47">
        <v>58.819431000000002</v>
      </c>
      <c r="AK47">
        <v>40.85</v>
      </c>
      <c r="AL47">
        <v>72.95</v>
      </c>
      <c r="AM47">
        <v>1187.5</v>
      </c>
      <c r="AN47">
        <v>503</v>
      </c>
      <c r="AO47">
        <v>6100</v>
      </c>
      <c r="AP47">
        <v>83.94</v>
      </c>
      <c r="AQ47">
        <v>157.01378249999999</v>
      </c>
    </row>
    <row r="48" spans="2:43" x14ac:dyDescent="0.2">
      <c r="B48" s="3">
        <v>45838</v>
      </c>
      <c r="C48">
        <v>967.6</v>
      </c>
      <c r="D48">
        <v>98.06</v>
      </c>
      <c r="E48">
        <v>2.7029999999999998</v>
      </c>
      <c r="F48">
        <v>9.9120000000000008</v>
      </c>
      <c r="G48">
        <v>75.239999999999995</v>
      </c>
      <c r="H48">
        <v>7.7160000000000002</v>
      </c>
      <c r="I48">
        <v>33.44</v>
      </c>
      <c r="J48">
        <v>55.8</v>
      </c>
      <c r="K48">
        <v>43.42</v>
      </c>
      <c r="L48">
        <v>374.4</v>
      </c>
      <c r="M48">
        <v>90.26</v>
      </c>
      <c r="N48">
        <v>81.14</v>
      </c>
      <c r="O48">
        <v>6.9850000000000003</v>
      </c>
      <c r="P48">
        <v>161.55000000000001</v>
      </c>
      <c r="Q48">
        <v>14.1</v>
      </c>
      <c r="R48">
        <v>14670</v>
      </c>
      <c r="S48">
        <v>0.41860000000000003</v>
      </c>
      <c r="T48">
        <v>128.9</v>
      </c>
      <c r="U48">
        <v>9.5549999999999997</v>
      </c>
      <c r="V48">
        <v>13.53</v>
      </c>
      <c r="W48" s="3">
        <v>45838</v>
      </c>
      <c r="X48">
        <v>2924</v>
      </c>
      <c r="Y48">
        <v>599</v>
      </c>
      <c r="Z48">
        <v>89.14</v>
      </c>
      <c r="AA48">
        <v>5.1420000000000003</v>
      </c>
      <c r="AB48">
        <v>565</v>
      </c>
      <c r="AC48">
        <v>157</v>
      </c>
      <c r="AD48">
        <v>141.94999999999999</v>
      </c>
      <c r="AE48">
        <v>3841</v>
      </c>
      <c r="AF48">
        <v>186.2</v>
      </c>
      <c r="AG48">
        <v>4669</v>
      </c>
      <c r="AH48">
        <v>3200</v>
      </c>
      <c r="AI48">
        <v>258.39999999999998</v>
      </c>
      <c r="AJ48">
        <v>58.722208799999997</v>
      </c>
      <c r="AK48">
        <v>40.340000000000003</v>
      </c>
      <c r="AL48">
        <v>72.3</v>
      </c>
      <c r="AM48">
        <v>1184</v>
      </c>
      <c r="AN48">
        <v>501.5</v>
      </c>
      <c r="AO48">
        <v>5955</v>
      </c>
      <c r="AP48">
        <v>83.68</v>
      </c>
      <c r="AQ48">
        <v>151.17787200000001</v>
      </c>
    </row>
    <row r="49" spans="2:43" x14ac:dyDescent="0.2">
      <c r="B49" s="3">
        <v>45839</v>
      </c>
      <c r="C49">
        <v>939.6</v>
      </c>
      <c r="D49">
        <v>92.38</v>
      </c>
      <c r="E49">
        <v>2.702</v>
      </c>
      <c r="F49">
        <v>9.8239999999999998</v>
      </c>
      <c r="G49">
        <v>74.239999999999995</v>
      </c>
      <c r="H49">
        <v>7.4779999999999998</v>
      </c>
      <c r="I49">
        <v>33.380000000000003</v>
      </c>
      <c r="J49">
        <v>55.2</v>
      </c>
      <c r="K49">
        <v>42.94</v>
      </c>
      <c r="L49">
        <v>375.6</v>
      </c>
      <c r="M49">
        <v>90.62</v>
      </c>
      <c r="N49">
        <v>80.959999999999994</v>
      </c>
      <c r="O49">
        <v>6.79</v>
      </c>
      <c r="P49">
        <v>160.69999999999999</v>
      </c>
      <c r="Q49">
        <v>13.07</v>
      </c>
      <c r="R49">
        <v>14875</v>
      </c>
      <c r="S49">
        <v>0.40960000000000002</v>
      </c>
      <c r="T49">
        <v>129.35</v>
      </c>
      <c r="U49">
        <v>9.4849999999999994</v>
      </c>
      <c r="V49">
        <v>13.55</v>
      </c>
      <c r="W49" s="3">
        <v>45839</v>
      </c>
      <c r="X49">
        <v>2970</v>
      </c>
      <c r="Y49">
        <v>600.5</v>
      </c>
      <c r="Z49">
        <v>90.96</v>
      </c>
      <c r="AA49">
        <v>5.1459999999999999</v>
      </c>
      <c r="AB49">
        <v>564</v>
      </c>
      <c r="AC49">
        <v>153.80000000000001</v>
      </c>
      <c r="AD49">
        <v>138.25</v>
      </c>
      <c r="AE49">
        <v>3878</v>
      </c>
      <c r="AF49">
        <v>186.2</v>
      </c>
      <c r="AG49">
        <v>4647</v>
      </c>
      <c r="AH49">
        <v>3196</v>
      </c>
      <c r="AI49">
        <v>260.7</v>
      </c>
      <c r="AJ49">
        <v>58.722208799999997</v>
      </c>
      <c r="AK49">
        <v>40.29</v>
      </c>
      <c r="AL49">
        <v>72.650000000000006</v>
      </c>
      <c r="AM49">
        <v>1180</v>
      </c>
      <c r="AN49">
        <v>510</v>
      </c>
      <c r="AO49">
        <v>5915</v>
      </c>
      <c r="AP49">
        <v>83.8</v>
      </c>
      <c r="AQ49">
        <v>156.34682129999999</v>
      </c>
    </row>
    <row r="50" spans="2:43" x14ac:dyDescent="0.2">
      <c r="B50" s="3">
        <v>45840</v>
      </c>
      <c r="C50">
        <v>943.4</v>
      </c>
      <c r="D50">
        <v>91.62</v>
      </c>
      <c r="E50">
        <v>2.843</v>
      </c>
      <c r="F50">
        <v>10.005000000000001</v>
      </c>
      <c r="G50">
        <v>75.44</v>
      </c>
      <c r="H50">
        <v>7.58</v>
      </c>
      <c r="I50">
        <v>33.159999999999997</v>
      </c>
      <c r="J50">
        <v>55.55</v>
      </c>
      <c r="K50">
        <v>42.62</v>
      </c>
      <c r="L50">
        <v>372.5</v>
      </c>
      <c r="M50">
        <v>89.92</v>
      </c>
      <c r="N50">
        <v>80.2</v>
      </c>
      <c r="O50">
        <v>6.835</v>
      </c>
      <c r="P50">
        <v>158.35</v>
      </c>
      <c r="Q50">
        <v>13.18</v>
      </c>
      <c r="R50">
        <v>14975</v>
      </c>
      <c r="S50">
        <v>0.40589999999999998</v>
      </c>
      <c r="T50">
        <v>136</v>
      </c>
      <c r="U50">
        <v>9.4350000000000005</v>
      </c>
      <c r="V50">
        <v>13.76</v>
      </c>
      <c r="W50" s="3">
        <v>45840</v>
      </c>
      <c r="X50">
        <v>3001</v>
      </c>
      <c r="Y50">
        <v>627</v>
      </c>
      <c r="Z50">
        <v>91.62</v>
      </c>
      <c r="AA50">
        <v>5.0599999999999996</v>
      </c>
      <c r="AB50">
        <v>558.79999999999995</v>
      </c>
      <c r="AC50">
        <v>155.19999999999999</v>
      </c>
      <c r="AD50">
        <v>137.80000000000001</v>
      </c>
      <c r="AE50">
        <v>3864</v>
      </c>
      <c r="AF50">
        <v>184.4</v>
      </c>
      <c r="AG50">
        <v>4788</v>
      </c>
      <c r="AH50">
        <v>3162</v>
      </c>
      <c r="AI50">
        <v>260.10000000000002</v>
      </c>
      <c r="AJ50">
        <v>58.722208799999997</v>
      </c>
      <c r="AK50">
        <v>43.05</v>
      </c>
      <c r="AL50">
        <v>73.150000000000006</v>
      </c>
      <c r="AM50">
        <v>1161.5</v>
      </c>
      <c r="AN50">
        <v>490.4</v>
      </c>
      <c r="AO50">
        <v>6175</v>
      </c>
      <c r="AP50">
        <v>83.4</v>
      </c>
      <c r="AQ50">
        <v>159.1258263</v>
      </c>
    </row>
    <row r="51" spans="2:43" x14ac:dyDescent="0.2">
      <c r="B51" s="3">
        <v>45841</v>
      </c>
      <c r="C51">
        <v>954.4</v>
      </c>
      <c r="D51">
        <v>92.54</v>
      </c>
      <c r="E51">
        <v>2.8839999999999999</v>
      </c>
      <c r="F51">
        <v>10.1</v>
      </c>
      <c r="G51">
        <v>77.48</v>
      </c>
      <c r="H51">
        <v>7.6520000000000001</v>
      </c>
      <c r="I51">
        <v>33.44</v>
      </c>
      <c r="J51">
        <v>55.55</v>
      </c>
      <c r="K51">
        <v>42.8</v>
      </c>
      <c r="L51">
        <v>373.1</v>
      </c>
      <c r="M51">
        <v>90.1</v>
      </c>
      <c r="N51">
        <v>79.959999999999994</v>
      </c>
      <c r="O51">
        <v>6.92</v>
      </c>
      <c r="P51">
        <v>158.30000000000001</v>
      </c>
      <c r="Q51">
        <v>13.1</v>
      </c>
      <c r="R51">
        <v>14880</v>
      </c>
      <c r="S51">
        <v>0.41449999999999998</v>
      </c>
      <c r="T51">
        <v>134.9</v>
      </c>
      <c r="U51">
        <v>9.67</v>
      </c>
      <c r="V51">
        <v>13.7</v>
      </c>
      <c r="W51" s="3">
        <v>45841</v>
      </c>
      <c r="X51">
        <v>3047</v>
      </c>
      <c r="Y51">
        <v>618</v>
      </c>
      <c r="Z51">
        <v>91.68</v>
      </c>
      <c r="AA51">
        <v>5.056</v>
      </c>
      <c r="AB51">
        <v>556.79999999999995</v>
      </c>
      <c r="AC51">
        <v>157.69999999999999</v>
      </c>
      <c r="AD51">
        <v>138.69999999999999</v>
      </c>
      <c r="AE51">
        <v>3874</v>
      </c>
      <c r="AF51">
        <v>184</v>
      </c>
      <c r="AG51">
        <v>4799</v>
      </c>
      <c r="AH51">
        <v>3172</v>
      </c>
      <c r="AI51">
        <v>257.60000000000002</v>
      </c>
      <c r="AJ51">
        <v>58.819431000000002</v>
      </c>
      <c r="AK51">
        <v>42.78</v>
      </c>
      <c r="AL51">
        <v>72.849999999999994</v>
      </c>
      <c r="AM51">
        <v>1177</v>
      </c>
      <c r="AN51">
        <v>494.4</v>
      </c>
      <c r="AO51">
        <v>6180</v>
      </c>
      <c r="AP51">
        <v>86.22</v>
      </c>
      <c r="AQ51">
        <v>159.84836759999999</v>
      </c>
    </row>
    <row r="52" spans="2:43" x14ac:dyDescent="0.2">
      <c r="B52" s="3">
        <v>45842</v>
      </c>
      <c r="C52">
        <v>962.6</v>
      </c>
      <c r="D52">
        <v>92.56</v>
      </c>
      <c r="E52">
        <v>2.871</v>
      </c>
      <c r="F52">
        <v>10.005000000000001</v>
      </c>
      <c r="G52">
        <v>76.92</v>
      </c>
      <c r="H52">
        <v>7.4960000000000004</v>
      </c>
      <c r="I52">
        <v>33.28</v>
      </c>
      <c r="J52">
        <v>55.65</v>
      </c>
      <c r="K52">
        <v>43.62</v>
      </c>
      <c r="L52">
        <v>377.9</v>
      </c>
      <c r="M52">
        <v>89.84</v>
      </c>
      <c r="N52">
        <v>79.84</v>
      </c>
      <c r="O52">
        <v>6.89</v>
      </c>
      <c r="P52">
        <v>159.69999999999999</v>
      </c>
      <c r="Q52">
        <v>13.01</v>
      </c>
      <c r="R52">
        <v>14800</v>
      </c>
      <c r="S52">
        <v>0.41289999999999999</v>
      </c>
      <c r="T52">
        <v>132.44999999999999</v>
      </c>
      <c r="U52">
        <v>9.65</v>
      </c>
      <c r="V52">
        <v>13.43</v>
      </c>
      <c r="W52" s="3">
        <v>45842</v>
      </c>
      <c r="X52">
        <v>3008</v>
      </c>
      <c r="Y52">
        <v>616.5</v>
      </c>
      <c r="Z52">
        <v>91.16</v>
      </c>
      <c r="AA52">
        <v>5.0640000000000001</v>
      </c>
      <c r="AB52">
        <v>560.20000000000005</v>
      </c>
      <c r="AC52">
        <v>164</v>
      </c>
      <c r="AD52">
        <v>138.6</v>
      </c>
      <c r="AE52">
        <v>3869</v>
      </c>
      <c r="AF52">
        <v>183.8</v>
      </c>
      <c r="AG52">
        <v>4742</v>
      </c>
      <c r="AH52">
        <v>3182</v>
      </c>
      <c r="AI52">
        <v>260</v>
      </c>
      <c r="AJ52">
        <v>58.819431000000002</v>
      </c>
      <c r="AK52">
        <v>43.01</v>
      </c>
      <c r="AL52">
        <v>72.55</v>
      </c>
      <c r="AM52">
        <v>1168.5</v>
      </c>
      <c r="AN52">
        <v>490.8</v>
      </c>
      <c r="AO52">
        <v>6170</v>
      </c>
      <c r="AP52">
        <v>85.3</v>
      </c>
      <c r="AQ52">
        <v>160.62648899999999</v>
      </c>
    </row>
    <row r="53" spans="2:43" x14ac:dyDescent="0.2">
      <c r="B53" s="3">
        <v>45845</v>
      </c>
      <c r="C53">
        <v>969.8</v>
      </c>
      <c r="D53">
        <v>94.94</v>
      </c>
      <c r="E53">
        <v>2.9319999999999999</v>
      </c>
      <c r="F53">
        <v>10.125</v>
      </c>
      <c r="G53">
        <v>76.94</v>
      </c>
      <c r="H53">
        <v>7.65</v>
      </c>
      <c r="I53">
        <v>33.64</v>
      </c>
      <c r="J53">
        <v>56.2</v>
      </c>
      <c r="K53">
        <v>43.71</v>
      </c>
      <c r="L53">
        <v>371.3</v>
      </c>
      <c r="M53">
        <v>90.26</v>
      </c>
      <c r="N53">
        <v>80.3</v>
      </c>
      <c r="O53">
        <v>6.9649999999999999</v>
      </c>
      <c r="P53">
        <v>157.85</v>
      </c>
      <c r="Q53">
        <v>13.14</v>
      </c>
      <c r="R53">
        <v>14465</v>
      </c>
      <c r="S53">
        <v>0.41589999999999999</v>
      </c>
      <c r="T53">
        <v>131.4</v>
      </c>
      <c r="U53">
        <v>9.59</v>
      </c>
      <c r="V53">
        <v>13.24</v>
      </c>
      <c r="W53" s="3">
        <v>45845</v>
      </c>
      <c r="X53">
        <v>2958</v>
      </c>
      <c r="Y53">
        <v>615.5</v>
      </c>
      <c r="Z53">
        <v>90.8</v>
      </c>
      <c r="AA53">
        <v>4.9980000000000002</v>
      </c>
      <c r="AB53">
        <v>558</v>
      </c>
      <c r="AC53">
        <v>161.4</v>
      </c>
      <c r="AD53">
        <v>139.5</v>
      </c>
      <c r="AE53">
        <v>3856</v>
      </c>
      <c r="AF53">
        <v>184</v>
      </c>
      <c r="AG53">
        <v>4739</v>
      </c>
      <c r="AH53">
        <v>3216</v>
      </c>
      <c r="AI53">
        <v>257.10000000000002</v>
      </c>
      <c r="AJ53">
        <v>58.722208799999997</v>
      </c>
      <c r="AK53">
        <v>42.49</v>
      </c>
      <c r="AL53">
        <v>73</v>
      </c>
      <c r="AM53">
        <v>1172</v>
      </c>
      <c r="AN53">
        <v>485.2</v>
      </c>
      <c r="AO53">
        <v>6110</v>
      </c>
      <c r="AP53">
        <v>84.14</v>
      </c>
      <c r="AQ53">
        <v>154.56825810000001</v>
      </c>
    </row>
    <row r="54" spans="2:43" x14ac:dyDescent="0.2">
      <c r="B54" s="3">
        <v>45846</v>
      </c>
      <c r="C54">
        <v>966.4</v>
      </c>
      <c r="D54">
        <v>91.52</v>
      </c>
      <c r="E54">
        <v>2.9750000000000001</v>
      </c>
      <c r="F54">
        <v>10.49</v>
      </c>
      <c r="G54">
        <v>78.5</v>
      </c>
      <c r="H54">
        <v>7.62</v>
      </c>
      <c r="I54">
        <v>32.299999999999997</v>
      </c>
      <c r="J54">
        <v>56.25</v>
      </c>
      <c r="K54">
        <v>44.04</v>
      </c>
      <c r="L54">
        <v>371.2</v>
      </c>
      <c r="M54">
        <v>90.5</v>
      </c>
      <c r="N54">
        <v>80.14</v>
      </c>
      <c r="O54">
        <v>6.95</v>
      </c>
      <c r="P54">
        <v>156.4</v>
      </c>
      <c r="Q54">
        <v>12.93</v>
      </c>
      <c r="R54">
        <v>14505</v>
      </c>
      <c r="S54">
        <v>0.41499999999999998</v>
      </c>
      <c r="T54">
        <v>132.30000000000001</v>
      </c>
      <c r="U54">
        <v>9.7449999999999992</v>
      </c>
      <c r="V54">
        <v>13.53</v>
      </c>
      <c r="W54" s="3">
        <v>45846</v>
      </c>
      <c r="X54">
        <v>3004</v>
      </c>
      <c r="Y54">
        <v>621.5</v>
      </c>
      <c r="Z54">
        <v>90.94</v>
      </c>
      <c r="AA54">
        <v>4.9980000000000002</v>
      </c>
      <c r="AB54">
        <v>555.6</v>
      </c>
      <c r="AC54">
        <v>160.4</v>
      </c>
      <c r="AD54">
        <v>139.25</v>
      </c>
      <c r="AE54">
        <v>3866</v>
      </c>
      <c r="AF54">
        <v>183.4</v>
      </c>
      <c r="AG54">
        <v>4710</v>
      </c>
      <c r="AH54">
        <v>3194</v>
      </c>
      <c r="AI54">
        <v>257.7</v>
      </c>
      <c r="AJ54">
        <v>58.236097800000003</v>
      </c>
      <c r="AK54">
        <v>42.96</v>
      </c>
      <c r="AL54">
        <v>72.95</v>
      </c>
      <c r="AM54">
        <v>1185</v>
      </c>
      <c r="AN54">
        <v>480.2</v>
      </c>
      <c r="AO54">
        <v>6145</v>
      </c>
      <c r="AP54">
        <v>91.32</v>
      </c>
      <c r="AQ54">
        <v>154.40151779999999</v>
      </c>
    </row>
    <row r="55" spans="2:43" x14ac:dyDescent="0.2">
      <c r="B55" s="3">
        <v>45847</v>
      </c>
      <c r="C55">
        <v>984.4</v>
      </c>
      <c r="D55">
        <v>92.4</v>
      </c>
      <c r="E55">
        <v>3.0470000000000002</v>
      </c>
      <c r="F55">
        <v>10.73</v>
      </c>
      <c r="G55">
        <v>79.38</v>
      </c>
      <c r="H55">
        <v>7.6879999999999997</v>
      </c>
      <c r="I55">
        <v>32.54</v>
      </c>
      <c r="J55">
        <v>56.15</v>
      </c>
      <c r="K55">
        <v>44.3</v>
      </c>
      <c r="L55">
        <v>367.2</v>
      </c>
      <c r="M55">
        <v>90.04</v>
      </c>
      <c r="N55">
        <v>80.540000000000006</v>
      </c>
      <c r="O55">
        <v>7.02</v>
      </c>
      <c r="P55">
        <v>157.15</v>
      </c>
      <c r="Q55">
        <v>13.21</v>
      </c>
      <c r="R55">
        <v>14600</v>
      </c>
      <c r="S55">
        <v>0.4194</v>
      </c>
      <c r="T55">
        <v>130</v>
      </c>
      <c r="U55">
        <v>9.7850000000000001</v>
      </c>
      <c r="V55">
        <v>13.56</v>
      </c>
      <c r="W55" s="3">
        <v>45847</v>
      </c>
      <c r="X55">
        <v>3006</v>
      </c>
      <c r="Y55">
        <v>614.5</v>
      </c>
      <c r="Z55">
        <v>90.76</v>
      </c>
      <c r="AA55">
        <v>5.0119999999999996</v>
      </c>
      <c r="AB55">
        <v>562.6</v>
      </c>
      <c r="AC55">
        <v>162.6</v>
      </c>
      <c r="AD55">
        <v>138.85</v>
      </c>
      <c r="AE55">
        <v>3832</v>
      </c>
      <c r="AF55">
        <v>184.2</v>
      </c>
      <c r="AG55">
        <v>4740</v>
      </c>
      <c r="AH55">
        <v>3214</v>
      </c>
      <c r="AI55">
        <v>260</v>
      </c>
      <c r="AJ55">
        <v>58.236097800000003</v>
      </c>
      <c r="AK55">
        <v>42.96</v>
      </c>
      <c r="AL55">
        <v>73.099999999999994</v>
      </c>
      <c r="AM55">
        <v>1199.5</v>
      </c>
      <c r="AN55">
        <v>494</v>
      </c>
      <c r="AO55">
        <v>6190</v>
      </c>
      <c r="AP55">
        <v>92.32</v>
      </c>
      <c r="AQ55">
        <v>155.2907994</v>
      </c>
    </row>
    <row r="56" spans="2:43" x14ac:dyDescent="0.2">
      <c r="B56" s="3">
        <v>45848</v>
      </c>
      <c r="C56">
        <v>975.4</v>
      </c>
      <c r="D56">
        <v>89.98</v>
      </c>
      <c r="E56">
        <v>3.0070000000000001</v>
      </c>
      <c r="F56">
        <v>10.414999999999999</v>
      </c>
      <c r="G56">
        <v>77.599999999999994</v>
      </c>
      <c r="H56">
        <v>7.5460000000000003</v>
      </c>
      <c r="I56">
        <v>32.5</v>
      </c>
      <c r="J56">
        <v>56.45</v>
      </c>
      <c r="K56">
        <v>44.73</v>
      </c>
      <c r="L56">
        <v>372.2</v>
      </c>
      <c r="M56">
        <v>91.16</v>
      </c>
      <c r="N56">
        <v>80.5</v>
      </c>
      <c r="O56">
        <v>6.92</v>
      </c>
      <c r="P56">
        <v>154.65</v>
      </c>
      <c r="Q56">
        <v>13.03</v>
      </c>
      <c r="R56">
        <v>14575</v>
      </c>
      <c r="S56">
        <v>0.40989999999999999</v>
      </c>
      <c r="T56">
        <v>130.9</v>
      </c>
      <c r="U56">
        <v>9.73</v>
      </c>
      <c r="V56">
        <v>13.96</v>
      </c>
      <c r="W56" s="3">
        <v>45848</v>
      </c>
      <c r="X56">
        <v>3060</v>
      </c>
      <c r="Y56">
        <v>622</v>
      </c>
      <c r="Z56">
        <v>91</v>
      </c>
      <c r="AA56">
        <v>4.9779999999999998</v>
      </c>
      <c r="AB56">
        <v>569.4</v>
      </c>
      <c r="AC56">
        <v>165.6</v>
      </c>
      <c r="AD56">
        <v>139.1</v>
      </c>
      <c r="AE56">
        <v>3858</v>
      </c>
      <c r="AF56">
        <v>183</v>
      </c>
      <c r="AG56">
        <v>4920</v>
      </c>
      <c r="AH56">
        <v>3238</v>
      </c>
      <c r="AI56">
        <v>263</v>
      </c>
      <c r="AJ56">
        <v>57.847208999999999</v>
      </c>
      <c r="AK56">
        <v>44.39</v>
      </c>
      <c r="AL56">
        <v>73.95</v>
      </c>
      <c r="AM56">
        <v>1225.5</v>
      </c>
      <c r="AN56">
        <v>491</v>
      </c>
      <c r="AO56">
        <v>6335</v>
      </c>
      <c r="AP56">
        <v>92.52</v>
      </c>
      <c r="AQ56">
        <v>156.23566109999999</v>
      </c>
    </row>
    <row r="57" spans="2:43" x14ac:dyDescent="0.2">
      <c r="B57" s="3">
        <v>45849</v>
      </c>
      <c r="C57">
        <v>988</v>
      </c>
      <c r="D57">
        <v>91.68</v>
      </c>
      <c r="E57">
        <v>2.9279999999999999</v>
      </c>
      <c r="F57">
        <v>10.025</v>
      </c>
      <c r="G57">
        <v>77.88</v>
      </c>
      <c r="H57">
        <v>7.4059999999999997</v>
      </c>
      <c r="I57">
        <v>32.44</v>
      </c>
      <c r="J57">
        <v>57.35</v>
      </c>
      <c r="K57">
        <v>44.63</v>
      </c>
      <c r="L57">
        <v>367.4</v>
      </c>
      <c r="M57">
        <v>89.58</v>
      </c>
      <c r="N57">
        <v>79.64</v>
      </c>
      <c r="O57">
        <v>6.8550000000000004</v>
      </c>
      <c r="P57">
        <v>154.85</v>
      </c>
      <c r="Q57">
        <v>12.98</v>
      </c>
      <c r="R57">
        <v>14585</v>
      </c>
      <c r="S57">
        <v>0.40529999999999999</v>
      </c>
      <c r="T57">
        <v>132.75</v>
      </c>
      <c r="U57">
        <v>9.5250000000000004</v>
      </c>
      <c r="V57">
        <v>13.72</v>
      </c>
      <c r="W57" s="3">
        <v>45849</v>
      </c>
      <c r="X57">
        <v>2978</v>
      </c>
      <c r="Y57">
        <v>643.5</v>
      </c>
      <c r="Z57">
        <v>89.68</v>
      </c>
      <c r="AA57">
        <v>5.0060000000000002</v>
      </c>
      <c r="AB57">
        <v>564</v>
      </c>
      <c r="AC57">
        <v>165.4</v>
      </c>
      <c r="AD57">
        <v>138.85</v>
      </c>
      <c r="AE57">
        <v>3790</v>
      </c>
      <c r="AF57">
        <v>183.8</v>
      </c>
      <c r="AG57">
        <v>4830</v>
      </c>
      <c r="AH57">
        <v>3216</v>
      </c>
      <c r="AI57">
        <v>256.8</v>
      </c>
      <c r="AJ57">
        <v>58.041653400000001</v>
      </c>
      <c r="AK57">
        <v>43.45</v>
      </c>
      <c r="AL57">
        <v>73.849999999999994</v>
      </c>
      <c r="AM57">
        <v>1224.5</v>
      </c>
      <c r="AN57">
        <v>484</v>
      </c>
      <c r="AO57">
        <v>6180</v>
      </c>
      <c r="AP57">
        <v>92.2</v>
      </c>
      <c r="AQ57">
        <v>154.90173870000001</v>
      </c>
    </row>
    <row r="58" spans="2:43" x14ac:dyDescent="0.2">
      <c r="B58" s="3">
        <v>45852</v>
      </c>
      <c r="C58">
        <v>998.4</v>
      </c>
      <c r="D58">
        <v>92.04</v>
      </c>
      <c r="E58">
        <v>2.95</v>
      </c>
      <c r="F58">
        <v>10.545</v>
      </c>
      <c r="G58">
        <v>78.180000000000007</v>
      </c>
      <c r="H58">
        <v>7.89</v>
      </c>
      <c r="I58">
        <v>32.74</v>
      </c>
      <c r="J58">
        <v>57.3</v>
      </c>
      <c r="K58">
        <v>45.11</v>
      </c>
      <c r="L58">
        <v>367.2</v>
      </c>
      <c r="M58">
        <v>89.02</v>
      </c>
      <c r="N58">
        <v>80.459999999999994</v>
      </c>
      <c r="O58">
        <v>6.74</v>
      </c>
      <c r="P58">
        <v>156.1</v>
      </c>
      <c r="Q58">
        <v>12.93</v>
      </c>
      <c r="R58">
        <v>14730</v>
      </c>
      <c r="S58">
        <v>0.40350000000000003</v>
      </c>
      <c r="T58">
        <v>132.80000000000001</v>
      </c>
      <c r="U58">
        <v>9.4049999999999994</v>
      </c>
      <c r="V58">
        <v>13.51</v>
      </c>
      <c r="W58" s="3">
        <v>45852</v>
      </c>
      <c r="X58">
        <v>2953</v>
      </c>
      <c r="Y58">
        <v>633</v>
      </c>
      <c r="Z58">
        <v>89.18</v>
      </c>
      <c r="AA58">
        <v>5.056</v>
      </c>
      <c r="AB58">
        <v>564.6</v>
      </c>
      <c r="AC58">
        <v>163.30000000000001</v>
      </c>
      <c r="AD58">
        <v>139.5</v>
      </c>
      <c r="AE58">
        <v>3772</v>
      </c>
      <c r="AF58">
        <v>185.6</v>
      </c>
      <c r="AG58">
        <v>4783</v>
      </c>
      <c r="AH58">
        <v>3214</v>
      </c>
      <c r="AI58">
        <v>257.7</v>
      </c>
      <c r="AJ58">
        <v>58.527764400000002</v>
      </c>
      <c r="AK58">
        <v>42.87</v>
      </c>
      <c r="AL58">
        <v>73.45</v>
      </c>
      <c r="AM58">
        <v>1227.5</v>
      </c>
      <c r="AN58">
        <v>487.4</v>
      </c>
      <c r="AO58">
        <v>6020</v>
      </c>
      <c r="AP58">
        <v>92.5</v>
      </c>
      <c r="AQ58">
        <v>153.6789765</v>
      </c>
    </row>
    <row r="59" spans="2:43" x14ac:dyDescent="0.2">
      <c r="B59" s="3">
        <v>45853</v>
      </c>
      <c r="C59">
        <v>990.4</v>
      </c>
      <c r="D59">
        <v>93.22</v>
      </c>
      <c r="E59">
        <v>2.9009999999999998</v>
      </c>
      <c r="F59">
        <v>10.275</v>
      </c>
      <c r="G59">
        <v>78.52</v>
      </c>
      <c r="H59">
        <v>7.71</v>
      </c>
      <c r="I59">
        <v>32.619999999999997</v>
      </c>
      <c r="J59">
        <v>62.3</v>
      </c>
      <c r="K59">
        <v>45.47</v>
      </c>
      <c r="L59">
        <v>363.4</v>
      </c>
      <c r="M59">
        <v>88.96</v>
      </c>
      <c r="N59">
        <v>80.239999999999995</v>
      </c>
      <c r="O59">
        <v>6.82</v>
      </c>
      <c r="P59">
        <v>155.05000000000001</v>
      </c>
      <c r="Q59">
        <v>12.96</v>
      </c>
      <c r="R59">
        <v>14695</v>
      </c>
      <c r="S59">
        <v>0.40079999999999999</v>
      </c>
      <c r="T59">
        <v>131.4</v>
      </c>
      <c r="U59">
        <v>9.48</v>
      </c>
      <c r="V59">
        <v>13.67</v>
      </c>
      <c r="W59" s="3">
        <v>45853</v>
      </c>
      <c r="X59">
        <v>2922</v>
      </c>
      <c r="Y59">
        <v>630.5</v>
      </c>
      <c r="Z59">
        <v>89.38</v>
      </c>
      <c r="AA59">
        <v>5.04</v>
      </c>
      <c r="AB59">
        <v>563.6</v>
      </c>
      <c r="AC59">
        <v>163.69999999999999</v>
      </c>
      <c r="AD59">
        <v>139.30000000000001</v>
      </c>
      <c r="AE59">
        <v>3752</v>
      </c>
      <c r="AF59">
        <v>185.2</v>
      </c>
      <c r="AG59">
        <v>4803</v>
      </c>
      <c r="AH59">
        <v>3198</v>
      </c>
      <c r="AI59">
        <v>255</v>
      </c>
      <c r="AJ59">
        <v>57.749986800000002</v>
      </c>
      <c r="AK59">
        <v>43.75</v>
      </c>
      <c r="AL59">
        <v>73.45</v>
      </c>
      <c r="AM59">
        <v>1209</v>
      </c>
      <c r="AN59">
        <v>486.2</v>
      </c>
      <c r="AO59">
        <v>6040</v>
      </c>
      <c r="AP59">
        <v>92.12</v>
      </c>
      <c r="AQ59">
        <v>166.3512393</v>
      </c>
    </row>
    <row r="60" spans="2:43" x14ac:dyDescent="0.2">
      <c r="B60" s="3">
        <v>45854</v>
      </c>
      <c r="C60">
        <v>988.4</v>
      </c>
      <c r="D60">
        <v>91.26</v>
      </c>
      <c r="E60">
        <v>2.887</v>
      </c>
      <c r="F60">
        <v>10.28</v>
      </c>
      <c r="G60">
        <v>78.92</v>
      </c>
      <c r="H60">
        <v>7.63</v>
      </c>
      <c r="I60">
        <v>32.520000000000003</v>
      </c>
      <c r="J60">
        <v>64.650000000000006</v>
      </c>
      <c r="K60">
        <v>44.99</v>
      </c>
      <c r="L60">
        <v>360</v>
      </c>
      <c r="M60">
        <v>88.4</v>
      </c>
      <c r="N60">
        <v>79.56</v>
      </c>
      <c r="O60">
        <v>6.6950000000000003</v>
      </c>
      <c r="P60">
        <v>153.19999999999999</v>
      </c>
      <c r="Q60">
        <v>12.92</v>
      </c>
      <c r="R60">
        <v>14815</v>
      </c>
      <c r="S60">
        <v>0.40660000000000002</v>
      </c>
      <c r="T60">
        <v>130.6</v>
      </c>
      <c r="U60">
        <v>9.3949999999999996</v>
      </c>
      <c r="V60">
        <v>13.85</v>
      </c>
      <c r="W60" s="3">
        <v>45854</v>
      </c>
      <c r="X60">
        <v>2854</v>
      </c>
      <c r="Y60">
        <v>630</v>
      </c>
      <c r="Z60">
        <v>88.86</v>
      </c>
      <c r="AA60">
        <v>5.0380000000000003</v>
      </c>
      <c r="AB60">
        <v>569.79999999999995</v>
      </c>
      <c r="AC60">
        <v>160.80000000000001</v>
      </c>
      <c r="AD60">
        <v>139.05000000000001</v>
      </c>
      <c r="AE60">
        <v>3760</v>
      </c>
      <c r="AF60">
        <v>184.4</v>
      </c>
      <c r="AG60">
        <v>4679</v>
      </c>
      <c r="AH60">
        <v>3186</v>
      </c>
      <c r="AI60">
        <v>256.2</v>
      </c>
      <c r="AJ60">
        <v>57.5555424</v>
      </c>
      <c r="AK60">
        <v>42.87</v>
      </c>
      <c r="AL60">
        <v>73.2</v>
      </c>
      <c r="AM60">
        <v>1188.5</v>
      </c>
      <c r="AN60">
        <v>489</v>
      </c>
      <c r="AO60">
        <v>6020</v>
      </c>
      <c r="AP60">
        <v>91.1</v>
      </c>
      <c r="AQ60">
        <v>164.5726761</v>
      </c>
    </row>
    <row r="61" spans="2:43" x14ac:dyDescent="0.2">
      <c r="B61" s="3">
        <v>45855</v>
      </c>
      <c r="C61">
        <v>1010</v>
      </c>
      <c r="D61">
        <v>95.54</v>
      </c>
      <c r="E61">
        <v>2.8940000000000001</v>
      </c>
      <c r="F61">
        <v>10.34</v>
      </c>
      <c r="G61">
        <v>80.64</v>
      </c>
      <c r="H61">
        <v>7.5119999999999996</v>
      </c>
      <c r="I61">
        <v>32.479999999999997</v>
      </c>
      <c r="J61">
        <v>67.650000000000006</v>
      </c>
      <c r="K61">
        <v>44.93</v>
      </c>
      <c r="L61">
        <v>358.8</v>
      </c>
      <c r="M61">
        <v>88.94</v>
      </c>
      <c r="N61">
        <v>80.099999999999994</v>
      </c>
      <c r="O61">
        <v>6.73</v>
      </c>
      <c r="P61">
        <v>154.1</v>
      </c>
      <c r="Q61">
        <v>12.9</v>
      </c>
      <c r="R61">
        <v>15240</v>
      </c>
      <c r="S61">
        <v>0.40550000000000003</v>
      </c>
      <c r="T61">
        <v>130.44999999999999</v>
      </c>
      <c r="U61">
        <v>9.51</v>
      </c>
      <c r="V61">
        <v>14.13</v>
      </c>
      <c r="W61" s="3">
        <v>45855</v>
      </c>
      <c r="X61">
        <v>2877</v>
      </c>
      <c r="Y61">
        <v>636</v>
      </c>
      <c r="Z61">
        <v>89.26</v>
      </c>
      <c r="AA61">
        <v>5.0439999999999996</v>
      </c>
      <c r="AB61">
        <v>570</v>
      </c>
      <c r="AC61">
        <v>139.5</v>
      </c>
      <c r="AD61">
        <v>141.1</v>
      </c>
      <c r="AE61">
        <v>3772</v>
      </c>
      <c r="AF61">
        <v>184</v>
      </c>
      <c r="AG61">
        <v>4825</v>
      </c>
      <c r="AH61">
        <v>3244</v>
      </c>
      <c r="AI61">
        <v>257</v>
      </c>
      <c r="AJ61">
        <v>57.847208999999999</v>
      </c>
      <c r="AK61">
        <v>43.1</v>
      </c>
      <c r="AL61">
        <v>73.849999999999994</v>
      </c>
      <c r="AM61">
        <v>1195</v>
      </c>
      <c r="AN61">
        <v>493.8</v>
      </c>
      <c r="AO61">
        <v>6145</v>
      </c>
      <c r="AP61">
        <v>92.72</v>
      </c>
      <c r="AQ61">
        <v>162.34947210000001</v>
      </c>
    </row>
    <row r="62" spans="2:43" x14ac:dyDescent="0.2">
      <c r="B62" s="3">
        <v>45856</v>
      </c>
      <c r="C62">
        <v>1005</v>
      </c>
      <c r="D62">
        <v>94.02</v>
      </c>
      <c r="E62">
        <v>2.8940000000000001</v>
      </c>
      <c r="F62">
        <v>10.365</v>
      </c>
      <c r="G62">
        <v>82.22</v>
      </c>
      <c r="H62">
        <v>7.65</v>
      </c>
      <c r="I62">
        <v>32.659999999999997</v>
      </c>
      <c r="J62">
        <v>70</v>
      </c>
      <c r="K62">
        <v>45.76</v>
      </c>
      <c r="L62">
        <v>358.7</v>
      </c>
      <c r="M62">
        <v>89.16</v>
      </c>
      <c r="N62">
        <v>80.84</v>
      </c>
      <c r="O62">
        <v>6.58</v>
      </c>
      <c r="P62">
        <v>153.30000000000001</v>
      </c>
      <c r="Q62">
        <v>13.04</v>
      </c>
      <c r="R62">
        <v>15790</v>
      </c>
      <c r="S62">
        <v>0.40699999999999997</v>
      </c>
      <c r="T62">
        <v>131.80000000000001</v>
      </c>
      <c r="U62">
        <v>9.6300000000000008</v>
      </c>
      <c r="V62">
        <v>14.27</v>
      </c>
      <c r="W62" s="3">
        <v>45856</v>
      </c>
      <c r="X62">
        <v>2846</v>
      </c>
      <c r="Y62">
        <v>638</v>
      </c>
      <c r="Z62">
        <v>89.32</v>
      </c>
      <c r="AA62">
        <v>5.07</v>
      </c>
      <c r="AB62">
        <v>569.79999999999995</v>
      </c>
      <c r="AC62">
        <v>140</v>
      </c>
      <c r="AD62">
        <v>140.44999999999999</v>
      </c>
      <c r="AE62">
        <v>3792</v>
      </c>
      <c r="AF62">
        <v>184</v>
      </c>
      <c r="AG62">
        <v>4818</v>
      </c>
      <c r="AH62">
        <v>3252</v>
      </c>
      <c r="AI62">
        <v>258.5</v>
      </c>
      <c r="AJ62">
        <v>58.041653400000001</v>
      </c>
      <c r="AK62">
        <v>43.67</v>
      </c>
      <c r="AL62">
        <v>73.95</v>
      </c>
      <c r="AM62">
        <v>1196.5</v>
      </c>
      <c r="AN62">
        <v>516</v>
      </c>
      <c r="AO62">
        <v>6205</v>
      </c>
      <c r="AP62">
        <v>93.04</v>
      </c>
      <c r="AQ62">
        <v>165.3507975</v>
      </c>
    </row>
    <row r="63" spans="2:43" x14ac:dyDescent="0.2">
      <c r="B63" s="3">
        <v>45859</v>
      </c>
      <c r="C63">
        <v>1000</v>
      </c>
      <c r="D63">
        <v>93.72</v>
      </c>
      <c r="E63">
        <v>2.8879999999999999</v>
      </c>
      <c r="F63">
        <v>10.199999999999999</v>
      </c>
      <c r="G63">
        <v>80.540000000000006</v>
      </c>
      <c r="H63">
        <v>7.5759999999999996</v>
      </c>
      <c r="I63">
        <v>32.78</v>
      </c>
      <c r="J63">
        <v>70</v>
      </c>
      <c r="K63">
        <v>45.95</v>
      </c>
      <c r="L63">
        <v>354.3</v>
      </c>
      <c r="M63">
        <v>89.06</v>
      </c>
      <c r="N63">
        <v>81.66</v>
      </c>
      <c r="O63">
        <v>6.585</v>
      </c>
      <c r="P63">
        <v>156.65</v>
      </c>
      <c r="Q63">
        <v>12.92</v>
      </c>
      <c r="R63">
        <v>15760</v>
      </c>
      <c r="S63">
        <v>0.40410000000000001</v>
      </c>
      <c r="T63">
        <v>134</v>
      </c>
      <c r="U63">
        <v>9.5399999999999991</v>
      </c>
      <c r="V63">
        <v>14.08</v>
      </c>
      <c r="W63" s="3">
        <v>45859</v>
      </c>
      <c r="X63">
        <v>2859</v>
      </c>
      <c r="Y63">
        <v>641.5</v>
      </c>
      <c r="Z63">
        <v>89.36</v>
      </c>
      <c r="AA63">
        <v>5.0999999999999996</v>
      </c>
      <c r="AB63">
        <v>561.6</v>
      </c>
      <c r="AC63">
        <v>140</v>
      </c>
      <c r="AD63">
        <v>138.80000000000001</v>
      </c>
      <c r="AE63">
        <v>3837</v>
      </c>
      <c r="AF63">
        <v>185.6</v>
      </c>
      <c r="AG63">
        <v>4809</v>
      </c>
      <c r="AH63">
        <v>3240</v>
      </c>
      <c r="AI63">
        <v>255.6</v>
      </c>
      <c r="AJ63">
        <v>57.847208999999999</v>
      </c>
      <c r="AK63">
        <v>43.62</v>
      </c>
      <c r="AL63">
        <v>74.400000000000006</v>
      </c>
      <c r="AM63">
        <v>1207.5</v>
      </c>
      <c r="AN63">
        <v>526</v>
      </c>
      <c r="AO63">
        <v>6200</v>
      </c>
      <c r="AP63">
        <v>91.3</v>
      </c>
      <c r="AQ63">
        <v>170.29742640000001</v>
      </c>
    </row>
    <row r="64" spans="2:43" x14ac:dyDescent="0.2">
      <c r="B64" s="3">
        <v>45860</v>
      </c>
      <c r="C64">
        <v>983.2</v>
      </c>
      <c r="D64">
        <v>91.04</v>
      </c>
      <c r="E64">
        <v>2.9129999999999998</v>
      </c>
      <c r="F64">
        <v>10.324999999999999</v>
      </c>
      <c r="G64">
        <v>79.8</v>
      </c>
      <c r="H64">
        <v>7.6580000000000004</v>
      </c>
      <c r="I64">
        <v>33.020000000000003</v>
      </c>
      <c r="J64">
        <v>69.150000000000006</v>
      </c>
      <c r="K64">
        <v>46.37</v>
      </c>
      <c r="L64">
        <v>355</v>
      </c>
      <c r="M64">
        <v>88.24</v>
      </c>
      <c r="N64">
        <v>81.88</v>
      </c>
      <c r="O64">
        <v>6.5250000000000004</v>
      </c>
      <c r="P64">
        <v>164.1</v>
      </c>
      <c r="Q64">
        <v>12.82</v>
      </c>
      <c r="R64">
        <v>15850</v>
      </c>
      <c r="S64">
        <v>0.40620000000000001</v>
      </c>
      <c r="T64">
        <v>135.15</v>
      </c>
      <c r="U64">
        <v>9.5549999999999997</v>
      </c>
      <c r="V64">
        <v>13.81</v>
      </c>
      <c r="W64" s="3">
        <v>45860</v>
      </c>
      <c r="X64">
        <v>2817</v>
      </c>
      <c r="Y64">
        <v>642</v>
      </c>
      <c r="Z64">
        <v>87.7</v>
      </c>
      <c r="AA64">
        <v>5.1580000000000004</v>
      </c>
      <c r="AB64">
        <v>555</v>
      </c>
      <c r="AC64">
        <v>139.9</v>
      </c>
      <c r="AD64">
        <v>137.55000000000001</v>
      </c>
      <c r="AE64">
        <v>3627</v>
      </c>
      <c r="AF64">
        <v>186.6</v>
      </c>
      <c r="AG64">
        <v>4735</v>
      </c>
      <c r="AH64">
        <v>3208</v>
      </c>
      <c r="AI64">
        <v>254.1</v>
      </c>
      <c r="AJ64">
        <v>57.944431199999997</v>
      </c>
      <c r="AK64">
        <v>43.26</v>
      </c>
      <c r="AL64">
        <v>74.25</v>
      </c>
      <c r="AM64">
        <v>1192</v>
      </c>
      <c r="AN64">
        <v>539</v>
      </c>
      <c r="AO64">
        <v>6100</v>
      </c>
      <c r="AP64">
        <v>90.48</v>
      </c>
      <c r="AQ64">
        <v>175.2996354</v>
      </c>
    </row>
    <row r="65" spans="2:43" x14ac:dyDescent="0.2">
      <c r="B65" s="3">
        <v>45861</v>
      </c>
      <c r="C65">
        <v>983.4</v>
      </c>
      <c r="D65">
        <v>96.82</v>
      </c>
      <c r="E65">
        <v>2.9380000000000002</v>
      </c>
      <c r="F65">
        <v>10.07</v>
      </c>
      <c r="G65">
        <v>79.88</v>
      </c>
      <c r="H65">
        <v>7.79</v>
      </c>
      <c r="I65">
        <v>33.1</v>
      </c>
      <c r="J65">
        <v>69.25</v>
      </c>
      <c r="K65">
        <v>47.02</v>
      </c>
      <c r="L65">
        <v>358.5</v>
      </c>
      <c r="M65">
        <v>89.14</v>
      </c>
      <c r="N65">
        <v>82.36</v>
      </c>
      <c r="O65">
        <v>6.59</v>
      </c>
      <c r="P65">
        <v>158.75</v>
      </c>
      <c r="Q65">
        <v>13.05</v>
      </c>
      <c r="R65">
        <v>16210</v>
      </c>
      <c r="S65">
        <v>0.40100000000000002</v>
      </c>
      <c r="T65">
        <v>137.75</v>
      </c>
      <c r="U65">
        <v>9.57</v>
      </c>
      <c r="V65">
        <v>14.22</v>
      </c>
      <c r="W65" s="3">
        <v>45861</v>
      </c>
      <c r="X65">
        <v>2879</v>
      </c>
      <c r="Y65">
        <v>650.5</v>
      </c>
      <c r="Z65">
        <v>89.18</v>
      </c>
      <c r="AA65">
        <v>5.0720000000000001</v>
      </c>
      <c r="AB65">
        <v>570.6</v>
      </c>
      <c r="AC65">
        <v>141.30000000000001</v>
      </c>
      <c r="AD65">
        <v>137.85</v>
      </c>
      <c r="AE65">
        <v>3647</v>
      </c>
      <c r="AF65">
        <v>183.2</v>
      </c>
      <c r="AG65">
        <v>4857</v>
      </c>
      <c r="AH65">
        <v>3238</v>
      </c>
      <c r="AI65">
        <v>261.3</v>
      </c>
      <c r="AJ65">
        <v>57.652764599999998</v>
      </c>
      <c r="AK65">
        <v>45.49</v>
      </c>
      <c r="AL65">
        <v>75.55</v>
      </c>
      <c r="AM65">
        <v>1187.5</v>
      </c>
      <c r="AN65">
        <v>532.5</v>
      </c>
      <c r="AO65">
        <v>6185</v>
      </c>
      <c r="AP65">
        <v>91.62</v>
      </c>
      <c r="AQ65">
        <v>174.6326742</v>
      </c>
    </row>
    <row r="66" spans="2:43" x14ac:dyDescent="0.2">
      <c r="B66" s="3">
        <v>45862</v>
      </c>
      <c r="C66">
        <v>985.6</v>
      </c>
      <c r="D66">
        <v>97.16</v>
      </c>
      <c r="E66">
        <v>2.9550000000000001</v>
      </c>
      <c r="F66">
        <v>10.205</v>
      </c>
      <c r="G66">
        <v>82.28</v>
      </c>
      <c r="H66">
        <v>7.7859999999999996</v>
      </c>
      <c r="I66">
        <v>33.36</v>
      </c>
      <c r="J66">
        <v>70.25</v>
      </c>
      <c r="K66">
        <v>48.01</v>
      </c>
      <c r="L66">
        <v>365</v>
      </c>
      <c r="M66">
        <v>88.4</v>
      </c>
      <c r="N66">
        <v>82.48</v>
      </c>
      <c r="O66">
        <v>6.7949999999999999</v>
      </c>
      <c r="P66">
        <v>160.55000000000001</v>
      </c>
      <c r="Q66">
        <v>13.08</v>
      </c>
      <c r="R66">
        <v>16150</v>
      </c>
      <c r="S66">
        <v>0.40389999999999998</v>
      </c>
      <c r="T66">
        <v>137.80000000000001</v>
      </c>
      <c r="U66">
        <v>9.6199999999999992</v>
      </c>
      <c r="V66">
        <v>14.34</v>
      </c>
      <c r="W66" s="3">
        <v>45862</v>
      </c>
      <c r="X66">
        <v>2877</v>
      </c>
      <c r="Y66">
        <v>658</v>
      </c>
      <c r="Z66">
        <v>88.22</v>
      </c>
      <c r="AA66">
        <v>5.0599999999999996</v>
      </c>
      <c r="AB66">
        <v>566.4</v>
      </c>
      <c r="AC66">
        <v>143.19999999999999</v>
      </c>
      <c r="AD66">
        <v>137</v>
      </c>
      <c r="AE66">
        <v>3614</v>
      </c>
      <c r="AF66">
        <v>183.6</v>
      </c>
      <c r="AG66">
        <v>5032</v>
      </c>
      <c r="AH66">
        <v>3256</v>
      </c>
      <c r="AI66">
        <v>265.10000000000002</v>
      </c>
      <c r="AJ66">
        <v>57.5555424</v>
      </c>
      <c r="AK66">
        <v>45.1</v>
      </c>
      <c r="AL66">
        <v>76</v>
      </c>
      <c r="AM66">
        <v>1182</v>
      </c>
      <c r="AN66">
        <v>496.8</v>
      </c>
      <c r="AO66">
        <v>6230</v>
      </c>
      <c r="AP66">
        <v>91.56</v>
      </c>
      <c r="AQ66">
        <v>174.68825430000001</v>
      </c>
    </row>
    <row r="67" spans="2:43" x14ac:dyDescent="0.2">
      <c r="B67" s="3">
        <v>45863</v>
      </c>
      <c r="C67">
        <v>977.2</v>
      </c>
      <c r="D67">
        <v>96.86</v>
      </c>
      <c r="E67">
        <v>2.9550000000000001</v>
      </c>
      <c r="F67">
        <v>10.32</v>
      </c>
      <c r="G67">
        <v>82.38</v>
      </c>
      <c r="H67">
        <v>7.8479999999999999</v>
      </c>
      <c r="I67">
        <v>33.299999999999997</v>
      </c>
      <c r="J67">
        <v>70.2</v>
      </c>
      <c r="K67">
        <v>47.1</v>
      </c>
      <c r="L67">
        <v>365.5</v>
      </c>
      <c r="M67">
        <v>88.22</v>
      </c>
      <c r="N67">
        <v>82.44</v>
      </c>
      <c r="O67">
        <v>6.8</v>
      </c>
      <c r="P67">
        <v>162.75</v>
      </c>
      <c r="Q67">
        <v>13.11</v>
      </c>
      <c r="R67">
        <v>16105</v>
      </c>
      <c r="S67">
        <v>0.40720000000000001</v>
      </c>
      <c r="T67">
        <v>135.9</v>
      </c>
      <c r="U67">
        <v>9.3149999999999995</v>
      </c>
      <c r="V67">
        <v>14.6</v>
      </c>
      <c r="W67" s="3">
        <v>45863</v>
      </c>
      <c r="X67">
        <v>2892</v>
      </c>
      <c r="Y67">
        <v>660.5</v>
      </c>
      <c r="Z67">
        <v>87.26</v>
      </c>
      <c r="AA67">
        <v>5.0679999999999996</v>
      </c>
      <c r="AB67">
        <v>567</v>
      </c>
      <c r="AC67">
        <v>143.80000000000001</v>
      </c>
      <c r="AD67">
        <v>134.19999999999999</v>
      </c>
      <c r="AE67">
        <v>3541</v>
      </c>
      <c r="AF67">
        <v>183.6</v>
      </c>
      <c r="AG67">
        <v>5134</v>
      </c>
      <c r="AH67">
        <v>3238</v>
      </c>
      <c r="AI67">
        <v>259.2</v>
      </c>
      <c r="AJ67">
        <v>57.361097999999998</v>
      </c>
      <c r="AK67">
        <v>45.62</v>
      </c>
      <c r="AL67">
        <v>76.150000000000006</v>
      </c>
      <c r="AM67">
        <v>1158</v>
      </c>
      <c r="AN67">
        <v>500</v>
      </c>
      <c r="AO67">
        <v>6200</v>
      </c>
      <c r="AP67">
        <v>91.68</v>
      </c>
      <c r="AQ67">
        <v>179.2458225</v>
      </c>
    </row>
    <row r="68" spans="2:43" x14ac:dyDescent="0.2">
      <c r="B68" s="3">
        <v>45866</v>
      </c>
      <c r="C68">
        <v>981.4</v>
      </c>
      <c r="D68">
        <v>95.02</v>
      </c>
      <c r="E68">
        <v>3.0350000000000001</v>
      </c>
      <c r="F68">
        <v>10.5</v>
      </c>
      <c r="G68">
        <v>80.36</v>
      </c>
      <c r="H68">
        <v>8.016</v>
      </c>
      <c r="I68">
        <v>33.299999999999997</v>
      </c>
      <c r="J68">
        <v>70.900000000000006</v>
      </c>
      <c r="K68">
        <v>47.56</v>
      </c>
      <c r="L68">
        <v>364</v>
      </c>
      <c r="M68">
        <v>86.62</v>
      </c>
      <c r="N68">
        <v>82.92</v>
      </c>
      <c r="O68">
        <v>6.84</v>
      </c>
      <c r="P68">
        <v>160.65</v>
      </c>
      <c r="Q68">
        <v>13.16</v>
      </c>
      <c r="R68">
        <v>15875</v>
      </c>
      <c r="S68">
        <v>0.40560000000000002</v>
      </c>
      <c r="T68">
        <v>131.94999999999999</v>
      </c>
      <c r="U68">
        <v>9.2200000000000006</v>
      </c>
      <c r="V68">
        <v>14.61</v>
      </c>
      <c r="W68" s="3">
        <v>45866</v>
      </c>
      <c r="X68">
        <v>2899</v>
      </c>
      <c r="Y68">
        <v>656</v>
      </c>
      <c r="Z68">
        <v>86.82</v>
      </c>
      <c r="AA68">
        <v>5.0759999999999996</v>
      </c>
      <c r="AB68">
        <v>565.20000000000005</v>
      </c>
      <c r="AC68">
        <v>145.9</v>
      </c>
      <c r="AD68">
        <v>134.85</v>
      </c>
      <c r="AE68">
        <v>3520</v>
      </c>
      <c r="AF68">
        <v>183.2</v>
      </c>
      <c r="AG68">
        <v>5096</v>
      </c>
      <c r="AH68">
        <v>3220</v>
      </c>
      <c r="AI68">
        <v>260.60000000000002</v>
      </c>
      <c r="AJ68">
        <v>57.458320200000003</v>
      </c>
      <c r="AK68">
        <v>45.51</v>
      </c>
      <c r="AL68">
        <v>76.5</v>
      </c>
      <c r="AM68">
        <v>1166</v>
      </c>
      <c r="AN68">
        <v>494.6</v>
      </c>
      <c r="AO68">
        <v>6160</v>
      </c>
      <c r="AP68">
        <v>90.74</v>
      </c>
      <c r="AQ68">
        <v>177.02261849999999</v>
      </c>
    </row>
    <row r="69" spans="2:43" x14ac:dyDescent="0.2">
      <c r="B69" s="3">
        <v>45867</v>
      </c>
      <c r="C69">
        <v>1006</v>
      </c>
      <c r="D69">
        <v>97.9</v>
      </c>
      <c r="E69">
        <v>3.1070000000000002</v>
      </c>
      <c r="F69">
        <v>10.81</v>
      </c>
      <c r="G69">
        <v>82.06</v>
      </c>
      <c r="H69">
        <v>8.4060000000000006</v>
      </c>
      <c r="I69">
        <v>33.299999999999997</v>
      </c>
      <c r="J69">
        <v>71.900000000000006</v>
      </c>
      <c r="K69">
        <v>47.57</v>
      </c>
      <c r="L69">
        <v>367.2</v>
      </c>
      <c r="M69">
        <v>86</v>
      </c>
      <c r="N69">
        <v>83.42</v>
      </c>
      <c r="O69">
        <v>6.9349999999999996</v>
      </c>
      <c r="P69">
        <v>163.25</v>
      </c>
      <c r="Q69">
        <v>12.93</v>
      </c>
      <c r="R69">
        <v>16160</v>
      </c>
      <c r="S69">
        <v>0.40720000000000001</v>
      </c>
      <c r="T69">
        <v>132.9</v>
      </c>
      <c r="U69">
        <v>9.6999999999999993</v>
      </c>
      <c r="V69">
        <v>14.28</v>
      </c>
      <c r="W69" s="3">
        <v>45867</v>
      </c>
      <c r="X69">
        <v>2598</v>
      </c>
      <c r="Y69">
        <v>652.5</v>
      </c>
      <c r="Z69">
        <v>86</v>
      </c>
      <c r="AA69">
        <v>5.0780000000000003</v>
      </c>
      <c r="AB69">
        <v>580.20000000000005</v>
      </c>
      <c r="AC69">
        <v>143.9</v>
      </c>
      <c r="AD69">
        <v>135.65</v>
      </c>
      <c r="AE69">
        <v>3499</v>
      </c>
      <c r="AF69">
        <v>184.6</v>
      </c>
      <c r="AG69">
        <v>5078</v>
      </c>
      <c r="AH69">
        <v>3226</v>
      </c>
      <c r="AI69">
        <v>259.5</v>
      </c>
      <c r="AJ69">
        <v>57.361097999999998</v>
      </c>
      <c r="AK69">
        <v>44.89</v>
      </c>
      <c r="AL69">
        <v>75.95</v>
      </c>
      <c r="AM69">
        <v>1161</v>
      </c>
      <c r="AN69">
        <v>488.6</v>
      </c>
      <c r="AO69">
        <v>6195</v>
      </c>
      <c r="AP69">
        <v>89.82</v>
      </c>
      <c r="AQ69">
        <v>173.96571299999999</v>
      </c>
    </row>
    <row r="70" spans="2:43" x14ac:dyDescent="0.2">
      <c r="B70" s="3">
        <v>45868</v>
      </c>
      <c r="C70">
        <v>988</v>
      </c>
      <c r="D70">
        <v>102</v>
      </c>
      <c r="E70">
        <v>3.1059999999999999</v>
      </c>
      <c r="F70">
        <v>10.955</v>
      </c>
      <c r="G70">
        <v>82.78</v>
      </c>
      <c r="H70">
        <v>8.67</v>
      </c>
      <c r="I70">
        <v>33.6</v>
      </c>
      <c r="J70">
        <v>73.650000000000006</v>
      </c>
      <c r="K70">
        <v>47.76</v>
      </c>
      <c r="L70">
        <v>364.9</v>
      </c>
      <c r="M70">
        <v>84.82</v>
      </c>
      <c r="N70">
        <v>84.7</v>
      </c>
      <c r="O70">
        <v>6.96</v>
      </c>
      <c r="P70">
        <v>161.55000000000001</v>
      </c>
      <c r="Q70">
        <v>12.65</v>
      </c>
      <c r="R70">
        <v>16875</v>
      </c>
      <c r="S70">
        <v>0.40429999999999999</v>
      </c>
      <c r="T70">
        <v>133.35</v>
      </c>
      <c r="U70">
        <v>9.35</v>
      </c>
      <c r="V70">
        <v>13.65</v>
      </c>
      <c r="W70" s="3">
        <v>45868</v>
      </c>
      <c r="X70">
        <v>2549</v>
      </c>
      <c r="Y70">
        <v>649</v>
      </c>
      <c r="Z70">
        <v>78.16</v>
      </c>
      <c r="AA70">
        <v>5.05</v>
      </c>
      <c r="AB70">
        <v>574.20000000000005</v>
      </c>
      <c r="AC70">
        <v>144.80000000000001</v>
      </c>
      <c r="AD70">
        <v>137.5</v>
      </c>
      <c r="AE70">
        <v>3447</v>
      </c>
      <c r="AF70">
        <v>184.2</v>
      </c>
      <c r="AG70">
        <v>5070</v>
      </c>
      <c r="AH70">
        <v>3238</v>
      </c>
      <c r="AI70">
        <v>259.60000000000002</v>
      </c>
      <c r="AJ70">
        <v>57.263875800000001</v>
      </c>
      <c r="AK70">
        <v>46.47</v>
      </c>
      <c r="AL70">
        <v>74.8</v>
      </c>
      <c r="AM70">
        <v>1169.5</v>
      </c>
      <c r="AN70">
        <v>491.6</v>
      </c>
      <c r="AO70">
        <v>6330</v>
      </c>
      <c r="AP70">
        <v>88.78</v>
      </c>
      <c r="AQ70">
        <v>172.63179059999999</v>
      </c>
    </row>
    <row r="71" spans="2:43" x14ac:dyDescent="0.2">
      <c r="B71" s="3">
        <v>45869</v>
      </c>
      <c r="C71">
        <v>1072</v>
      </c>
      <c r="D71">
        <v>102</v>
      </c>
      <c r="E71">
        <v>3.2410000000000001</v>
      </c>
      <c r="F71">
        <v>11.2</v>
      </c>
      <c r="G71">
        <v>82.38</v>
      </c>
      <c r="H71">
        <v>8.6359999999999992</v>
      </c>
      <c r="I71">
        <v>33.56</v>
      </c>
      <c r="J71">
        <v>74.349999999999994</v>
      </c>
      <c r="K71">
        <v>46.73</v>
      </c>
      <c r="L71">
        <v>359.5</v>
      </c>
      <c r="M71">
        <v>84.52</v>
      </c>
      <c r="N71">
        <v>85.24</v>
      </c>
      <c r="O71">
        <v>6.95</v>
      </c>
      <c r="P71">
        <v>164.6</v>
      </c>
      <c r="Q71">
        <v>12.62</v>
      </c>
      <c r="R71">
        <v>16690</v>
      </c>
      <c r="S71">
        <v>0.4037</v>
      </c>
      <c r="T71">
        <v>127.8</v>
      </c>
      <c r="U71">
        <v>9.01</v>
      </c>
      <c r="V71">
        <v>13.68</v>
      </c>
      <c r="W71" s="3">
        <v>45869</v>
      </c>
      <c r="X71">
        <v>2612</v>
      </c>
      <c r="Y71">
        <v>642.5</v>
      </c>
      <c r="Z71">
        <v>79.5</v>
      </c>
      <c r="AA71">
        <v>5.0739999999999998</v>
      </c>
      <c r="AB71">
        <v>572</v>
      </c>
      <c r="AC71">
        <v>144.5</v>
      </c>
      <c r="AD71">
        <v>136.69999999999999</v>
      </c>
      <c r="AE71">
        <v>3411</v>
      </c>
      <c r="AF71">
        <v>184</v>
      </c>
      <c r="AG71">
        <v>5078</v>
      </c>
      <c r="AH71">
        <v>3252</v>
      </c>
      <c r="AI71">
        <v>257.10000000000002</v>
      </c>
      <c r="AJ71">
        <v>58.333320000000001</v>
      </c>
      <c r="AK71">
        <v>45.12</v>
      </c>
      <c r="AL71">
        <v>73.599999999999994</v>
      </c>
      <c r="AM71">
        <v>1308.5</v>
      </c>
      <c r="AN71">
        <v>498.4</v>
      </c>
      <c r="AO71">
        <v>6345</v>
      </c>
      <c r="AP71">
        <v>88.08</v>
      </c>
      <c r="AQ71">
        <v>171.3534483</v>
      </c>
    </row>
    <row r="72" spans="2:43" x14ac:dyDescent="0.2">
      <c r="B72" s="3">
        <v>45870</v>
      </c>
      <c r="C72">
        <v>1065</v>
      </c>
      <c r="D72">
        <v>97.92</v>
      </c>
      <c r="E72">
        <v>3.12</v>
      </c>
      <c r="F72">
        <v>10.86</v>
      </c>
      <c r="G72">
        <v>81.16</v>
      </c>
      <c r="H72">
        <v>8.2959999999999994</v>
      </c>
      <c r="I72">
        <v>33.56</v>
      </c>
      <c r="J72" s="2" t="s">
        <v>20</v>
      </c>
      <c r="K72" s="2" t="s">
        <v>20</v>
      </c>
      <c r="L72">
        <v>365.4</v>
      </c>
      <c r="M72">
        <v>81.34</v>
      </c>
      <c r="N72">
        <v>84.18</v>
      </c>
      <c r="O72">
        <v>6.58</v>
      </c>
      <c r="P72">
        <v>165.5</v>
      </c>
      <c r="Q72">
        <v>12.27</v>
      </c>
      <c r="R72">
        <v>16185</v>
      </c>
      <c r="S72">
        <v>0.40360000000000001</v>
      </c>
      <c r="T72">
        <v>126.5</v>
      </c>
      <c r="U72">
        <v>8.82</v>
      </c>
      <c r="V72">
        <v>13.21</v>
      </c>
      <c r="W72" s="3">
        <v>45870</v>
      </c>
      <c r="X72">
        <v>2627</v>
      </c>
      <c r="Y72" s="2" t="s">
        <v>20</v>
      </c>
      <c r="Z72">
        <v>78.22</v>
      </c>
      <c r="AA72">
        <v>5.0819999999999999</v>
      </c>
      <c r="AB72" s="2" t="s">
        <v>20</v>
      </c>
      <c r="AC72">
        <v>141.69999999999999</v>
      </c>
      <c r="AD72">
        <v>133.1</v>
      </c>
      <c r="AE72" s="2" t="s">
        <v>20</v>
      </c>
      <c r="AF72" s="2" t="s">
        <v>20</v>
      </c>
      <c r="AG72">
        <v>4997</v>
      </c>
      <c r="AH72">
        <v>3216</v>
      </c>
      <c r="AI72" s="2" t="s">
        <v>20</v>
      </c>
      <c r="AJ72">
        <v>59.111097600000001</v>
      </c>
      <c r="AK72">
        <v>44.44</v>
      </c>
      <c r="AL72">
        <v>72.05</v>
      </c>
      <c r="AM72">
        <v>1298</v>
      </c>
      <c r="AN72">
        <v>498.6</v>
      </c>
      <c r="AO72">
        <v>6235</v>
      </c>
      <c r="AP72">
        <v>86.34</v>
      </c>
      <c r="AQ72">
        <v>171.29786820000001</v>
      </c>
    </row>
    <row r="73" spans="2:43" x14ac:dyDescent="0.2">
      <c r="B73" s="3">
        <v>45873</v>
      </c>
      <c r="C73">
        <v>1090</v>
      </c>
      <c r="D73">
        <v>99.08</v>
      </c>
      <c r="E73">
        <v>3.1850000000000001</v>
      </c>
      <c r="F73">
        <v>11.105</v>
      </c>
      <c r="G73">
        <v>76.72</v>
      </c>
      <c r="H73">
        <v>8.44</v>
      </c>
      <c r="I73">
        <v>34.44</v>
      </c>
      <c r="J73">
        <v>73.150000000000006</v>
      </c>
      <c r="K73">
        <v>46.22</v>
      </c>
      <c r="L73">
        <v>355.8</v>
      </c>
      <c r="M73">
        <v>82.22</v>
      </c>
      <c r="N73">
        <v>86</v>
      </c>
      <c r="O73">
        <v>6.5949999999999998</v>
      </c>
      <c r="P73">
        <v>166</v>
      </c>
      <c r="Q73">
        <v>12.56</v>
      </c>
      <c r="R73">
        <v>16435</v>
      </c>
      <c r="S73">
        <v>0.40710000000000002</v>
      </c>
      <c r="T73">
        <v>126.8</v>
      </c>
      <c r="U73">
        <v>8.82</v>
      </c>
      <c r="V73">
        <v>13.29</v>
      </c>
      <c r="W73" s="3">
        <v>45873</v>
      </c>
      <c r="X73">
        <v>2590</v>
      </c>
      <c r="Y73">
        <v>640.5</v>
      </c>
      <c r="Z73">
        <v>80.98</v>
      </c>
      <c r="AA73">
        <v>5.13</v>
      </c>
      <c r="AB73">
        <v>565.6</v>
      </c>
      <c r="AC73">
        <v>144.19999999999999</v>
      </c>
      <c r="AD73">
        <v>133.75</v>
      </c>
      <c r="AE73">
        <v>3426</v>
      </c>
      <c r="AF73">
        <v>186.6</v>
      </c>
      <c r="AG73">
        <v>4970</v>
      </c>
      <c r="AH73">
        <v>3254</v>
      </c>
      <c r="AI73">
        <v>255</v>
      </c>
      <c r="AJ73">
        <v>58.6249866</v>
      </c>
      <c r="AK73">
        <v>44</v>
      </c>
      <c r="AL73">
        <v>72.25</v>
      </c>
      <c r="AM73">
        <v>1353</v>
      </c>
      <c r="AN73">
        <v>507</v>
      </c>
      <c r="AO73">
        <v>6130</v>
      </c>
      <c r="AP73">
        <v>86.34</v>
      </c>
      <c r="AQ73">
        <v>171.4646085</v>
      </c>
    </row>
    <row r="74" spans="2:43" x14ac:dyDescent="0.2">
      <c r="B74" s="3">
        <v>45874</v>
      </c>
      <c r="C74">
        <v>1073</v>
      </c>
      <c r="D74">
        <v>97.64</v>
      </c>
      <c r="E74">
        <v>3.16</v>
      </c>
      <c r="F74">
        <v>11.03</v>
      </c>
      <c r="G74">
        <v>76.48</v>
      </c>
      <c r="H74">
        <v>8.3420000000000005</v>
      </c>
      <c r="I74">
        <v>34.619999999999997</v>
      </c>
      <c r="J74">
        <v>73.75</v>
      </c>
      <c r="K74">
        <v>45.73</v>
      </c>
      <c r="L74">
        <v>349.8</v>
      </c>
      <c r="M74">
        <v>82.54</v>
      </c>
      <c r="N74">
        <v>87.2</v>
      </c>
      <c r="O74">
        <v>6.58</v>
      </c>
      <c r="P74">
        <v>164.6</v>
      </c>
      <c r="Q74">
        <v>12.79</v>
      </c>
      <c r="R74">
        <v>16205</v>
      </c>
      <c r="S74">
        <v>0.41420000000000001</v>
      </c>
      <c r="T74">
        <v>126.55</v>
      </c>
      <c r="U74">
        <v>9.09</v>
      </c>
      <c r="V74">
        <v>13.45</v>
      </c>
      <c r="W74" s="3">
        <v>45874</v>
      </c>
      <c r="X74">
        <v>2647</v>
      </c>
      <c r="Y74">
        <v>642.5</v>
      </c>
      <c r="Z74">
        <v>80.319999999999993</v>
      </c>
      <c r="AA74">
        <v>5.1680000000000001</v>
      </c>
      <c r="AB74">
        <v>557.6</v>
      </c>
      <c r="AC74">
        <v>147</v>
      </c>
      <c r="AD74">
        <v>131.4</v>
      </c>
      <c r="AE74">
        <v>3428</v>
      </c>
      <c r="AF74">
        <v>187.4</v>
      </c>
      <c r="AG74">
        <v>4990</v>
      </c>
      <c r="AH74">
        <v>3268</v>
      </c>
      <c r="AI74">
        <v>255.4</v>
      </c>
      <c r="AJ74">
        <v>58.916653199999999</v>
      </c>
      <c r="AK74">
        <v>44.31</v>
      </c>
      <c r="AL74">
        <v>72.5</v>
      </c>
      <c r="AM74">
        <v>1349</v>
      </c>
      <c r="AN74">
        <v>506.5</v>
      </c>
      <c r="AO74">
        <v>6155</v>
      </c>
      <c r="AP74">
        <v>86.74</v>
      </c>
      <c r="AQ74">
        <v>171.5757687</v>
      </c>
    </row>
    <row r="75" spans="2:43" x14ac:dyDescent="0.2">
      <c r="B75" s="3">
        <v>45875</v>
      </c>
      <c r="C75">
        <v>1088</v>
      </c>
      <c r="D75">
        <v>98.66</v>
      </c>
      <c r="E75">
        <v>3.2229999999999999</v>
      </c>
      <c r="F75">
        <v>11.27</v>
      </c>
      <c r="G75">
        <v>79.400000000000006</v>
      </c>
      <c r="H75">
        <v>8.61</v>
      </c>
      <c r="I75">
        <v>35.04</v>
      </c>
      <c r="J75">
        <v>73.8</v>
      </c>
      <c r="K75">
        <v>45.24</v>
      </c>
      <c r="L75">
        <v>348.1</v>
      </c>
      <c r="M75">
        <v>81.94</v>
      </c>
      <c r="N75">
        <v>88.22</v>
      </c>
      <c r="O75">
        <v>6.7750000000000004</v>
      </c>
      <c r="P75">
        <v>168.35</v>
      </c>
      <c r="Q75">
        <v>12.77</v>
      </c>
      <c r="R75">
        <v>16385</v>
      </c>
      <c r="S75">
        <v>0.4224</v>
      </c>
      <c r="T75">
        <v>128</v>
      </c>
      <c r="U75">
        <v>8.9949999999999992</v>
      </c>
      <c r="V75">
        <v>13.48</v>
      </c>
      <c r="W75" s="3">
        <v>45875</v>
      </c>
      <c r="X75">
        <v>2581</v>
      </c>
      <c r="Y75">
        <v>639.5</v>
      </c>
      <c r="Z75">
        <v>79.44</v>
      </c>
      <c r="AA75">
        <v>5.1619999999999999</v>
      </c>
      <c r="AB75">
        <v>545.4</v>
      </c>
      <c r="AC75">
        <v>145.1</v>
      </c>
      <c r="AD75">
        <v>123.6</v>
      </c>
      <c r="AE75">
        <v>3412</v>
      </c>
      <c r="AF75">
        <v>187</v>
      </c>
      <c r="AG75">
        <v>5026</v>
      </c>
      <c r="AH75">
        <v>3232</v>
      </c>
      <c r="AI75">
        <v>248.6</v>
      </c>
      <c r="AJ75">
        <v>59.111097600000001</v>
      </c>
      <c r="AK75">
        <v>44.62</v>
      </c>
      <c r="AL75">
        <v>73.349999999999994</v>
      </c>
      <c r="AM75">
        <v>1350</v>
      </c>
      <c r="AN75">
        <v>507</v>
      </c>
      <c r="AO75">
        <v>6065</v>
      </c>
      <c r="AP75">
        <v>87.48</v>
      </c>
      <c r="AQ75">
        <v>172.85411099999999</v>
      </c>
    </row>
    <row r="76" spans="2:43" x14ac:dyDescent="0.2">
      <c r="B76" s="3">
        <v>45876</v>
      </c>
      <c r="C76">
        <v>1077</v>
      </c>
      <c r="D76">
        <v>96.3</v>
      </c>
      <c r="E76">
        <v>3.2690000000000001</v>
      </c>
      <c r="F76">
        <v>11.29</v>
      </c>
      <c r="G76">
        <v>81.5</v>
      </c>
      <c r="H76">
        <v>8.6419999999999995</v>
      </c>
      <c r="I76">
        <v>34.74</v>
      </c>
      <c r="J76">
        <v>74.75</v>
      </c>
      <c r="K76">
        <v>50.52</v>
      </c>
      <c r="L76">
        <v>353</v>
      </c>
      <c r="M76">
        <v>82.56</v>
      </c>
      <c r="N76">
        <v>88.66</v>
      </c>
      <c r="O76">
        <v>6.92</v>
      </c>
      <c r="P76">
        <v>166.85</v>
      </c>
      <c r="Q76">
        <v>12.95</v>
      </c>
      <c r="R76">
        <v>16430</v>
      </c>
      <c r="S76">
        <v>0.42780000000000001</v>
      </c>
      <c r="T76">
        <v>133.15</v>
      </c>
      <c r="U76">
        <v>9.1950000000000003</v>
      </c>
      <c r="V76">
        <v>13.38</v>
      </c>
      <c r="W76" s="3">
        <v>45876</v>
      </c>
      <c r="X76">
        <v>2594</v>
      </c>
      <c r="Y76">
        <v>651.5</v>
      </c>
      <c r="Z76">
        <v>80</v>
      </c>
      <c r="AA76">
        <v>5.1159999999999997</v>
      </c>
      <c r="AB76">
        <v>549.79999999999995</v>
      </c>
      <c r="AC76">
        <v>150.80000000000001</v>
      </c>
      <c r="AD76">
        <v>124.2</v>
      </c>
      <c r="AE76">
        <v>3415</v>
      </c>
      <c r="AF76">
        <v>185.6</v>
      </c>
      <c r="AG76">
        <v>5014</v>
      </c>
      <c r="AH76">
        <v>3316</v>
      </c>
      <c r="AI76">
        <v>249.1</v>
      </c>
      <c r="AJ76">
        <v>59.208319799999998</v>
      </c>
      <c r="AK76">
        <v>44.77</v>
      </c>
      <c r="AL76">
        <v>74.150000000000006</v>
      </c>
      <c r="AM76">
        <v>1300</v>
      </c>
      <c r="AN76">
        <v>499.4</v>
      </c>
      <c r="AO76">
        <v>6140</v>
      </c>
      <c r="AP76">
        <v>89.72</v>
      </c>
      <c r="AQ76">
        <v>171.6869289</v>
      </c>
    </row>
    <row r="77" spans="2:43" x14ac:dyDescent="0.2">
      <c r="B77" s="3">
        <v>45877</v>
      </c>
      <c r="C77">
        <v>1071.5</v>
      </c>
      <c r="D77">
        <v>96</v>
      </c>
      <c r="E77">
        <v>3.3130000000000002</v>
      </c>
      <c r="F77">
        <v>11.56</v>
      </c>
      <c r="G77">
        <v>83.52</v>
      </c>
      <c r="H77">
        <v>8.7200000000000006</v>
      </c>
      <c r="I77">
        <v>35.020000000000003</v>
      </c>
      <c r="J77">
        <v>75.25</v>
      </c>
      <c r="K77">
        <v>47.29</v>
      </c>
      <c r="L77">
        <v>355.2</v>
      </c>
      <c r="M77">
        <v>82.38</v>
      </c>
      <c r="N77">
        <v>88.72</v>
      </c>
      <c r="O77">
        <v>6.98</v>
      </c>
      <c r="P77">
        <v>165.4</v>
      </c>
      <c r="Q77">
        <v>13.13</v>
      </c>
      <c r="R77">
        <v>16835</v>
      </c>
      <c r="S77">
        <v>0.43309999999999998</v>
      </c>
      <c r="T77">
        <v>135.25</v>
      </c>
      <c r="U77">
        <v>9.18</v>
      </c>
      <c r="V77">
        <v>13.55</v>
      </c>
      <c r="W77" s="3">
        <v>45877</v>
      </c>
      <c r="X77">
        <v>2569</v>
      </c>
      <c r="Y77">
        <v>645</v>
      </c>
      <c r="Z77">
        <v>79.459999999999994</v>
      </c>
      <c r="AA77">
        <v>5.1040000000000001</v>
      </c>
      <c r="AB77">
        <v>544.6</v>
      </c>
      <c r="AC77">
        <v>151.1</v>
      </c>
      <c r="AD77">
        <v>118.8</v>
      </c>
      <c r="AE77">
        <v>3396</v>
      </c>
      <c r="AF77">
        <v>183.2</v>
      </c>
      <c r="AG77">
        <v>5062</v>
      </c>
      <c r="AH77">
        <v>3280</v>
      </c>
      <c r="AI77">
        <v>246.4</v>
      </c>
      <c r="AJ77">
        <v>58.527764400000002</v>
      </c>
      <c r="AK77">
        <v>44.92</v>
      </c>
      <c r="AL77">
        <v>74.55</v>
      </c>
      <c r="AM77">
        <v>1294.5</v>
      </c>
      <c r="AN77">
        <v>496.6</v>
      </c>
      <c r="AO77">
        <v>6150</v>
      </c>
      <c r="AP77">
        <v>89.88</v>
      </c>
      <c r="AQ77">
        <v>171.52018860000001</v>
      </c>
    </row>
    <row r="78" spans="2:43" x14ac:dyDescent="0.2">
      <c r="B78" s="3">
        <v>45880</v>
      </c>
      <c r="C78">
        <v>1082</v>
      </c>
      <c r="D78">
        <v>99.52</v>
      </c>
      <c r="E78">
        <v>3.3359999999999999</v>
      </c>
      <c r="F78">
        <v>11.645</v>
      </c>
      <c r="G78">
        <v>82.88</v>
      </c>
      <c r="H78">
        <v>8.7940000000000005</v>
      </c>
      <c r="I78">
        <v>34.92</v>
      </c>
      <c r="J78">
        <v>75.099999999999994</v>
      </c>
      <c r="K78">
        <v>47.04</v>
      </c>
      <c r="L78">
        <v>352.8</v>
      </c>
      <c r="M78">
        <v>82.02</v>
      </c>
      <c r="N78">
        <v>89.06</v>
      </c>
      <c r="O78">
        <v>6.9550000000000001</v>
      </c>
      <c r="P78">
        <v>163.6</v>
      </c>
      <c r="Q78">
        <v>12.96</v>
      </c>
      <c r="R78">
        <v>16310</v>
      </c>
      <c r="S78">
        <v>0.44519999999999998</v>
      </c>
      <c r="T78">
        <v>133.94999999999999</v>
      </c>
      <c r="U78">
        <v>9.17</v>
      </c>
      <c r="V78">
        <v>13.05</v>
      </c>
      <c r="W78" s="3">
        <v>45880</v>
      </c>
      <c r="X78">
        <v>2478</v>
      </c>
      <c r="Y78">
        <v>637</v>
      </c>
      <c r="Z78">
        <v>78.84</v>
      </c>
      <c r="AA78">
        <v>5.1120000000000001</v>
      </c>
      <c r="AB78">
        <v>541.20000000000005</v>
      </c>
      <c r="AC78">
        <v>149.19999999999999</v>
      </c>
      <c r="AD78">
        <v>116.6</v>
      </c>
      <c r="AE78">
        <v>3363</v>
      </c>
      <c r="AF78">
        <v>184.8</v>
      </c>
      <c r="AG78">
        <v>4996</v>
      </c>
      <c r="AH78">
        <v>3258</v>
      </c>
      <c r="AI78">
        <v>246.3</v>
      </c>
      <c r="AJ78">
        <v>58.333320000000001</v>
      </c>
      <c r="AK78">
        <v>43.35</v>
      </c>
      <c r="AL78">
        <v>74.45</v>
      </c>
      <c r="AM78">
        <v>1301</v>
      </c>
      <c r="AN78">
        <v>496</v>
      </c>
      <c r="AO78">
        <v>6060</v>
      </c>
      <c r="AP78">
        <v>89.22</v>
      </c>
      <c r="AQ78">
        <v>120.6643971</v>
      </c>
    </row>
    <row r="79" spans="2:43" x14ac:dyDescent="0.2">
      <c r="B79" s="3">
        <v>45881</v>
      </c>
      <c r="C79">
        <v>1090.5</v>
      </c>
      <c r="D79">
        <v>103.7</v>
      </c>
      <c r="E79">
        <v>3.3690000000000002</v>
      </c>
      <c r="F79">
        <v>11.695</v>
      </c>
      <c r="G79">
        <v>83.38</v>
      </c>
      <c r="H79">
        <v>8.9580000000000002</v>
      </c>
      <c r="I79">
        <v>34.64</v>
      </c>
      <c r="J79">
        <v>76.2</v>
      </c>
      <c r="K79">
        <v>47.88</v>
      </c>
      <c r="L79">
        <v>355</v>
      </c>
      <c r="M79">
        <v>82.18</v>
      </c>
      <c r="N79">
        <v>88.54</v>
      </c>
      <c r="O79">
        <v>7.1</v>
      </c>
      <c r="P79">
        <v>162.65</v>
      </c>
      <c r="Q79">
        <v>13.13</v>
      </c>
      <c r="R79">
        <v>16260</v>
      </c>
      <c r="S79">
        <v>0.44800000000000001</v>
      </c>
      <c r="T79">
        <v>135.94999999999999</v>
      </c>
      <c r="U79">
        <v>8.8849999999999998</v>
      </c>
      <c r="V79">
        <v>13.05</v>
      </c>
      <c r="W79" s="3">
        <v>45881</v>
      </c>
      <c r="X79">
        <v>2451</v>
      </c>
      <c r="Y79">
        <v>623.5</v>
      </c>
      <c r="Z79">
        <v>78.52</v>
      </c>
      <c r="AA79">
        <v>5.1159999999999997</v>
      </c>
      <c r="AB79">
        <v>546</v>
      </c>
      <c r="AC79">
        <v>151.4</v>
      </c>
      <c r="AD79">
        <v>115.75</v>
      </c>
      <c r="AE79">
        <v>3366</v>
      </c>
      <c r="AF79">
        <v>183.6</v>
      </c>
      <c r="AG79">
        <v>5194</v>
      </c>
      <c r="AH79">
        <v>3276</v>
      </c>
      <c r="AI79">
        <v>246.4</v>
      </c>
      <c r="AJ79">
        <v>58.138875599999999</v>
      </c>
      <c r="AK79">
        <v>44.56</v>
      </c>
      <c r="AL79">
        <v>74.55</v>
      </c>
      <c r="AM79">
        <v>1314</v>
      </c>
      <c r="AN79">
        <v>478.2</v>
      </c>
      <c r="AO79">
        <v>6845</v>
      </c>
      <c r="AP79">
        <v>88.04</v>
      </c>
      <c r="AQ79">
        <v>118.88583389999999</v>
      </c>
    </row>
    <row r="80" spans="2:43" x14ac:dyDescent="0.2">
      <c r="B80" s="3">
        <v>45882</v>
      </c>
      <c r="C80">
        <v>1081.5</v>
      </c>
      <c r="D80">
        <v>98.48</v>
      </c>
      <c r="E80">
        <v>3.4180000000000001</v>
      </c>
      <c r="F80">
        <v>11.85</v>
      </c>
      <c r="G80">
        <v>85.14</v>
      </c>
      <c r="H80">
        <v>9.1479999999999997</v>
      </c>
      <c r="I80">
        <v>35.1</v>
      </c>
      <c r="J80">
        <v>73.95</v>
      </c>
      <c r="K80">
        <v>47.83</v>
      </c>
      <c r="L80">
        <v>359</v>
      </c>
      <c r="M80">
        <v>82.36</v>
      </c>
      <c r="N80">
        <v>89.04</v>
      </c>
      <c r="O80">
        <v>7.165</v>
      </c>
      <c r="P80">
        <v>162.1</v>
      </c>
      <c r="Q80">
        <v>13.51</v>
      </c>
      <c r="R80">
        <v>16505</v>
      </c>
      <c r="S80">
        <v>0.44629999999999997</v>
      </c>
      <c r="T80">
        <v>136.75</v>
      </c>
      <c r="U80">
        <v>9</v>
      </c>
      <c r="V80">
        <v>13.1</v>
      </c>
      <c r="W80" s="3">
        <v>45882</v>
      </c>
      <c r="X80">
        <v>2488</v>
      </c>
      <c r="Y80">
        <v>623</v>
      </c>
      <c r="Z80">
        <v>79.260000000000005</v>
      </c>
      <c r="AA80">
        <v>5.1420000000000003</v>
      </c>
      <c r="AB80">
        <v>550.6</v>
      </c>
      <c r="AC80">
        <v>151.1</v>
      </c>
      <c r="AD80">
        <v>112</v>
      </c>
      <c r="AE80">
        <v>3335</v>
      </c>
      <c r="AF80">
        <v>183.2</v>
      </c>
      <c r="AG80">
        <v>5250</v>
      </c>
      <c r="AH80">
        <v>3286</v>
      </c>
      <c r="AI80">
        <v>249.7</v>
      </c>
      <c r="AJ80">
        <v>58.041653400000001</v>
      </c>
      <c r="AK80">
        <v>44.5</v>
      </c>
      <c r="AL80">
        <v>74.900000000000006</v>
      </c>
      <c r="AM80">
        <v>1284</v>
      </c>
      <c r="AN80">
        <v>480.2</v>
      </c>
      <c r="AO80">
        <v>7050</v>
      </c>
      <c r="AP80">
        <v>87.48</v>
      </c>
      <c r="AQ80">
        <v>115.49544779999999</v>
      </c>
    </row>
    <row r="81" spans="2:43" x14ac:dyDescent="0.2">
      <c r="B81" s="3">
        <v>45883</v>
      </c>
      <c r="C81">
        <v>1101.5</v>
      </c>
      <c r="D81">
        <v>97.82</v>
      </c>
      <c r="E81">
        <v>3.4380000000000002</v>
      </c>
      <c r="F81">
        <v>11.945</v>
      </c>
      <c r="G81">
        <v>83.28</v>
      </c>
      <c r="H81">
        <v>9.1</v>
      </c>
      <c r="I81">
        <v>34.54</v>
      </c>
      <c r="J81">
        <v>74.400000000000006</v>
      </c>
      <c r="K81">
        <v>47.38</v>
      </c>
      <c r="L81">
        <v>357.9</v>
      </c>
      <c r="M81">
        <v>82.34</v>
      </c>
      <c r="N81">
        <v>88.72</v>
      </c>
      <c r="O81">
        <v>7.38</v>
      </c>
      <c r="P81">
        <v>168.1</v>
      </c>
      <c r="Q81">
        <v>13.38</v>
      </c>
      <c r="R81">
        <v>16380</v>
      </c>
      <c r="S81">
        <v>0.45879999999999999</v>
      </c>
      <c r="T81">
        <v>131.55000000000001</v>
      </c>
      <c r="U81">
        <v>9.1349999999999998</v>
      </c>
      <c r="V81">
        <v>13.06</v>
      </c>
      <c r="W81" s="3">
        <v>45883</v>
      </c>
      <c r="X81">
        <v>2483</v>
      </c>
      <c r="Y81">
        <v>617.5</v>
      </c>
      <c r="Z81">
        <v>79.66</v>
      </c>
      <c r="AA81">
        <v>5.21</v>
      </c>
      <c r="AB81">
        <v>551.6</v>
      </c>
      <c r="AC81">
        <v>153.69999999999999</v>
      </c>
      <c r="AD81">
        <v>113.7</v>
      </c>
      <c r="AE81">
        <v>3320</v>
      </c>
      <c r="AF81">
        <v>183.6</v>
      </c>
      <c r="AG81">
        <v>5302</v>
      </c>
      <c r="AH81">
        <v>3232</v>
      </c>
      <c r="AI81">
        <v>250.1</v>
      </c>
      <c r="AJ81">
        <v>57.847208999999999</v>
      </c>
      <c r="AK81">
        <v>44.2</v>
      </c>
      <c r="AL81">
        <v>75.45</v>
      </c>
      <c r="AM81">
        <v>1303.5</v>
      </c>
      <c r="AN81">
        <v>481.8</v>
      </c>
      <c r="AO81">
        <v>7065</v>
      </c>
      <c r="AP81">
        <v>87.16</v>
      </c>
      <c r="AQ81">
        <v>113.0499234</v>
      </c>
    </row>
    <row r="82" spans="2:43" x14ac:dyDescent="0.2">
      <c r="B82" s="3">
        <v>45884</v>
      </c>
      <c r="C82">
        <v>1074</v>
      </c>
      <c r="D82">
        <v>94.84</v>
      </c>
      <c r="E82">
        <v>3.4449999999999998</v>
      </c>
      <c r="F82" s="2" t="s">
        <v>20</v>
      </c>
      <c r="G82" s="2" t="s">
        <v>20</v>
      </c>
      <c r="H82" s="2" t="s">
        <v>20</v>
      </c>
      <c r="I82">
        <v>34.76</v>
      </c>
      <c r="J82">
        <v>72.8</v>
      </c>
      <c r="K82">
        <v>47.94</v>
      </c>
      <c r="L82">
        <v>356.4</v>
      </c>
      <c r="M82">
        <v>82.86</v>
      </c>
      <c r="N82">
        <v>90.1</v>
      </c>
      <c r="O82">
        <v>7.35</v>
      </c>
      <c r="P82">
        <v>166.8</v>
      </c>
      <c r="Q82">
        <v>13.36</v>
      </c>
      <c r="R82" s="2" t="s">
        <v>20</v>
      </c>
      <c r="S82" s="2" t="s">
        <v>20</v>
      </c>
      <c r="T82" s="2" t="s">
        <v>20</v>
      </c>
      <c r="U82">
        <v>9.06</v>
      </c>
      <c r="V82">
        <v>12.95</v>
      </c>
      <c r="W82" s="3">
        <v>45884</v>
      </c>
      <c r="X82">
        <v>2504</v>
      </c>
      <c r="Y82">
        <v>613</v>
      </c>
      <c r="Z82">
        <v>79.84</v>
      </c>
      <c r="AA82" s="2" t="s">
        <v>20</v>
      </c>
      <c r="AB82">
        <v>554.4</v>
      </c>
      <c r="AC82">
        <v>154.5</v>
      </c>
      <c r="AD82">
        <v>113.45</v>
      </c>
      <c r="AE82">
        <v>3326</v>
      </c>
      <c r="AF82">
        <v>182.2</v>
      </c>
      <c r="AG82">
        <v>5328</v>
      </c>
      <c r="AH82">
        <v>3210</v>
      </c>
      <c r="AI82">
        <v>256</v>
      </c>
      <c r="AJ82">
        <v>57.944431199999997</v>
      </c>
      <c r="AK82">
        <v>45.4</v>
      </c>
      <c r="AL82">
        <v>75.599999999999994</v>
      </c>
      <c r="AM82">
        <v>1297.5</v>
      </c>
      <c r="AN82">
        <v>475.8</v>
      </c>
      <c r="AO82">
        <v>7070</v>
      </c>
      <c r="AP82">
        <v>86.74</v>
      </c>
      <c r="AQ82">
        <v>116.1068289</v>
      </c>
    </row>
    <row r="83" spans="2:43" x14ac:dyDescent="0.2">
      <c r="B83" s="3">
        <v>45887</v>
      </c>
      <c r="C83">
        <v>1082</v>
      </c>
      <c r="D83">
        <v>96.82</v>
      </c>
      <c r="E83">
        <v>3.4249999999999998</v>
      </c>
      <c r="F83">
        <v>11.914999999999999</v>
      </c>
      <c r="G83">
        <v>82.5</v>
      </c>
      <c r="H83">
        <v>9.0679999999999996</v>
      </c>
      <c r="I83">
        <v>34.840000000000003</v>
      </c>
      <c r="J83">
        <v>73.75</v>
      </c>
      <c r="K83">
        <v>48.29</v>
      </c>
      <c r="L83">
        <v>360.5</v>
      </c>
      <c r="M83">
        <v>82.82</v>
      </c>
      <c r="N83">
        <v>91.06</v>
      </c>
      <c r="O83">
        <v>7.3</v>
      </c>
      <c r="P83">
        <v>162.85</v>
      </c>
      <c r="Q83">
        <v>13.36</v>
      </c>
      <c r="R83">
        <v>16445</v>
      </c>
      <c r="S83">
        <v>0.46929999999999999</v>
      </c>
      <c r="T83">
        <v>131.5</v>
      </c>
      <c r="U83">
        <v>9.1649999999999991</v>
      </c>
      <c r="V83">
        <v>12.85</v>
      </c>
      <c r="W83" s="3">
        <v>45887</v>
      </c>
      <c r="X83">
        <v>2493</v>
      </c>
      <c r="Y83">
        <v>609</v>
      </c>
      <c r="Z83">
        <v>80.72</v>
      </c>
      <c r="AA83">
        <v>5.1859999999999999</v>
      </c>
      <c r="AB83">
        <v>555.79999999999995</v>
      </c>
      <c r="AC83">
        <v>153.9</v>
      </c>
      <c r="AD83">
        <v>112.95</v>
      </c>
      <c r="AE83">
        <v>3345</v>
      </c>
      <c r="AF83">
        <v>183.2</v>
      </c>
      <c r="AG83">
        <v>5306</v>
      </c>
      <c r="AH83">
        <v>3236</v>
      </c>
      <c r="AI83">
        <v>256</v>
      </c>
      <c r="AJ83">
        <v>57.944431199999997</v>
      </c>
      <c r="AK83">
        <v>43.95</v>
      </c>
      <c r="AL83">
        <v>75</v>
      </c>
      <c r="AM83">
        <v>1302</v>
      </c>
      <c r="AN83">
        <v>473.8</v>
      </c>
      <c r="AO83">
        <v>7115</v>
      </c>
      <c r="AP83">
        <v>85.46</v>
      </c>
      <c r="AQ83">
        <v>117.5519115</v>
      </c>
    </row>
    <row r="84" spans="2:43" x14ac:dyDescent="0.2">
      <c r="B84" s="3">
        <v>45888</v>
      </c>
      <c r="C84">
        <v>1059.5</v>
      </c>
      <c r="D84">
        <v>94.48</v>
      </c>
      <c r="E84">
        <v>3.4279999999999999</v>
      </c>
      <c r="F84">
        <v>11.96</v>
      </c>
      <c r="G84">
        <v>82.94</v>
      </c>
      <c r="H84">
        <v>9.1199999999999992</v>
      </c>
      <c r="I84">
        <v>34.92</v>
      </c>
      <c r="J84">
        <v>72.099999999999994</v>
      </c>
      <c r="K84">
        <v>48.91</v>
      </c>
      <c r="L84">
        <v>360.7</v>
      </c>
      <c r="M84">
        <v>84.26</v>
      </c>
      <c r="N84">
        <v>90.86</v>
      </c>
      <c r="O84">
        <v>7.375</v>
      </c>
      <c r="P84">
        <v>162.69999999999999</v>
      </c>
      <c r="Q84">
        <v>13.45</v>
      </c>
      <c r="R84">
        <v>16900</v>
      </c>
      <c r="S84">
        <v>0.47099999999999997</v>
      </c>
      <c r="T84">
        <v>132.6</v>
      </c>
      <c r="U84">
        <v>9.0950000000000006</v>
      </c>
      <c r="V84">
        <v>13.18</v>
      </c>
      <c r="W84" s="3">
        <v>45888</v>
      </c>
      <c r="X84">
        <v>2537</v>
      </c>
      <c r="Y84">
        <v>623</v>
      </c>
      <c r="Z84">
        <v>82.68</v>
      </c>
      <c r="AA84">
        <v>5.1619999999999999</v>
      </c>
      <c r="AB84">
        <v>560.20000000000005</v>
      </c>
      <c r="AC84">
        <v>155.9</v>
      </c>
      <c r="AD84">
        <v>112.35</v>
      </c>
      <c r="AE84">
        <v>3375</v>
      </c>
      <c r="AF84">
        <v>181.6</v>
      </c>
      <c r="AG84">
        <v>5376</v>
      </c>
      <c r="AH84">
        <v>3254</v>
      </c>
      <c r="AI84">
        <v>260.2</v>
      </c>
      <c r="AJ84">
        <v>57.944431199999997</v>
      </c>
      <c r="AK84">
        <v>45.5</v>
      </c>
      <c r="AL84">
        <v>76.05</v>
      </c>
      <c r="AM84">
        <v>1308</v>
      </c>
      <c r="AN84">
        <v>472.4</v>
      </c>
      <c r="AO84">
        <v>7255</v>
      </c>
      <c r="AP84">
        <v>86.74</v>
      </c>
      <c r="AQ84">
        <v>119.2193145</v>
      </c>
    </row>
    <row r="85" spans="2:43" x14ac:dyDescent="0.2">
      <c r="B85" s="3">
        <v>45889</v>
      </c>
      <c r="C85">
        <v>1026</v>
      </c>
      <c r="D85">
        <v>91.76</v>
      </c>
      <c r="E85">
        <v>3.4020000000000001</v>
      </c>
      <c r="F85">
        <v>11.92</v>
      </c>
      <c r="G85">
        <v>82.58</v>
      </c>
      <c r="H85">
        <v>9.09</v>
      </c>
      <c r="I85">
        <v>35.380000000000003</v>
      </c>
      <c r="J85">
        <v>70.349999999999994</v>
      </c>
      <c r="K85">
        <v>48.73</v>
      </c>
      <c r="L85">
        <v>369.2</v>
      </c>
      <c r="M85">
        <v>85.26</v>
      </c>
      <c r="N85">
        <v>91.32</v>
      </c>
      <c r="O85">
        <v>7.1950000000000003</v>
      </c>
      <c r="P85">
        <v>164.65</v>
      </c>
      <c r="Q85">
        <v>13.12</v>
      </c>
      <c r="R85">
        <v>16850</v>
      </c>
      <c r="S85">
        <v>0.46339999999999998</v>
      </c>
      <c r="T85">
        <v>131.55000000000001</v>
      </c>
      <c r="U85">
        <v>9</v>
      </c>
      <c r="V85">
        <v>13.2</v>
      </c>
      <c r="W85" s="3">
        <v>45889</v>
      </c>
      <c r="X85">
        <v>2558</v>
      </c>
      <c r="Y85">
        <v>624.5</v>
      </c>
      <c r="Z85">
        <v>84.2</v>
      </c>
      <c r="AA85">
        <v>5.258</v>
      </c>
      <c r="AB85">
        <v>572.20000000000005</v>
      </c>
      <c r="AC85">
        <v>155.4</v>
      </c>
      <c r="AD85">
        <v>118.1</v>
      </c>
      <c r="AE85">
        <v>3460</v>
      </c>
      <c r="AF85">
        <v>183.6</v>
      </c>
      <c r="AG85">
        <v>5332</v>
      </c>
      <c r="AH85">
        <v>3266</v>
      </c>
      <c r="AI85">
        <v>262.39999999999998</v>
      </c>
      <c r="AJ85">
        <v>58.819431000000002</v>
      </c>
      <c r="AK85">
        <v>44.88</v>
      </c>
      <c r="AL85">
        <v>76.099999999999994</v>
      </c>
      <c r="AM85">
        <v>1316.5</v>
      </c>
      <c r="AN85">
        <v>489.8</v>
      </c>
      <c r="AO85">
        <v>7220</v>
      </c>
      <c r="AP85">
        <v>86</v>
      </c>
      <c r="AQ85">
        <v>116.5514697</v>
      </c>
    </row>
    <row r="86" spans="2:43" x14ac:dyDescent="0.2">
      <c r="B86" s="3">
        <v>45890</v>
      </c>
      <c r="C86">
        <v>1040.5</v>
      </c>
      <c r="D86">
        <v>93</v>
      </c>
      <c r="E86">
        <v>3.4209999999999998</v>
      </c>
      <c r="F86">
        <v>12.05</v>
      </c>
      <c r="G86">
        <v>83.74</v>
      </c>
      <c r="H86">
        <v>9.1300000000000008</v>
      </c>
      <c r="I86">
        <v>35.299999999999997</v>
      </c>
      <c r="J86">
        <v>72</v>
      </c>
      <c r="K86">
        <v>49.22</v>
      </c>
      <c r="L86">
        <v>365.8</v>
      </c>
      <c r="M86">
        <v>84.24</v>
      </c>
      <c r="N86">
        <v>90.7</v>
      </c>
      <c r="O86">
        <v>7.1849999999999996</v>
      </c>
      <c r="P86">
        <v>165.5</v>
      </c>
      <c r="Q86">
        <v>13.1</v>
      </c>
      <c r="R86">
        <v>16915</v>
      </c>
      <c r="S86">
        <v>0.45960000000000001</v>
      </c>
      <c r="T86">
        <v>130.9</v>
      </c>
      <c r="U86">
        <v>8.9700000000000006</v>
      </c>
      <c r="V86">
        <v>13.18</v>
      </c>
      <c r="W86" s="3">
        <v>45890</v>
      </c>
      <c r="X86">
        <v>2512</v>
      </c>
      <c r="Y86">
        <v>619</v>
      </c>
      <c r="Z86">
        <v>83.36</v>
      </c>
      <c r="AA86">
        <v>5.274</v>
      </c>
      <c r="AB86">
        <v>567</v>
      </c>
      <c r="AC86">
        <v>155.5</v>
      </c>
      <c r="AD86">
        <v>114.75</v>
      </c>
      <c r="AE86">
        <v>3412</v>
      </c>
      <c r="AF86">
        <v>184.6</v>
      </c>
      <c r="AG86">
        <v>5354</v>
      </c>
      <c r="AH86">
        <v>3246</v>
      </c>
      <c r="AI86">
        <v>262.5</v>
      </c>
      <c r="AJ86">
        <v>58.722208799999997</v>
      </c>
      <c r="AK86">
        <v>43.83</v>
      </c>
      <c r="AL86">
        <v>75.900000000000006</v>
      </c>
      <c r="AM86">
        <v>1295</v>
      </c>
      <c r="AN86">
        <v>488.8</v>
      </c>
      <c r="AO86">
        <v>7250</v>
      </c>
      <c r="AP86">
        <v>85.64</v>
      </c>
      <c r="AQ86">
        <v>116.71821</v>
      </c>
    </row>
    <row r="87" spans="2:43" x14ac:dyDescent="0.2">
      <c r="B87" s="3">
        <v>45891</v>
      </c>
      <c r="C87">
        <v>1043</v>
      </c>
      <c r="D87">
        <v>92.9</v>
      </c>
      <c r="E87">
        <v>3.4209999999999998</v>
      </c>
      <c r="F87">
        <v>12.065</v>
      </c>
      <c r="G87">
        <v>73.5</v>
      </c>
      <c r="H87">
        <v>9.1460000000000008</v>
      </c>
      <c r="I87">
        <v>35.380000000000003</v>
      </c>
      <c r="J87">
        <v>71.650000000000006</v>
      </c>
      <c r="K87">
        <v>50.22</v>
      </c>
      <c r="L87">
        <v>364.5</v>
      </c>
      <c r="M87">
        <v>84.94</v>
      </c>
      <c r="N87">
        <v>91.7</v>
      </c>
      <c r="O87">
        <v>7.18</v>
      </c>
      <c r="P87">
        <v>165.1</v>
      </c>
      <c r="Q87">
        <v>13.13</v>
      </c>
      <c r="R87">
        <v>16875</v>
      </c>
      <c r="S87">
        <v>0.46089999999999998</v>
      </c>
      <c r="T87">
        <v>131.35</v>
      </c>
      <c r="U87">
        <v>9.01</v>
      </c>
      <c r="V87">
        <v>13.48</v>
      </c>
      <c r="W87" s="3">
        <v>45891</v>
      </c>
      <c r="X87">
        <v>2554</v>
      </c>
      <c r="Y87">
        <v>624</v>
      </c>
      <c r="Z87">
        <v>84.2</v>
      </c>
      <c r="AA87">
        <v>5.266</v>
      </c>
      <c r="AB87">
        <v>566.6</v>
      </c>
      <c r="AC87">
        <v>154.9</v>
      </c>
      <c r="AD87">
        <v>115.3</v>
      </c>
      <c r="AE87">
        <v>3430</v>
      </c>
      <c r="AF87">
        <v>181.6</v>
      </c>
      <c r="AG87">
        <v>5462</v>
      </c>
      <c r="AH87">
        <v>3260</v>
      </c>
      <c r="AI87">
        <v>261.5</v>
      </c>
      <c r="AJ87">
        <v>58.527764400000002</v>
      </c>
      <c r="AK87">
        <v>46.06</v>
      </c>
      <c r="AL87">
        <v>76.7</v>
      </c>
      <c r="AM87">
        <v>1308.5</v>
      </c>
      <c r="AN87">
        <v>492.6</v>
      </c>
      <c r="AO87">
        <v>7340</v>
      </c>
      <c r="AP87">
        <v>87.8</v>
      </c>
      <c r="AQ87">
        <v>118.99699409999999</v>
      </c>
    </row>
    <row r="88" spans="2:43" x14ac:dyDescent="0.2">
      <c r="B88" s="3">
        <v>45895</v>
      </c>
      <c r="C88">
        <v>1057.5</v>
      </c>
      <c r="D88">
        <v>93.82</v>
      </c>
      <c r="E88">
        <v>3.391</v>
      </c>
      <c r="F88">
        <v>11.9</v>
      </c>
      <c r="G88">
        <v>74.3</v>
      </c>
      <c r="H88">
        <v>9.0120000000000005</v>
      </c>
      <c r="I88">
        <v>34.159999999999997</v>
      </c>
      <c r="J88">
        <v>71.400000000000006</v>
      </c>
      <c r="K88">
        <v>49.92</v>
      </c>
      <c r="L88">
        <v>357.8</v>
      </c>
      <c r="M88">
        <v>83.38</v>
      </c>
      <c r="N88">
        <v>89.06</v>
      </c>
      <c r="O88">
        <v>7.09</v>
      </c>
      <c r="P88">
        <v>164.8</v>
      </c>
      <c r="Q88">
        <v>12.88</v>
      </c>
      <c r="R88">
        <v>17410</v>
      </c>
      <c r="S88">
        <v>0.4551</v>
      </c>
      <c r="T88">
        <v>131.75</v>
      </c>
      <c r="U88">
        <v>9.0449999999999999</v>
      </c>
      <c r="V88">
        <v>13.45</v>
      </c>
      <c r="W88" s="3">
        <v>45895</v>
      </c>
      <c r="X88">
        <v>2551</v>
      </c>
      <c r="Y88">
        <v>622</v>
      </c>
      <c r="Z88">
        <v>82.14</v>
      </c>
      <c r="AA88">
        <v>5.218</v>
      </c>
      <c r="AB88">
        <v>578.20000000000005</v>
      </c>
      <c r="AC88">
        <v>152.9</v>
      </c>
      <c r="AD88">
        <v>111.15</v>
      </c>
      <c r="AE88">
        <v>3405</v>
      </c>
      <c r="AF88">
        <v>182.2</v>
      </c>
      <c r="AG88">
        <v>5518</v>
      </c>
      <c r="AH88">
        <v>3312</v>
      </c>
      <c r="AI88">
        <v>259.2</v>
      </c>
      <c r="AJ88">
        <v>58.430542199999998</v>
      </c>
      <c r="AK88">
        <v>41.31</v>
      </c>
      <c r="AL88">
        <v>76.05</v>
      </c>
      <c r="AM88">
        <v>1302.5</v>
      </c>
      <c r="AN88">
        <v>482.8</v>
      </c>
      <c r="AO88">
        <v>7240</v>
      </c>
      <c r="AP88">
        <v>85.72</v>
      </c>
      <c r="AQ88">
        <v>105.26870940000001</v>
      </c>
    </row>
    <row r="89" spans="2:43" x14ac:dyDescent="0.2">
      <c r="B89" s="3">
        <v>45896</v>
      </c>
      <c r="C89">
        <v>1056.5</v>
      </c>
      <c r="D89">
        <v>91.28</v>
      </c>
      <c r="E89">
        <v>3.2669999999999999</v>
      </c>
      <c r="F89">
        <v>11.664999999999999</v>
      </c>
      <c r="G89">
        <v>73.78</v>
      </c>
      <c r="H89">
        <v>8.77</v>
      </c>
      <c r="I89">
        <v>33.54</v>
      </c>
      <c r="J89">
        <v>69.650000000000006</v>
      </c>
      <c r="K89">
        <v>50.52</v>
      </c>
      <c r="L89">
        <v>362.3</v>
      </c>
      <c r="M89">
        <v>83.32</v>
      </c>
      <c r="N89">
        <v>88.3</v>
      </c>
      <c r="O89">
        <v>7</v>
      </c>
      <c r="P89">
        <v>163.80000000000001</v>
      </c>
      <c r="Q89">
        <v>12.75</v>
      </c>
      <c r="R89">
        <v>17200</v>
      </c>
      <c r="S89">
        <v>0.45390000000000003</v>
      </c>
      <c r="T89">
        <v>128</v>
      </c>
      <c r="U89">
        <v>9.0150000000000006</v>
      </c>
      <c r="V89">
        <v>13.14</v>
      </c>
      <c r="W89" s="3">
        <v>45896</v>
      </c>
      <c r="X89">
        <v>2539</v>
      </c>
      <c r="Y89">
        <v>620.5</v>
      </c>
      <c r="Z89">
        <v>82.54</v>
      </c>
      <c r="AA89">
        <v>5.282</v>
      </c>
      <c r="AB89">
        <v>572.4</v>
      </c>
      <c r="AC89">
        <v>151.80000000000001</v>
      </c>
      <c r="AD89">
        <v>111.35</v>
      </c>
      <c r="AE89">
        <v>3379</v>
      </c>
      <c r="AF89">
        <v>181.6</v>
      </c>
      <c r="AG89">
        <v>5486</v>
      </c>
      <c r="AH89">
        <v>3282</v>
      </c>
      <c r="AI89">
        <v>262.60000000000002</v>
      </c>
      <c r="AJ89">
        <v>58.236097800000003</v>
      </c>
      <c r="AK89">
        <v>40.229999999999997</v>
      </c>
      <c r="AL89">
        <v>75.95</v>
      </c>
      <c r="AM89">
        <v>1299</v>
      </c>
      <c r="AN89">
        <v>482</v>
      </c>
      <c r="AO89">
        <v>7200</v>
      </c>
      <c r="AP89">
        <v>86.26</v>
      </c>
      <c r="AQ89">
        <v>105.07417905</v>
      </c>
    </row>
    <row r="90" spans="2:43" x14ac:dyDescent="0.2">
      <c r="B90" s="3">
        <v>45897</v>
      </c>
      <c r="C90">
        <v>1058.5</v>
      </c>
      <c r="D90">
        <v>92.42</v>
      </c>
      <c r="E90">
        <v>3.2629999999999999</v>
      </c>
      <c r="F90">
        <v>11.71</v>
      </c>
      <c r="G90">
        <v>73.2</v>
      </c>
      <c r="H90">
        <v>8.8819999999999997</v>
      </c>
      <c r="I90">
        <v>33.22</v>
      </c>
      <c r="J90">
        <v>69.05</v>
      </c>
      <c r="K90">
        <v>50.36</v>
      </c>
      <c r="L90">
        <v>360</v>
      </c>
      <c r="M90">
        <v>84.08</v>
      </c>
      <c r="N90">
        <v>88.26</v>
      </c>
      <c r="O90">
        <v>6.9950000000000001</v>
      </c>
      <c r="P90">
        <v>161.30000000000001</v>
      </c>
      <c r="Q90">
        <v>12.79</v>
      </c>
      <c r="R90">
        <v>17180</v>
      </c>
      <c r="S90">
        <v>0.41399999999999998</v>
      </c>
      <c r="T90">
        <v>128</v>
      </c>
      <c r="U90">
        <v>9.125</v>
      </c>
      <c r="V90">
        <v>12.97</v>
      </c>
      <c r="W90" s="3">
        <v>45897</v>
      </c>
      <c r="X90">
        <v>2522</v>
      </c>
      <c r="Y90">
        <v>621</v>
      </c>
      <c r="Z90">
        <v>82.68</v>
      </c>
      <c r="AA90">
        <v>5.2519999999999998</v>
      </c>
      <c r="AB90">
        <v>569.6</v>
      </c>
      <c r="AC90">
        <v>152.19999999999999</v>
      </c>
      <c r="AD90">
        <v>109.3</v>
      </c>
      <c r="AE90">
        <v>3381</v>
      </c>
      <c r="AF90">
        <v>180.8</v>
      </c>
      <c r="AG90">
        <v>5472</v>
      </c>
      <c r="AH90">
        <v>3300</v>
      </c>
      <c r="AI90">
        <v>261</v>
      </c>
      <c r="AJ90">
        <v>58.041653400000001</v>
      </c>
      <c r="AK90">
        <v>39.71</v>
      </c>
      <c r="AL90">
        <v>75.900000000000006</v>
      </c>
      <c r="AM90">
        <v>1292.5</v>
      </c>
      <c r="AN90">
        <v>476.4</v>
      </c>
      <c r="AO90">
        <v>7265</v>
      </c>
      <c r="AP90">
        <v>85.96</v>
      </c>
      <c r="AQ90">
        <v>110.9934597</v>
      </c>
    </row>
    <row r="91" spans="2:43" x14ac:dyDescent="0.2">
      <c r="B91" s="3">
        <v>45898</v>
      </c>
      <c r="C91">
        <v>1070</v>
      </c>
      <c r="D91">
        <v>90.72</v>
      </c>
      <c r="E91">
        <v>3.2450000000000001</v>
      </c>
      <c r="F91">
        <v>11.725</v>
      </c>
      <c r="G91">
        <v>71</v>
      </c>
      <c r="H91">
        <v>8.8780000000000001</v>
      </c>
      <c r="I91">
        <v>33.340000000000003</v>
      </c>
      <c r="J91">
        <v>68.8</v>
      </c>
      <c r="K91">
        <v>50.16</v>
      </c>
      <c r="L91">
        <v>362.9</v>
      </c>
      <c r="M91">
        <v>83.5</v>
      </c>
      <c r="N91">
        <v>88.8</v>
      </c>
      <c r="O91">
        <v>6.94</v>
      </c>
      <c r="P91">
        <v>160.94999999999999</v>
      </c>
      <c r="Q91">
        <v>12.41</v>
      </c>
      <c r="R91">
        <v>17250</v>
      </c>
      <c r="S91">
        <v>0.40960000000000002</v>
      </c>
      <c r="T91">
        <v>128</v>
      </c>
      <c r="U91">
        <v>9.0649999999999995</v>
      </c>
      <c r="V91">
        <v>12.74</v>
      </c>
      <c r="W91" s="3">
        <v>45898</v>
      </c>
      <c r="X91">
        <v>2508</v>
      </c>
      <c r="Y91">
        <v>613.5</v>
      </c>
      <c r="Z91">
        <v>82.78</v>
      </c>
      <c r="AA91">
        <v>5.2039999999999997</v>
      </c>
      <c r="AB91">
        <v>567</v>
      </c>
      <c r="AC91">
        <v>152.80000000000001</v>
      </c>
      <c r="AD91">
        <v>107.6</v>
      </c>
      <c r="AE91">
        <v>3370</v>
      </c>
      <c r="AF91">
        <v>181.2</v>
      </c>
      <c r="AG91">
        <v>5446</v>
      </c>
      <c r="AH91">
        <v>3288</v>
      </c>
      <c r="AI91">
        <v>260.3</v>
      </c>
      <c r="AJ91">
        <v>58.138875599999999</v>
      </c>
      <c r="AK91">
        <v>38.82</v>
      </c>
      <c r="AL91">
        <v>75.099999999999994</v>
      </c>
      <c r="AM91">
        <v>1269</v>
      </c>
      <c r="AN91">
        <v>473.6</v>
      </c>
      <c r="AO91">
        <v>7295</v>
      </c>
      <c r="AP91">
        <v>84.9</v>
      </c>
      <c r="AQ91">
        <v>107.35296314999999</v>
      </c>
    </row>
    <row r="92" spans="2:43" x14ac:dyDescent="0.2">
      <c r="B92" s="3">
        <v>45901</v>
      </c>
      <c r="C92">
        <v>1100</v>
      </c>
      <c r="D92">
        <v>89.62</v>
      </c>
      <c r="E92">
        <v>3.2509999999999999</v>
      </c>
      <c r="F92">
        <v>11.71</v>
      </c>
      <c r="G92">
        <v>70.12</v>
      </c>
      <c r="H92">
        <v>8.8960000000000008</v>
      </c>
      <c r="I92">
        <v>33.299999999999997</v>
      </c>
      <c r="J92">
        <v>68.400000000000006</v>
      </c>
      <c r="K92">
        <v>50.2</v>
      </c>
      <c r="L92">
        <v>360.7</v>
      </c>
      <c r="M92">
        <v>83.54</v>
      </c>
      <c r="N92">
        <v>88.88</v>
      </c>
      <c r="O92">
        <v>7.0350000000000001</v>
      </c>
      <c r="P92">
        <v>159.6</v>
      </c>
      <c r="Q92">
        <v>12.29</v>
      </c>
      <c r="R92">
        <v>17290</v>
      </c>
      <c r="S92">
        <v>0.42330000000000001</v>
      </c>
      <c r="T92">
        <v>129.4</v>
      </c>
      <c r="U92">
        <v>10.14</v>
      </c>
      <c r="V92">
        <v>12.73</v>
      </c>
      <c r="W92" s="3">
        <v>45901</v>
      </c>
      <c r="X92">
        <v>2495</v>
      </c>
      <c r="Y92">
        <v>610.5</v>
      </c>
      <c r="Z92">
        <v>82.88</v>
      </c>
      <c r="AA92">
        <v>5.1740000000000004</v>
      </c>
      <c r="AB92">
        <v>571</v>
      </c>
      <c r="AC92">
        <v>149.5</v>
      </c>
      <c r="AD92">
        <v>107</v>
      </c>
      <c r="AE92">
        <v>3392</v>
      </c>
      <c r="AF92">
        <v>181.6</v>
      </c>
      <c r="AG92">
        <v>5410</v>
      </c>
      <c r="AH92">
        <v>3270</v>
      </c>
      <c r="AI92">
        <v>260.2</v>
      </c>
      <c r="AJ92">
        <v>58.236097800000003</v>
      </c>
      <c r="AK92">
        <v>38.81</v>
      </c>
      <c r="AL92">
        <v>75.599999999999994</v>
      </c>
      <c r="AM92">
        <v>1266</v>
      </c>
      <c r="AN92">
        <v>466</v>
      </c>
      <c r="AO92">
        <v>7220</v>
      </c>
      <c r="AP92">
        <v>83.8</v>
      </c>
      <c r="AQ92">
        <v>111.1602</v>
      </c>
    </row>
    <row r="93" spans="2:43" x14ac:dyDescent="0.2">
      <c r="B93" s="3">
        <v>45902</v>
      </c>
      <c r="C93">
        <v>1069</v>
      </c>
      <c r="D93">
        <v>84.4</v>
      </c>
      <c r="E93">
        <v>3.1909999999999998</v>
      </c>
      <c r="F93">
        <v>11.6</v>
      </c>
      <c r="G93">
        <v>71.14</v>
      </c>
      <c r="H93">
        <v>8.7080000000000002</v>
      </c>
      <c r="I93">
        <v>32.76</v>
      </c>
      <c r="J93">
        <v>67.2</v>
      </c>
      <c r="K93">
        <v>49.19</v>
      </c>
      <c r="L93">
        <v>363.2</v>
      </c>
      <c r="M93">
        <v>82.66</v>
      </c>
      <c r="N93">
        <v>86.46</v>
      </c>
      <c r="O93">
        <v>7.0250000000000004</v>
      </c>
      <c r="P93">
        <v>155.35</v>
      </c>
      <c r="Q93">
        <v>10.75</v>
      </c>
      <c r="R93">
        <v>16965</v>
      </c>
      <c r="S93">
        <v>0.4199</v>
      </c>
      <c r="T93">
        <v>130.75</v>
      </c>
      <c r="U93">
        <v>9.8550000000000004</v>
      </c>
      <c r="V93">
        <v>12.36</v>
      </c>
      <c r="W93" s="3">
        <v>45902</v>
      </c>
      <c r="X93">
        <v>2485</v>
      </c>
      <c r="Y93">
        <v>601.5</v>
      </c>
      <c r="Z93">
        <v>82.92</v>
      </c>
      <c r="AA93">
        <v>5.0960000000000001</v>
      </c>
      <c r="AB93">
        <v>563.6</v>
      </c>
      <c r="AC93">
        <v>147</v>
      </c>
      <c r="AD93">
        <v>104.35</v>
      </c>
      <c r="AE93">
        <v>3398</v>
      </c>
      <c r="AF93">
        <v>181</v>
      </c>
      <c r="AG93">
        <v>5376</v>
      </c>
      <c r="AH93">
        <v>3218</v>
      </c>
      <c r="AI93">
        <v>262</v>
      </c>
      <c r="AJ93">
        <v>58.138875599999999</v>
      </c>
      <c r="AK93">
        <v>37.409999999999997</v>
      </c>
      <c r="AL93">
        <v>74.25</v>
      </c>
      <c r="AM93">
        <v>1220.5</v>
      </c>
      <c r="AN93">
        <v>446</v>
      </c>
      <c r="AO93">
        <v>7005</v>
      </c>
      <c r="AP93">
        <v>81.38</v>
      </c>
      <c r="AQ93">
        <v>111.3825204</v>
      </c>
    </row>
    <row r="94" spans="2:43" x14ac:dyDescent="0.2">
      <c r="B94" s="3">
        <v>45903</v>
      </c>
      <c r="C94">
        <v>1082</v>
      </c>
      <c r="D94">
        <v>85.94</v>
      </c>
      <c r="E94">
        <v>3.2149999999999999</v>
      </c>
      <c r="F94">
        <v>11.625</v>
      </c>
      <c r="G94">
        <v>71.62</v>
      </c>
      <c r="H94">
        <v>8.7579999999999991</v>
      </c>
      <c r="I94">
        <v>32.700000000000003</v>
      </c>
      <c r="J94">
        <v>67.2</v>
      </c>
      <c r="K94">
        <v>49.66</v>
      </c>
      <c r="L94">
        <v>370.7</v>
      </c>
      <c r="M94">
        <v>81.62</v>
      </c>
      <c r="N94">
        <v>86.78</v>
      </c>
      <c r="O94">
        <v>7.13</v>
      </c>
      <c r="P94">
        <v>154.9</v>
      </c>
      <c r="Q94">
        <v>10.66</v>
      </c>
      <c r="R94">
        <v>17050</v>
      </c>
      <c r="S94">
        <v>0.4173</v>
      </c>
      <c r="T94">
        <v>133.85</v>
      </c>
      <c r="U94">
        <v>9.7449999999999992</v>
      </c>
      <c r="V94">
        <v>12.34</v>
      </c>
      <c r="W94" s="3">
        <v>45903</v>
      </c>
      <c r="X94">
        <v>2465</v>
      </c>
      <c r="Y94">
        <v>606.5</v>
      </c>
      <c r="Z94">
        <v>83.44</v>
      </c>
      <c r="AA94">
        <v>5.0979999999999999</v>
      </c>
      <c r="AB94">
        <v>570.6</v>
      </c>
      <c r="AC94">
        <v>148.80000000000001</v>
      </c>
      <c r="AD94">
        <v>104.4</v>
      </c>
      <c r="AE94">
        <v>3440</v>
      </c>
      <c r="AF94">
        <v>182.4</v>
      </c>
      <c r="AG94">
        <v>5420</v>
      </c>
      <c r="AH94">
        <v>3228</v>
      </c>
      <c r="AI94">
        <v>269.5</v>
      </c>
      <c r="AJ94">
        <v>58.722208799999997</v>
      </c>
      <c r="AK94">
        <v>37.35</v>
      </c>
      <c r="AL94">
        <v>75</v>
      </c>
      <c r="AM94">
        <v>1230.5</v>
      </c>
      <c r="AN94">
        <v>446.8</v>
      </c>
      <c r="AO94">
        <v>7130</v>
      </c>
      <c r="AP94">
        <v>81.08</v>
      </c>
      <c r="AQ94">
        <v>109.85406765</v>
      </c>
    </row>
    <row r="95" spans="2:43" x14ac:dyDescent="0.2">
      <c r="B95" s="3">
        <v>45904</v>
      </c>
      <c r="C95">
        <v>1069.5</v>
      </c>
      <c r="D95">
        <v>89.12</v>
      </c>
      <c r="E95">
        <v>3.2480000000000002</v>
      </c>
      <c r="F95">
        <v>11.695</v>
      </c>
      <c r="G95">
        <v>73.599999999999994</v>
      </c>
      <c r="H95">
        <v>8.7720000000000002</v>
      </c>
      <c r="I95">
        <v>33.14</v>
      </c>
      <c r="J95">
        <v>68.2</v>
      </c>
      <c r="K95">
        <v>49.14</v>
      </c>
      <c r="L95">
        <v>367.2</v>
      </c>
      <c r="M95">
        <v>81.16</v>
      </c>
      <c r="N95">
        <v>86.28</v>
      </c>
      <c r="O95">
        <v>7.16</v>
      </c>
      <c r="P95">
        <v>155</v>
      </c>
      <c r="Q95">
        <v>10.44</v>
      </c>
      <c r="R95">
        <v>17130</v>
      </c>
      <c r="S95">
        <v>0.43769999999999998</v>
      </c>
      <c r="T95">
        <v>131.1</v>
      </c>
      <c r="U95">
        <v>9</v>
      </c>
      <c r="V95">
        <v>12.46</v>
      </c>
      <c r="W95" s="3">
        <v>45904</v>
      </c>
      <c r="X95">
        <v>2439</v>
      </c>
      <c r="Y95">
        <v>607</v>
      </c>
      <c r="Z95">
        <v>81.34</v>
      </c>
      <c r="AA95">
        <v>5.1559999999999997</v>
      </c>
      <c r="AB95">
        <v>578.20000000000005</v>
      </c>
      <c r="AC95">
        <v>149.4</v>
      </c>
      <c r="AD95">
        <v>107.3</v>
      </c>
      <c r="AE95">
        <v>3483</v>
      </c>
      <c r="AF95">
        <v>184</v>
      </c>
      <c r="AG95">
        <v>5386</v>
      </c>
      <c r="AH95">
        <v>3218</v>
      </c>
      <c r="AI95">
        <v>275.7</v>
      </c>
      <c r="AJ95">
        <v>58.916653199999999</v>
      </c>
      <c r="AK95">
        <v>37.369999999999997</v>
      </c>
      <c r="AL95">
        <v>75.3</v>
      </c>
      <c r="AM95">
        <v>1229.5</v>
      </c>
      <c r="AN95">
        <v>459.2</v>
      </c>
      <c r="AO95">
        <v>7085</v>
      </c>
      <c r="AP95">
        <v>80.88</v>
      </c>
      <c r="AQ95">
        <v>110.604399</v>
      </c>
    </row>
    <row r="96" spans="2:43" x14ac:dyDescent="0.2">
      <c r="B96" s="3">
        <v>45905</v>
      </c>
      <c r="C96">
        <v>1075.5</v>
      </c>
      <c r="D96">
        <v>87.58</v>
      </c>
      <c r="E96">
        <v>3.2189999999999999</v>
      </c>
      <c r="F96">
        <v>11.494999999999999</v>
      </c>
      <c r="G96">
        <v>71.260000000000005</v>
      </c>
      <c r="H96">
        <v>8.6739999999999995</v>
      </c>
      <c r="I96">
        <v>33.54</v>
      </c>
      <c r="J96">
        <v>68.5</v>
      </c>
      <c r="K96">
        <v>48.88</v>
      </c>
      <c r="L96">
        <v>365.7</v>
      </c>
      <c r="M96">
        <v>82.02</v>
      </c>
      <c r="N96">
        <v>87.58</v>
      </c>
      <c r="O96">
        <v>7.1449999999999996</v>
      </c>
      <c r="P96">
        <v>154.5</v>
      </c>
      <c r="Q96">
        <v>11.46</v>
      </c>
      <c r="R96">
        <v>17395</v>
      </c>
      <c r="S96">
        <v>0.43319999999999997</v>
      </c>
      <c r="T96">
        <v>132.5</v>
      </c>
      <c r="U96">
        <v>9.1999999999999993</v>
      </c>
      <c r="V96">
        <v>12.55</v>
      </c>
      <c r="W96" s="3">
        <v>45905</v>
      </c>
      <c r="X96">
        <v>2465</v>
      </c>
      <c r="Y96">
        <v>610</v>
      </c>
      <c r="Z96">
        <v>82.32</v>
      </c>
      <c r="AA96">
        <v>5.1719999999999997</v>
      </c>
      <c r="AB96">
        <v>577.4</v>
      </c>
      <c r="AC96">
        <v>153</v>
      </c>
      <c r="AD96">
        <v>108.2</v>
      </c>
      <c r="AE96">
        <v>3504</v>
      </c>
      <c r="AF96">
        <v>185</v>
      </c>
      <c r="AG96">
        <v>5538</v>
      </c>
      <c r="AH96">
        <v>3242</v>
      </c>
      <c r="AI96">
        <v>274.2</v>
      </c>
      <c r="AJ96">
        <v>59.111097600000001</v>
      </c>
      <c r="AK96">
        <v>38.159999999999997</v>
      </c>
      <c r="AL96">
        <v>75.7</v>
      </c>
      <c r="AM96">
        <v>1213.5</v>
      </c>
      <c r="AN96">
        <v>465.4</v>
      </c>
      <c r="AO96">
        <v>7195</v>
      </c>
      <c r="AP96">
        <v>81.78</v>
      </c>
      <c r="AQ96">
        <v>113.6613045</v>
      </c>
    </row>
    <row r="97" spans="2:43" x14ac:dyDescent="0.2">
      <c r="B97" s="3">
        <v>45908</v>
      </c>
      <c r="C97">
        <v>1092.5</v>
      </c>
      <c r="D97">
        <v>89.5</v>
      </c>
      <c r="E97">
        <v>3.2450000000000001</v>
      </c>
      <c r="F97">
        <v>11.95</v>
      </c>
      <c r="G97">
        <v>72.86</v>
      </c>
      <c r="H97">
        <v>8.8160000000000007</v>
      </c>
      <c r="I97">
        <v>33.32</v>
      </c>
      <c r="J97">
        <v>69.75</v>
      </c>
      <c r="K97">
        <v>48.02</v>
      </c>
      <c r="L97">
        <v>359</v>
      </c>
      <c r="M97">
        <v>82.22</v>
      </c>
      <c r="N97">
        <v>87.6</v>
      </c>
      <c r="O97">
        <v>7.29</v>
      </c>
      <c r="P97">
        <v>154.19999999999999</v>
      </c>
      <c r="Q97">
        <v>11.81</v>
      </c>
      <c r="R97">
        <v>17690</v>
      </c>
      <c r="S97">
        <v>0.43959999999999999</v>
      </c>
      <c r="T97">
        <v>133.55000000000001</v>
      </c>
      <c r="U97">
        <v>9.26</v>
      </c>
      <c r="V97">
        <v>12.56</v>
      </c>
      <c r="W97" s="3">
        <v>45908</v>
      </c>
      <c r="X97">
        <v>2525</v>
      </c>
      <c r="Y97">
        <v>613</v>
      </c>
      <c r="Z97">
        <v>82.92</v>
      </c>
      <c r="AA97">
        <v>5.1420000000000003</v>
      </c>
      <c r="AB97">
        <v>570.20000000000005</v>
      </c>
      <c r="AC97">
        <v>155.30000000000001</v>
      </c>
      <c r="AD97">
        <v>110.05</v>
      </c>
      <c r="AE97">
        <v>3497</v>
      </c>
      <c r="AF97">
        <v>185.2</v>
      </c>
      <c r="AG97">
        <v>5592</v>
      </c>
      <c r="AH97">
        <v>3284</v>
      </c>
      <c r="AI97">
        <v>270.10000000000002</v>
      </c>
      <c r="AJ97">
        <v>59.111097600000001</v>
      </c>
      <c r="AK97">
        <v>38.340000000000003</v>
      </c>
      <c r="AL97">
        <v>75.75</v>
      </c>
      <c r="AM97">
        <v>1210</v>
      </c>
      <c r="AN97">
        <v>460</v>
      </c>
      <c r="AO97">
        <v>7220</v>
      </c>
      <c r="AP97">
        <v>82.96</v>
      </c>
      <c r="AQ97">
        <v>112.6608627</v>
      </c>
    </row>
    <row r="98" spans="2:43" x14ac:dyDescent="0.2">
      <c r="B98" s="3">
        <v>45909</v>
      </c>
      <c r="C98">
        <v>1087</v>
      </c>
      <c r="D98">
        <v>90.98</v>
      </c>
      <c r="E98">
        <v>3.302</v>
      </c>
      <c r="F98">
        <v>12.21</v>
      </c>
      <c r="G98">
        <v>72.180000000000007</v>
      </c>
      <c r="H98">
        <v>9.0239999999999991</v>
      </c>
      <c r="I98">
        <v>33.159999999999997</v>
      </c>
      <c r="J98">
        <v>69.599999999999994</v>
      </c>
      <c r="K98">
        <v>48.45</v>
      </c>
      <c r="L98">
        <v>360.1</v>
      </c>
      <c r="M98">
        <v>81.62</v>
      </c>
      <c r="N98">
        <v>87.3</v>
      </c>
      <c r="O98">
        <v>7.41</v>
      </c>
      <c r="P98">
        <v>154.15</v>
      </c>
      <c r="Q98">
        <v>11.4</v>
      </c>
      <c r="R98">
        <v>17495</v>
      </c>
      <c r="S98">
        <v>0.44629999999999997</v>
      </c>
      <c r="T98">
        <v>134.25</v>
      </c>
      <c r="U98">
        <v>9.11</v>
      </c>
      <c r="V98">
        <v>12.41</v>
      </c>
      <c r="W98" s="3">
        <v>45909</v>
      </c>
      <c r="X98">
        <v>2529</v>
      </c>
      <c r="Y98">
        <v>613</v>
      </c>
      <c r="Z98">
        <v>82.56</v>
      </c>
      <c r="AA98">
        <v>5.1139999999999999</v>
      </c>
      <c r="AB98">
        <v>568.4</v>
      </c>
      <c r="AC98">
        <v>156</v>
      </c>
      <c r="AD98">
        <v>109.15</v>
      </c>
      <c r="AE98">
        <v>3529</v>
      </c>
      <c r="AF98">
        <v>185.2</v>
      </c>
      <c r="AG98">
        <v>5474</v>
      </c>
      <c r="AH98">
        <v>3252</v>
      </c>
      <c r="AI98">
        <v>269.7</v>
      </c>
      <c r="AJ98">
        <v>59.305542000000003</v>
      </c>
      <c r="AK98">
        <v>37.5</v>
      </c>
      <c r="AL98">
        <v>75.7</v>
      </c>
      <c r="AM98">
        <v>1232</v>
      </c>
      <c r="AN98">
        <v>461.6</v>
      </c>
      <c r="AO98">
        <v>7110</v>
      </c>
      <c r="AP98">
        <v>83.02</v>
      </c>
      <c r="AQ98">
        <v>112.827603</v>
      </c>
    </row>
    <row r="99" spans="2:43" x14ac:dyDescent="0.2">
      <c r="B99" s="3">
        <v>45910</v>
      </c>
      <c r="C99">
        <v>1099.5</v>
      </c>
      <c r="D99">
        <v>95.14</v>
      </c>
      <c r="E99">
        <v>3.3639999999999999</v>
      </c>
      <c r="F99">
        <v>12.22</v>
      </c>
      <c r="G99">
        <v>71.16</v>
      </c>
      <c r="H99">
        <v>9.1300000000000008</v>
      </c>
      <c r="I99">
        <v>33.24</v>
      </c>
      <c r="J99">
        <v>70.900000000000006</v>
      </c>
      <c r="K99">
        <v>48.2</v>
      </c>
      <c r="L99">
        <v>365</v>
      </c>
      <c r="M99">
        <v>80.14</v>
      </c>
      <c r="N99">
        <v>87.42</v>
      </c>
      <c r="O99">
        <v>7.5549999999999997</v>
      </c>
      <c r="P99">
        <v>156.69999999999999</v>
      </c>
      <c r="Q99">
        <v>11.1</v>
      </c>
      <c r="R99">
        <v>17730</v>
      </c>
      <c r="S99">
        <v>0.43740000000000001</v>
      </c>
      <c r="T99">
        <v>133.5</v>
      </c>
      <c r="U99">
        <v>8.83</v>
      </c>
      <c r="V99">
        <v>11.93</v>
      </c>
      <c r="W99" s="3">
        <v>45910</v>
      </c>
      <c r="X99">
        <v>2505</v>
      </c>
      <c r="Y99">
        <v>608</v>
      </c>
      <c r="Z99">
        <v>80.819999999999993</v>
      </c>
      <c r="AA99">
        <v>5.1059999999999999</v>
      </c>
      <c r="AB99">
        <v>556.6</v>
      </c>
      <c r="AC99">
        <v>149.5</v>
      </c>
      <c r="AD99">
        <v>105.5</v>
      </c>
      <c r="AE99">
        <v>3405</v>
      </c>
      <c r="AF99">
        <v>184.6</v>
      </c>
      <c r="AG99">
        <v>5420</v>
      </c>
      <c r="AH99">
        <v>3296</v>
      </c>
      <c r="AI99">
        <v>266.10000000000002</v>
      </c>
      <c r="AJ99">
        <v>58.819431000000002</v>
      </c>
      <c r="AK99">
        <v>37.229999999999997</v>
      </c>
      <c r="AL99">
        <v>75.599999999999994</v>
      </c>
      <c r="AM99">
        <v>1253</v>
      </c>
      <c r="AN99">
        <v>461</v>
      </c>
      <c r="AO99">
        <v>7105</v>
      </c>
      <c r="AP99">
        <v>83.4</v>
      </c>
      <c r="AQ99">
        <v>113.4389841</v>
      </c>
    </row>
    <row r="100" spans="2:43" x14ac:dyDescent="0.2">
      <c r="B100" s="3">
        <v>45911</v>
      </c>
      <c r="C100">
        <v>1123.5</v>
      </c>
      <c r="D100">
        <v>94.06</v>
      </c>
      <c r="E100">
        <v>3.3580000000000001</v>
      </c>
      <c r="F100">
        <v>12.305</v>
      </c>
      <c r="G100">
        <v>72.599999999999994</v>
      </c>
      <c r="H100">
        <v>9.2439999999999998</v>
      </c>
      <c r="I100">
        <v>33.340000000000003</v>
      </c>
      <c r="J100">
        <v>71.150000000000006</v>
      </c>
      <c r="K100">
        <v>48.25</v>
      </c>
      <c r="L100">
        <v>364.1</v>
      </c>
      <c r="M100">
        <v>80.98</v>
      </c>
      <c r="N100">
        <v>88.34</v>
      </c>
      <c r="O100">
        <v>7.4850000000000003</v>
      </c>
      <c r="P100">
        <v>157</v>
      </c>
      <c r="Q100">
        <v>11.12</v>
      </c>
      <c r="R100">
        <v>18300</v>
      </c>
      <c r="S100">
        <v>0.44230000000000003</v>
      </c>
      <c r="T100">
        <v>133.85</v>
      </c>
      <c r="U100">
        <v>8.6950000000000003</v>
      </c>
      <c r="V100">
        <v>11.8</v>
      </c>
      <c r="W100" s="3">
        <v>45911</v>
      </c>
      <c r="X100">
        <v>2517</v>
      </c>
      <c r="Y100">
        <v>604</v>
      </c>
      <c r="Z100">
        <v>81.16</v>
      </c>
      <c r="AA100">
        <v>5.1159999999999997</v>
      </c>
      <c r="AB100">
        <v>558.4</v>
      </c>
      <c r="AC100">
        <v>152.1</v>
      </c>
      <c r="AD100">
        <v>106.8</v>
      </c>
      <c r="AE100">
        <v>3421</v>
      </c>
      <c r="AF100">
        <v>184</v>
      </c>
      <c r="AG100">
        <v>5392</v>
      </c>
      <c r="AH100">
        <v>3332</v>
      </c>
      <c r="AI100">
        <v>268.39999999999998</v>
      </c>
      <c r="AJ100">
        <v>58.6249866</v>
      </c>
      <c r="AK100">
        <v>36.81</v>
      </c>
      <c r="AL100">
        <v>76.05</v>
      </c>
      <c r="AM100">
        <v>1256</v>
      </c>
      <c r="AN100">
        <v>464.8</v>
      </c>
      <c r="AO100">
        <v>7050</v>
      </c>
      <c r="AP100">
        <v>82.96</v>
      </c>
      <c r="AQ100">
        <v>112.5497025</v>
      </c>
    </row>
    <row r="101" spans="2:43" x14ac:dyDescent="0.2">
      <c r="B101" s="3">
        <v>45912</v>
      </c>
      <c r="C101">
        <v>1130</v>
      </c>
      <c r="D101">
        <v>93.16</v>
      </c>
      <c r="E101">
        <v>3.3820000000000001</v>
      </c>
      <c r="F101">
        <v>12.56</v>
      </c>
      <c r="G101">
        <v>71.88</v>
      </c>
      <c r="H101">
        <v>9.3339999999999996</v>
      </c>
      <c r="I101">
        <v>33.6</v>
      </c>
      <c r="J101">
        <v>72.2</v>
      </c>
      <c r="K101">
        <v>47.86</v>
      </c>
      <c r="L101">
        <v>361.9</v>
      </c>
      <c r="M101">
        <v>80.48</v>
      </c>
      <c r="N101">
        <v>89.34</v>
      </c>
      <c r="O101">
        <v>7.53</v>
      </c>
      <c r="P101">
        <v>160.35</v>
      </c>
      <c r="Q101">
        <v>10.99</v>
      </c>
      <c r="R101">
        <v>18190</v>
      </c>
      <c r="S101">
        <v>0.44259999999999999</v>
      </c>
      <c r="T101">
        <v>139.15</v>
      </c>
      <c r="U101">
        <v>8.85</v>
      </c>
      <c r="V101">
        <v>11.87</v>
      </c>
      <c r="W101" s="3">
        <v>45912</v>
      </c>
      <c r="X101">
        <v>2498</v>
      </c>
      <c r="Y101">
        <v>601.5</v>
      </c>
      <c r="Z101">
        <v>80.260000000000005</v>
      </c>
      <c r="AA101">
        <v>5.14</v>
      </c>
      <c r="AB101">
        <v>547.6</v>
      </c>
      <c r="AC101">
        <v>148.69999999999999</v>
      </c>
      <c r="AD101">
        <v>112.3</v>
      </c>
      <c r="AE101">
        <v>3411</v>
      </c>
      <c r="AF101">
        <v>185.6</v>
      </c>
      <c r="AG101">
        <v>5314</v>
      </c>
      <c r="AH101">
        <v>3306</v>
      </c>
      <c r="AI101">
        <v>264.5</v>
      </c>
      <c r="AJ101">
        <v>58.722208799999997</v>
      </c>
      <c r="AK101">
        <v>36.369999999999997</v>
      </c>
      <c r="AL101">
        <v>76</v>
      </c>
      <c r="AM101">
        <v>1251</v>
      </c>
      <c r="AN101">
        <v>469.6</v>
      </c>
      <c r="AO101">
        <v>6970</v>
      </c>
      <c r="AP101">
        <v>83.08</v>
      </c>
      <c r="AQ101">
        <v>111.3269403</v>
      </c>
    </row>
    <row r="102" spans="2:43" x14ac:dyDescent="0.2">
      <c r="B102" s="3">
        <v>45915</v>
      </c>
      <c r="C102">
        <v>1145.5</v>
      </c>
      <c r="D102">
        <v>95.74</v>
      </c>
      <c r="E102">
        <v>3.3460000000000001</v>
      </c>
      <c r="F102">
        <v>12.755000000000001</v>
      </c>
      <c r="G102">
        <v>71.819999999999993</v>
      </c>
      <c r="H102">
        <v>9.5060000000000002</v>
      </c>
      <c r="I102">
        <v>33.44</v>
      </c>
      <c r="J102">
        <v>72.099999999999994</v>
      </c>
      <c r="K102">
        <v>46.75</v>
      </c>
      <c r="L102">
        <v>356.7</v>
      </c>
      <c r="M102">
        <v>79.66</v>
      </c>
      <c r="N102">
        <v>90.18</v>
      </c>
      <c r="O102">
        <v>7.6</v>
      </c>
      <c r="P102">
        <v>166.9</v>
      </c>
      <c r="Q102">
        <v>10.82</v>
      </c>
      <c r="R102">
        <v>18315</v>
      </c>
      <c r="S102">
        <v>0.44669999999999999</v>
      </c>
      <c r="T102">
        <v>141</v>
      </c>
      <c r="U102">
        <v>8.7949999999999999</v>
      </c>
      <c r="V102">
        <v>11.99</v>
      </c>
      <c r="W102" s="3">
        <v>45915</v>
      </c>
      <c r="X102">
        <v>2517</v>
      </c>
      <c r="Y102">
        <v>593.5</v>
      </c>
      <c r="Z102">
        <v>79.12</v>
      </c>
      <c r="AA102">
        <v>5.1059999999999999</v>
      </c>
      <c r="AB102">
        <v>547.20000000000005</v>
      </c>
      <c r="AC102">
        <v>150</v>
      </c>
      <c r="AD102">
        <v>110.6</v>
      </c>
      <c r="AE102">
        <v>3394</v>
      </c>
      <c r="AF102">
        <v>185.4</v>
      </c>
      <c r="AG102">
        <v>5332</v>
      </c>
      <c r="AH102">
        <v>3328</v>
      </c>
      <c r="AI102">
        <v>260.39999999999998</v>
      </c>
      <c r="AJ102">
        <v>57.847208999999999</v>
      </c>
      <c r="AK102">
        <v>36.17</v>
      </c>
      <c r="AL102">
        <v>75.150000000000006</v>
      </c>
      <c r="AM102">
        <v>1267</v>
      </c>
      <c r="AN102">
        <v>471</v>
      </c>
      <c r="AO102">
        <v>6955</v>
      </c>
      <c r="AP102">
        <v>83.16</v>
      </c>
      <c r="AQ102">
        <v>110.13196815000001</v>
      </c>
    </row>
    <row r="103" spans="2:43" x14ac:dyDescent="0.2">
      <c r="B103" s="3">
        <v>45916</v>
      </c>
      <c r="C103">
        <v>1130.5</v>
      </c>
      <c r="D103">
        <v>94.04</v>
      </c>
      <c r="E103">
        <v>3.2610000000000001</v>
      </c>
      <c r="F103">
        <v>12.79</v>
      </c>
      <c r="G103">
        <v>70.540000000000006</v>
      </c>
      <c r="H103">
        <v>9.36</v>
      </c>
      <c r="I103">
        <v>32.799999999999997</v>
      </c>
      <c r="J103">
        <v>70.650000000000006</v>
      </c>
      <c r="K103">
        <v>46.94</v>
      </c>
      <c r="L103">
        <v>339.7</v>
      </c>
      <c r="M103">
        <v>78.22</v>
      </c>
      <c r="N103">
        <v>89.16</v>
      </c>
      <c r="O103">
        <v>7.45</v>
      </c>
      <c r="P103">
        <v>163.35</v>
      </c>
      <c r="Q103">
        <v>10.83</v>
      </c>
      <c r="R103">
        <v>18100</v>
      </c>
      <c r="S103">
        <v>0.44209999999999999</v>
      </c>
      <c r="T103">
        <v>139.35</v>
      </c>
      <c r="U103">
        <v>8.2750000000000004</v>
      </c>
      <c r="V103">
        <v>12.18</v>
      </c>
      <c r="W103" s="3">
        <v>45916</v>
      </c>
      <c r="X103">
        <v>2556</v>
      </c>
      <c r="Y103">
        <v>583</v>
      </c>
      <c r="Z103">
        <v>77.52</v>
      </c>
      <c r="AA103">
        <v>5.0659999999999998</v>
      </c>
      <c r="AB103">
        <v>548.79999999999995</v>
      </c>
      <c r="AC103">
        <v>153</v>
      </c>
      <c r="AD103">
        <v>110.35</v>
      </c>
      <c r="AE103">
        <v>3356</v>
      </c>
      <c r="AF103">
        <v>182.8</v>
      </c>
      <c r="AG103">
        <v>5372</v>
      </c>
      <c r="AH103">
        <v>3286</v>
      </c>
      <c r="AI103">
        <v>258.39999999999998</v>
      </c>
      <c r="AJ103">
        <v>57.5555424</v>
      </c>
      <c r="AK103">
        <v>35.729999999999997</v>
      </c>
      <c r="AL103">
        <v>74.3</v>
      </c>
      <c r="AM103">
        <v>1238.5</v>
      </c>
      <c r="AN103">
        <v>461</v>
      </c>
      <c r="AO103">
        <v>6865</v>
      </c>
      <c r="AP103">
        <v>80.72</v>
      </c>
      <c r="AQ103">
        <v>106.2135711</v>
      </c>
    </row>
    <row r="104" spans="2:43" x14ac:dyDescent="0.2">
      <c r="B104" s="3">
        <v>45917</v>
      </c>
      <c r="C104">
        <v>1116</v>
      </c>
      <c r="D104">
        <v>92</v>
      </c>
      <c r="E104">
        <v>3.1840000000000002</v>
      </c>
      <c r="F104">
        <v>12.61</v>
      </c>
      <c r="G104">
        <v>69.98</v>
      </c>
      <c r="H104">
        <v>9.2360000000000007</v>
      </c>
      <c r="I104">
        <v>32.78</v>
      </c>
      <c r="J104">
        <v>69.7</v>
      </c>
      <c r="K104">
        <v>47.89</v>
      </c>
      <c r="L104">
        <v>341.9</v>
      </c>
      <c r="M104">
        <v>76.3</v>
      </c>
      <c r="N104">
        <v>88.48</v>
      </c>
      <c r="O104">
        <v>7.49</v>
      </c>
      <c r="P104">
        <v>169.2</v>
      </c>
      <c r="Q104">
        <v>10.91</v>
      </c>
      <c r="R104">
        <v>18250</v>
      </c>
      <c r="S104">
        <v>0.4491</v>
      </c>
      <c r="T104">
        <v>135.25</v>
      </c>
      <c r="U104">
        <v>8.3049999999999997</v>
      </c>
      <c r="V104">
        <v>12.22</v>
      </c>
      <c r="W104" s="3">
        <v>45917</v>
      </c>
      <c r="X104">
        <v>2580</v>
      </c>
      <c r="Y104">
        <v>576</v>
      </c>
      <c r="Z104">
        <v>77.28</v>
      </c>
      <c r="AA104">
        <v>5.0460000000000003</v>
      </c>
      <c r="AB104">
        <v>545.79999999999995</v>
      </c>
      <c r="AC104">
        <v>154</v>
      </c>
      <c r="AD104">
        <v>109.95</v>
      </c>
      <c r="AE104">
        <v>3303</v>
      </c>
      <c r="AF104">
        <v>182.6</v>
      </c>
      <c r="AG104">
        <v>5380</v>
      </c>
      <c r="AH104">
        <v>3272</v>
      </c>
      <c r="AI104">
        <v>260.39999999999998</v>
      </c>
      <c r="AJ104">
        <v>57.166653599999997</v>
      </c>
      <c r="AK104">
        <v>36.14</v>
      </c>
      <c r="AL104">
        <v>75</v>
      </c>
      <c r="AM104">
        <v>1250</v>
      </c>
      <c r="AN104">
        <v>466.4</v>
      </c>
      <c r="AO104">
        <v>6950</v>
      </c>
      <c r="AP104">
        <v>81.739999999999995</v>
      </c>
      <c r="AQ104">
        <v>106.5</v>
      </c>
    </row>
    <row r="105" spans="2:43" x14ac:dyDescent="0.2">
      <c r="B105" s="3">
        <v>45918</v>
      </c>
      <c r="C105">
        <v>1129.5</v>
      </c>
      <c r="D105">
        <v>95.18</v>
      </c>
      <c r="E105">
        <v>3.2229999999999999</v>
      </c>
      <c r="F105">
        <v>12.78</v>
      </c>
      <c r="G105">
        <v>69.92</v>
      </c>
      <c r="H105">
        <v>9.2919999999999998</v>
      </c>
      <c r="I105">
        <v>32.799999999999997</v>
      </c>
      <c r="J105">
        <v>70.900000000000006</v>
      </c>
      <c r="K105">
        <v>47.34</v>
      </c>
      <c r="L105">
        <v>340.1</v>
      </c>
      <c r="M105">
        <v>75</v>
      </c>
      <c r="N105">
        <v>87.9</v>
      </c>
      <c r="O105">
        <v>7.55</v>
      </c>
      <c r="P105">
        <v>166.9</v>
      </c>
      <c r="Q105">
        <v>11.17</v>
      </c>
      <c r="R105">
        <v>18110</v>
      </c>
      <c r="S105">
        <v>0.44359999999999999</v>
      </c>
      <c r="T105">
        <v>134.44999999999999</v>
      </c>
      <c r="U105">
        <v>8.5449999999999999</v>
      </c>
      <c r="V105">
        <v>12.26</v>
      </c>
      <c r="W105" s="3">
        <v>45918</v>
      </c>
      <c r="X105">
        <v>2701</v>
      </c>
      <c r="Y105">
        <v>575.5</v>
      </c>
      <c r="Z105">
        <v>78.180000000000007</v>
      </c>
      <c r="AA105">
        <v>5.0179999999999998</v>
      </c>
      <c r="AB105">
        <v>543.79999999999995</v>
      </c>
      <c r="AC105">
        <v>155</v>
      </c>
      <c r="AD105">
        <v>116.5</v>
      </c>
      <c r="AE105">
        <v>3320</v>
      </c>
      <c r="AF105">
        <v>182.2</v>
      </c>
      <c r="AG105">
        <v>5362</v>
      </c>
      <c r="AH105">
        <v>3382</v>
      </c>
      <c r="AI105">
        <v>261.5</v>
      </c>
      <c r="AJ105">
        <v>57.069431399999999</v>
      </c>
      <c r="AK105">
        <v>37.229999999999997</v>
      </c>
      <c r="AL105">
        <v>74.900000000000006</v>
      </c>
      <c r="AM105">
        <v>1259.5</v>
      </c>
      <c r="AN105">
        <v>462</v>
      </c>
      <c r="AO105">
        <v>7075</v>
      </c>
      <c r="AP105">
        <v>84.38</v>
      </c>
      <c r="AQ105">
        <v>105.05</v>
      </c>
    </row>
    <row r="106" spans="2:43" x14ac:dyDescent="0.2">
      <c r="B106" s="3">
        <v>45919</v>
      </c>
      <c r="C106">
        <v>1150</v>
      </c>
      <c r="D106">
        <v>95.24</v>
      </c>
      <c r="E106">
        <v>3.339</v>
      </c>
      <c r="F106">
        <v>12.675000000000001</v>
      </c>
      <c r="G106">
        <v>70.22</v>
      </c>
      <c r="H106">
        <v>9.4260000000000002</v>
      </c>
      <c r="I106">
        <v>33.020000000000003</v>
      </c>
      <c r="J106">
        <v>69.849999999999994</v>
      </c>
      <c r="K106">
        <v>47.67</v>
      </c>
      <c r="L106">
        <v>338.4</v>
      </c>
      <c r="M106">
        <v>74.459999999999994</v>
      </c>
      <c r="N106">
        <v>88.38</v>
      </c>
      <c r="O106">
        <v>7.6550000000000002</v>
      </c>
      <c r="P106">
        <v>167.8</v>
      </c>
      <c r="Q106">
        <v>11.17</v>
      </c>
      <c r="R106">
        <v>17870</v>
      </c>
      <c r="S106">
        <v>0.44219999999999998</v>
      </c>
      <c r="T106">
        <v>135.55000000000001</v>
      </c>
      <c r="U106">
        <v>8.5</v>
      </c>
      <c r="V106">
        <v>12.23</v>
      </c>
      <c r="W106" s="3">
        <v>45919</v>
      </c>
      <c r="X106">
        <v>2711</v>
      </c>
      <c r="Y106">
        <v>578</v>
      </c>
      <c r="Z106">
        <v>75.72</v>
      </c>
      <c r="AA106">
        <v>5.05</v>
      </c>
      <c r="AB106">
        <v>543.20000000000005</v>
      </c>
      <c r="AC106">
        <v>156</v>
      </c>
      <c r="AD106">
        <v>114.1</v>
      </c>
      <c r="AE106">
        <v>3315</v>
      </c>
      <c r="AF106">
        <v>183.4</v>
      </c>
      <c r="AG106">
        <v>5234</v>
      </c>
      <c r="AH106">
        <v>3382</v>
      </c>
      <c r="AI106">
        <v>265.10000000000002</v>
      </c>
      <c r="AJ106">
        <v>57.361097999999998</v>
      </c>
      <c r="AK106">
        <v>37.049999999999997</v>
      </c>
      <c r="AL106">
        <v>74.900000000000006</v>
      </c>
      <c r="AM106">
        <v>1249.5</v>
      </c>
      <c r="AN106">
        <v>457.6</v>
      </c>
      <c r="AO106">
        <v>7010</v>
      </c>
      <c r="AP106">
        <v>85.24</v>
      </c>
      <c r="AQ106">
        <v>105.4</v>
      </c>
    </row>
    <row r="107" spans="2:43" x14ac:dyDescent="0.2">
      <c r="B107" s="3">
        <v>45922</v>
      </c>
      <c r="C107">
        <v>1149</v>
      </c>
      <c r="D107">
        <v>96.92</v>
      </c>
      <c r="E107">
        <v>3.2080000000000002</v>
      </c>
      <c r="F107">
        <v>12.7</v>
      </c>
      <c r="G107">
        <v>69.040000000000006</v>
      </c>
      <c r="H107">
        <v>9.4600000000000009</v>
      </c>
      <c r="I107">
        <v>32.96</v>
      </c>
      <c r="J107">
        <v>69.8</v>
      </c>
      <c r="K107">
        <v>48.14</v>
      </c>
      <c r="L107">
        <v>332.6</v>
      </c>
      <c r="M107">
        <v>73.94</v>
      </c>
      <c r="N107">
        <v>87.82</v>
      </c>
      <c r="O107">
        <v>7.5549999999999997</v>
      </c>
      <c r="P107">
        <v>167.85</v>
      </c>
      <c r="Q107">
        <v>10.91</v>
      </c>
      <c r="R107">
        <v>17935</v>
      </c>
      <c r="S107">
        <v>0.43790000000000001</v>
      </c>
      <c r="T107">
        <v>140.19999999999999</v>
      </c>
      <c r="U107">
        <v>8.6549999999999994</v>
      </c>
      <c r="V107">
        <v>12</v>
      </c>
      <c r="W107" s="3">
        <v>45922</v>
      </c>
      <c r="X107">
        <v>2673</v>
      </c>
      <c r="Y107">
        <v>575.5</v>
      </c>
      <c r="Z107">
        <v>75.2</v>
      </c>
      <c r="AA107">
        <v>5.0380000000000003</v>
      </c>
      <c r="AB107">
        <v>540.79999999999995</v>
      </c>
      <c r="AC107">
        <v>152</v>
      </c>
      <c r="AD107">
        <v>113.55</v>
      </c>
      <c r="AE107">
        <v>3273</v>
      </c>
      <c r="AF107">
        <v>184.2</v>
      </c>
      <c r="AG107">
        <v>5192</v>
      </c>
      <c r="AH107">
        <v>3378</v>
      </c>
      <c r="AI107">
        <v>271.10000000000002</v>
      </c>
      <c r="AJ107">
        <v>57.458320200000003</v>
      </c>
      <c r="AK107">
        <v>36.770000000000003</v>
      </c>
      <c r="AL107">
        <v>75.05</v>
      </c>
      <c r="AM107">
        <v>1286</v>
      </c>
      <c r="AN107">
        <v>455.2</v>
      </c>
      <c r="AO107">
        <v>7005</v>
      </c>
      <c r="AP107">
        <v>85.52</v>
      </c>
      <c r="AQ107">
        <v>110.8</v>
      </c>
    </row>
    <row r="108" spans="2:43" x14ac:dyDescent="0.2">
      <c r="B108" s="3">
        <v>45923</v>
      </c>
      <c r="C108">
        <v>1164</v>
      </c>
      <c r="D108">
        <v>96.46</v>
      </c>
      <c r="E108">
        <v>3.258</v>
      </c>
      <c r="F108">
        <v>12.46</v>
      </c>
      <c r="G108">
        <v>69.34</v>
      </c>
      <c r="H108">
        <v>9.4320000000000004</v>
      </c>
      <c r="I108">
        <v>32.799999999999997</v>
      </c>
      <c r="J108">
        <v>69.55</v>
      </c>
      <c r="K108">
        <v>47.73</v>
      </c>
      <c r="L108">
        <v>330.7</v>
      </c>
      <c r="M108">
        <v>72.959999999999994</v>
      </c>
      <c r="N108">
        <v>87.68</v>
      </c>
      <c r="O108">
        <v>7.5449999999999999</v>
      </c>
      <c r="P108">
        <v>167.6</v>
      </c>
      <c r="Q108">
        <v>10.87</v>
      </c>
      <c r="R108">
        <v>17835</v>
      </c>
      <c r="S108">
        <v>0.42959999999999998</v>
      </c>
      <c r="T108">
        <v>142.19999999999999</v>
      </c>
      <c r="U108">
        <v>8.77</v>
      </c>
      <c r="V108">
        <v>11.82</v>
      </c>
      <c r="W108" s="3">
        <v>45923</v>
      </c>
      <c r="X108">
        <v>2707</v>
      </c>
      <c r="Y108">
        <v>575.5</v>
      </c>
      <c r="Z108">
        <v>75.680000000000007</v>
      </c>
      <c r="AA108">
        <v>5.0259999999999998</v>
      </c>
      <c r="AB108">
        <v>539</v>
      </c>
      <c r="AC108">
        <v>155.6</v>
      </c>
      <c r="AD108">
        <v>113.7</v>
      </c>
      <c r="AE108">
        <v>3269</v>
      </c>
      <c r="AF108">
        <v>183.2</v>
      </c>
      <c r="AG108">
        <v>5226</v>
      </c>
      <c r="AH108">
        <v>3386</v>
      </c>
      <c r="AI108">
        <v>265.2</v>
      </c>
      <c r="AJ108">
        <v>56.972209200000002</v>
      </c>
      <c r="AK108">
        <v>37.24</v>
      </c>
      <c r="AL108">
        <v>74.900000000000006</v>
      </c>
      <c r="AM108">
        <v>1253.5</v>
      </c>
      <c r="AN108">
        <v>457.8</v>
      </c>
      <c r="AO108">
        <v>7080</v>
      </c>
      <c r="AP108">
        <v>85.32</v>
      </c>
      <c r="AQ108">
        <v>115.2</v>
      </c>
    </row>
    <row r="109" spans="2:43" x14ac:dyDescent="0.2">
      <c r="B109" s="3">
        <v>45924</v>
      </c>
      <c r="C109">
        <v>1173.5</v>
      </c>
      <c r="D109">
        <v>98.66</v>
      </c>
      <c r="E109">
        <v>3.2919999999999998</v>
      </c>
      <c r="F109">
        <v>12.615</v>
      </c>
      <c r="G109">
        <v>69.459999999999994</v>
      </c>
      <c r="H109">
        <v>9.4160000000000004</v>
      </c>
      <c r="I109">
        <v>32.82</v>
      </c>
      <c r="J109">
        <v>69.349999999999994</v>
      </c>
      <c r="K109">
        <v>47.16</v>
      </c>
      <c r="L109">
        <v>330.3</v>
      </c>
      <c r="M109">
        <v>73.680000000000007</v>
      </c>
      <c r="N109">
        <v>87.62</v>
      </c>
      <c r="O109">
        <v>7.72</v>
      </c>
      <c r="P109">
        <v>167</v>
      </c>
      <c r="Q109">
        <v>11.07</v>
      </c>
      <c r="R109">
        <v>17955</v>
      </c>
      <c r="S109">
        <v>0.4304</v>
      </c>
      <c r="T109">
        <v>152.4</v>
      </c>
      <c r="U109">
        <v>8.67</v>
      </c>
      <c r="V109">
        <v>11.6</v>
      </c>
      <c r="W109" s="3">
        <v>45924</v>
      </c>
      <c r="X109">
        <v>2699</v>
      </c>
      <c r="Y109">
        <v>567</v>
      </c>
      <c r="Z109">
        <v>74.400000000000006</v>
      </c>
      <c r="AA109">
        <v>5.0220000000000002</v>
      </c>
      <c r="AB109">
        <v>524.6</v>
      </c>
      <c r="AC109">
        <v>154.6</v>
      </c>
      <c r="AD109">
        <v>112.9</v>
      </c>
      <c r="AE109">
        <v>3234</v>
      </c>
      <c r="AF109">
        <v>183.8</v>
      </c>
      <c r="AG109">
        <v>5104</v>
      </c>
      <c r="AH109">
        <v>3338</v>
      </c>
      <c r="AI109">
        <v>259.89999999999998</v>
      </c>
      <c r="AJ109">
        <v>56.583320399999998</v>
      </c>
      <c r="AK109">
        <v>34.96</v>
      </c>
      <c r="AL109">
        <v>74.900000000000006</v>
      </c>
      <c r="AM109">
        <v>1252.5</v>
      </c>
      <c r="AN109">
        <v>456.8</v>
      </c>
      <c r="AO109">
        <v>7005</v>
      </c>
      <c r="AP109">
        <v>83.96</v>
      </c>
      <c r="AQ109">
        <v>118.1</v>
      </c>
    </row>
    <row r="110" spans="2:43" x14ac:dyDescent="0.2">
      <c r="B110" s="3">
        <v>45925</v>
      </c>
      <c r="C110">
        <v>1170.5</v>
      </c>
      <c r="D110">
        <v>97.16</v>
      </c>
      <c r="E110">
        <v>3.2629999999999999</v>
      </c>
      <c r="F110">
        <v>12.845000000000001</v>
      </c>
      <c r="G110">
        <v>68.459999999999994</v>
      </c>
      <c r="H110">
        <v>9.4179999999999993</v>
      </c>
      <c r="I110">
        <v>32.82</v>
      </c>
      <c r="J110">
        <v>67.150000000000006</v>
      </c>
      <c r="K110">
        <v>46.35</v>
      </c>
      <c r="L110">
        <v>326.60000000000002</v>
      </c>
      <c r="M110">
        <v>71.3</v>
      </c>
      <c r="N110">
        <v>87.64</v>
      </c>
      <c r="O110">
        <v>7.75</v>
      </c>
      <c r="P110">
        <v>165.95</v>
      </c>
      <c r="Q110">
        <v>10.57</v>
      </c>
      <c r="R110">
        <v>17860</v>
      </c>
      <c r="S110">
        <v>0.43690000000000001</v>
      </c>
      <c r="T110">
        <v>151.6</v>
      </c>
      <c r="U110">
        <v>8.81</v>
      </c>
      <c r="V110">
        <v>11.32</v>
      </c>
      <c r="W110" s="3">
        <v>45925</v>
      </c>
      <c r="X110">
        <v>2664</v>
      </c>
      <c r="Y110">
        <v>565.5</v>
      </c>
      <c r="Z110">
        <v>73.2</v>
      </c>
      <c r="AA110">
        <v>5.0199999999999996</v>
      </c>
      <c r="AB110">
        <v>518</v>
      </c>
      <c r="AC110">
        <v>150.5</v>
      </c>
      <c r="AD110">
        <v>112.6</v>
      </c>
      <c r="AE110">
        <v>3186</v>
      </c>
      <c r="AF110">
        <v>183.6</v>
      </c>
      <c r="AG110">
        <v>4995</v>
      </c>
      <c r="AH110">
        <v>3372</v>
      </c>
      <c r="AI110">
        <v>255</v>
      </c>
      <c r="AJ110">
        <v>56.388876000000003</v>
      </c>
      <c r="AK110">
        <v>34.68</v>
      </c>
      <c r="AL110">
        <v>74.599999999999994</v>
      </c>
      <c r="AM110">
        <v>1239.5</v>
      </c>
      <c r="AN110">
        <v>453.6</v>
      </c>
      <c r="AO110">
        <v>6875</v>
      </c>
      <c r="AP110">
        <v>81.34</v>
      </c>
      <c r="AQ110">
        <v>117.65</v>
      </c>
    </row>
    <row r="111" spans="2:43" x14ac:dyDescent="0.2">
      <c r="B111" s="3">
        <v>45926</v>
      </c>
      <c r="C111">
        <v>1182.5</v>
      </c>
      <c r="D111">
        <v>98.72</v>
      </c>
      <c r="E111">
        <v>3.3370000000000002</v>
      </c>
      <c r="F111">
        <v>12.98</v>
      </c>
      <c r="G111">
        <v>70.52</v>
      </c>
      <c r="H111">
        <v>9.6180000000000003</v>
      </c>
      <c r="I111">
        <v>33.04</v>
      </c>
      <c r="J111">
        <v>66.599999999999994</v>
      </c>
      <c r="K111">
        <v>46.74</v>
      </c>
      <c r="L111">
        <v>330</v>
      </c>
      <c r="M111">
        <v>71.78</v>
      </c>
      <c r="N111">
        <v>87.7</v>
      </c>
      <c r="O111">
        <v>7.7</v>
      </c>
      <c r="P111">
        <v>167.05</v>
      </c>
      <c r="Q111">
        <v>10.3</v>
      </c>
      <c r="R111">
        <v>17760</v>
      </c>
      <c r="S111">
        <v>0.443</v>
      </c>
      <c r="T111">
        <v>152</v>
      </c>
      <c r="U111">
        <v>8.6999999999999993</v>
      </c>
      <c r="V111">
        <v>11.18</v>
      </c>
      <c r="W111" s="3">
        <v>45926</v>
      </c>
      <c r="X111">
        <v>2650</v>
      </c>
      <c r="Y111">
        <v>561</v>
      </c>
      <c r="Z111">
        <v>72.86</v>
      </c>
      <c r="AA111">
        <v>5.0460000000000003</v>
      </c>
      <c r="AB111">
        <v>522.20000000000005</v>
      </c>
      <c r="AC111">
        <v>148.5</v>
      </c>
      <c r="AD111">
        <v>112.25</v>
      </c>
      <c r="AE111">
        <v>3201</v>
      </c>
      <c r="AF111">
        <v>184.4</v>
      </c>
      <c r="AG111">
        <v>4999</v>
      </c>
      <c r="AH111">
        <v>3352</v>
      </c>
      <c r="AI111">
        <v>253.5</v>
      </c>
      <c r="AJ111">
        <v>56.874986999999997</v>
      </c>
      <c r="AK111">
        <v>34.46</v>
      </c>
      <c r="AL111">
        <v>75.05</v>
      </c>
      <c r="AM111">
        <v>1234</v>
      </c>
      <c r="AN111">
        <v>454.6</v>
      </c>
      <c r="AO111">
        <v>6795</v>
      </c>
      <c r="AP111">
        <v>82.94</v>
      </c>
      <c r="AQ111">
        <v>115.1</v>
      </c>
    </row>
    <row r="112" spans="2:43" x14ac:dyDescent="0.2">
      <c r="B112" s="3">
        <v>45929</v>
      </c>
      <c r="C112">
        <v>1163.5</v>
      </c>
      <c r="D112">
        <v>99.1</v>
      </c>
      <c r="E112">
        <v>3.2930000000000001</v>
      </c>
      <c r="F112">
        <v>12.62</v>
      </c>
      <c r="G112">
        <v>70.180000000000007</v>
      </c>
      <c r="H112">
        <v>9.4260000000000002</v>
      </c>
      <c r="I112">
        <v>33.04</v>
      </c>
      <c r="J112">
        <v>66.5</v>
      </c>
      <c r="K112">
        <v>47.5</v>
      </c>
      <c r="L112">
        <v>330.5</v>
      </c>
      <c r="M112">
        <v>72.5</v>
      </c>
      <c r="N112">
        <v>88.92</v>
      </c>
      <c r="O112">
        <v>7.6550000000000002</v>
      </c>
      <c r="P112">
        <v>165.8</v>
      </c>
      <c r="Q112">
        <v>10.4</v>
      </c>
      <c r="R112">
        <v>17625</v>
      </c>
      <c r="S112">
        <v>0.44119999999999998</v>
      </c>
      <c r="T112">
        <v>160</v>
      </c>
      <c r="U112">
        <v>8.67</v>
      </c>
      <c r="V112">
        <v>11.49</v>
      </c>
      <c r="W112" s="3">
        <v>45929</v>
      </c>
      <c r="X112">
        <v>2700</v>
      </c>
      <c r="Y112">
        <v>562</v>
      </c>
      <c r="Z112">
        <v>73.540000000000006</v>
      </c>
      <c r="AA112">
        <v>5.07</v>
      </c>
      <c r="AB112">
        <v>519.79999999999995</v>
      </c>
      <c r="AC112">
        <v>149.5</v>
      </c>
      <c r="AD112">
        <v>113.9</v>
      </c>
      <c r="AE112">
        <v>3217</v>
      </c>
      <c r="AF112">
        <v>185.4</v>
      </c>
      <c r="AG112">
        <v>5010</v>
      </c>
      <c r="AH112">
        <v>3390</v>
      </c>
      <c r="AI112">
        <v>256.10000000000002</v>
      </c>
      <c r="AJ112">
        <v>56.874986999999997</v>
      </c>
      <c r="AK112">
        <v>36.200000000000003</v>
      </c>
      <c r="AL112">
        <v>75.75</v>
      </c>
      <c r="AM112">
        <v>1249</v>
      </c>
      <c r="AN112">
        <v>459.8</v>
      </c>
      <c r="AO112">
        <v>6760</v>
      </c>
      <c r="AP112">
        <v>83.48</v>
      </c>
      <c r="AQ112">
        <v>116.85</v>
      </c>
    </row>
    <row r="113" spans="2:43" x14ac:dyDescent="0.2">
      <c r="B113" s="3">
        <v>45930</v>
      </c>
      <c r="C113">
        <v>1190</v>
      </c>
      <c r="D113">
        <v>99.42</v>
      </c>
      <c r="E113">
        <v>3.3</v>
      </c>
      <c r="F113">
        <v>12.725</v>
      </c>
      <c r="G113">
        <v>70.48</v>
      </c>
      <c r="H113">
        <v>9.4359999999999999</v>
      </c>
      <c r="I113">
        <v>33.159999999999997</v>
      </c>
      <c r="J113">
        <v>66.95</v>
      </c>
      <c r="K113">
        <v>47.17</v>
      </c>
      <c r="L113">
        <v>332.4</v>
      </c>
      <c r="M113">
        <v>72.52</v>
      </c>
      <c r="N113">
        <v>89.44</v>
      </c>
      <c r="O113">
        <v>7.7149999999999999</v>
      </c>
      <c r="P113">
        <v>166.6</v>
      </c>
      <c r="Q113">
        <v>10.45</v>
      </c>
      <c r="R113">
        <v>17680</v>
      </c>
      <c r="S113">
        <v>0.44529999999999997</v>
      </c>
      <c r="T113">
        <v>160</v>
      </c>
      <c r="U113">
        <v>8.6649999999999991</v>
      </c>
      <c r="V113">
        <v>11.54</v>
      </c>
      <c r="W113" s="3">
        <v>45930</v>
      </c>
      <c r="X113">
        <v>2704</v>
      </c>
      <c r="Y113">
        <v>562.5</v>
      </c>
      <c r="Z113">
        <v>74.040000000000006</v>
      </c>
      <c r="AA113">
        <v>5.1180000000000003</v>
      </c>
      <c r="AB113">
        <v>527.20000000000005</v>
      </c>
      <c r="AC113">
        <v>149</v>
      </c>
      <c r="AD113">
        <v>116.15</v>
      </c>
      <c r="AE113">
        <v>3232</v>
      </c>
      <c r="AF113">
        <v>186.4</v>
      </c>
      <c r="AG113">
        <v>4965</v>
      </c>
      <c r="AH113">
        <v>3450</v>
      </c>
      <c r="AI113">
        <v>259.89999999999998</v>
      </c>
      <c r="AJ113">
        <v>56.486098200000001</v>
      </c>
      <c r="AK113">
        <v>37.04</v>
      </c>
      <c r="AL113">
        <v>76.05</v>
      </c>
      <c r="AM113">
        <v>1270</v>
      </c>
      <c r="AN113">
        <v>467.6</v>
      </c>
      <c r="AO113">
        <v>6815</v>
      </c>
      <c r="AP113">
        <v>83.6</v>
      </c>
      <c r="AQ113">
        <v>113.55</v>
      </c>
    </row>
    <row r="114" spans="2:43" x14ac:dyDescent="0.2">
      <c r="B114" s="3">
        <v>45931</v>
      </c>
      <c r="C114">
        <v>1177</v>
      </c>
      <c r="D114">
        <v>104.15</v>
      </c>
      <c r="E114">
        <v>3.2930000000000001</v>
      </c>
      <c r="F114">
        <v>12.9</v>
      </c>
      <c r="G114">
        <v>71.180000000000007</v>
      </c>
      <c r="H114">
        <v>9.6140000000000008</v>
      </c>
      <c r="I114">
        <v>32.92</v>
      </c>
      <c r="J114">
        <v>65.650000000000006</v>
      </c>
      <c r="K114">
        <v>44.71</v>
      </c>
      <c r="L114">
        <v>333.1</v>
      </c>
      <c r="M114">
        <v>72.64</v>
      </c>
      <c r="N114">
        <v>89.18</v>
      </c>
      <c r="O114">
        <v>7.91</v>
      </c>
      <c r="P114">
        <v>170.8</v>
      </c>
      <c r="Q114">
        <v>10.51</v>
      </c>
      <c r="R114">
        <v>17550</v>
      </c>
      <c r="S114">
        <v>0.46100000000000002</v>
      </c>
      <c r="T114">
        <v>166.05</v>
      </c>
      <c r="U114">
        <v>8.65</v>
      </c>
      <c r="V114">
        <v>11.8</v>
      </c>
      <c r="W114" s="3">
        <v>45931</v>
      </c>
      <c r="X114">
        <v>2769</v>
      </c>
      <c r="Y114">
        <v>565.5</v>
      </c>
      <c r="Z114">
        <v>74.680000000000007</v>
      </c>
      <c r="AA114">
        <v>5.0780000000000003</v>
      </c>
      <c r="AB114">
        <v>534.6</v>
      </c>
      <c r="AC114">
        <v>151.6</v>
      </c>
      <c r="AD114">
        <v>114.25</v>
      </c>
      <c r="AE114">
        <v>3215</v>
      </c>
      <c r="AF114">
        <v>184.6</v>
      </c>
      <c r="AG114">
        <v>5040</v>
      </c>
      <c r="AH114">
        <v>3460</v>
      </c>
      <c r="AI114">
        <v>282.3</v>
      </c>
      <c r="AJ114">
        <v>56.388876000000003</v>
      </c>
      <c r="AK114">
        <v>37.369999999999997</v>
      </c>
      <c r="AL114">
        <v>76.5</v>
      </c>
      <c r="AM114">
        <v>1278.5</v>
      </c>
      <c r="AN114">
        <v>469.8</v>
      </c>
      <c r="AO114">
        <v>6960</v>
      </c>
      <c r="AP114">
        <v>83.06</v>
      </c>
      <c r="AQ114">
        <v>117</v>
      </c>
    </row>
    <row r="115" spans="2:43" x14ac:dyDescent="0.2">
      <c r="B115" s="3">
        <v>45932</v>
      </c>
      <c r="C115">
        <v>1167.5</v>
      </c>
      <c r="D115">
        <v>108.45</v>
      </c>
      <c r="E115">
        <v>3.2829999999999999</v>
      </c>
      <c r="F115">
        <v>12.63</v>
      </c>
      <c r="G115">
        <v>73.8</v>
      </c>
      <c r="H115">
        <v>9.6980000000000004</v>
      </c>
      <c r="I115">
        <v>32.96</v>
      </c>
      <c r="J115">
        <v>65.7</v>
      </c>
      <c r="K115">
        <v>45.92</v>
      </c>
      <c r="L115">
        <v>329.7</v>
      </c>
      <c r="M115">
        <v>72.88</v>
      </c>
      <c r="N115">
        <v>88.9</v>
      </c>
      <c r="O115">
        <v>7.9</v>
      </c>
      <c r="P115">
        <v>168.95</v>
      </c>
      <c r="Q115">
        <v>10.7</v>
      </c>
      <c r="R115">
        <v>17585</v>
      </c>
      <c r="S115">
        <v>0.47</v>
      </c>
      <c r="T115">
        <v>167.35</v>
      </c>
      <c r="U115">
        <v>8.7249999999999996</v>
      </c>
      <c r="V115">
        <v>11.91</v>
      </c>
      <c r="W115" s="3">
        <v>45932</v>
      </c>
      <c r="X115">
        <v>2838</v>
      </c>
      <c r="Y115">
        <v>571</v>
      </c>
      <c r="Z115">
        <v>74.8</v>
      </c>
      <c r="AA115">
        <v>5.0380000000000003</v>
      </c>
      <c r="AB115">
        <v>542.4</v>
      </c>
      <c r="AC115">
        <v>152.80000000000001</v>
      </c>
      <c r="AD115">
        <v>115.05</v>
      </c>
      <c r="AE115">
        <v>3236</v>
      </c>
      <c r="AF115">
        <v>183.2</v>
      </c>
      <c r="AG115">
        <v>4999</v>
      </c>
      <c r="AH115">
        <v>3502</v>
      </c>
      <c r="AI115">
        <v>284.3</v>
      </c>
      <c r="AJ115">
        <v>56.388876000000003</v>
      </c>
      <c r="AK115">
        <v>37.01</v>
      </c>
      <c r="AL115">
        <v>77.150000000000006</v>
      </c>
      <c r="AM115">
        <v>1283</v>
      </c>
      <c r="AN115">
        <v>474.6</v>
      </c>
      <c r="AO115">
        <v>7095</v>
      </c>
      <c r="AP115">
        <v>83.88</v>
      </c>
      <c r="AQ115">
        <v>117</v>
      </c>
    </row>
    <row r="116" spans="2:43" x14ac:dyDescent="0.2">
      <c r="B116" s="3">
        <v>45933</v>
      </c>
      <c r="C116">
        <v>1168.5</v>
      </c>
      <c r="D116">
        <v>106.05</v>
      </c>
      <c r="E116">
        <v>3.32</v>
      </c>
      <c r="F116">
        <v>12.815</v>
      </c>
      <c r="G116">
        <v>73.680000000000007</v>
      </c>
      <c r="H116">
        <v>9.6839999999999993</v>
      </c>
      <c r="I116">
        <v>32.54</v>
      </c>
      <c r="J116">
        <v>64.5</v>
      </c>
      <c r="K116">
        <v>46.52</v>
      </c>
      <c r="L116">
        <v>331.3</v>
      </c>
      <c r="M116">
        <v>73.14</v>
      </c>
      <c r="N116">
        <v>88.9</v>
      </c>
      <c r="O116">
        <v>7.96</v>
      </c>
      <c r="P116">
        <v>169.6</v>
      </c>
      <c r="Q116">
        <v>10.95</v>
      </c>
      <c r="R116">
        <v>17400</v>
      </c>
      <c r="S116">
        <v>0.48209999999999997</v>
      </c>
      <c r="T116">
        <v>171.65</v>
      </c>
      <c r="U116">
        <v>8.8049999999999997</v>
      </c>
      <c r="V116">
        <v>11.87</v>
      </c>
      <c r="W116" s="3">
        <v>45933</v>
      </c>
      <c r="X116">
        <v>2871</v>
      </c>
      <c r="Y116">
        <v>572.5</v>
      </c>
      <c r="Z116">
        <v>75.22</v>
      </c>
      <c r="AA116">
        <v>5.05</v>
      </c>
      <c r="AB116">
        <v>553.6</v>
      </c>
      <c r="AC116">
        <v>148.4</v>
      </c>
      <c r="AD116">
        <v>112.25</v>
      </c>
      <c r="AE116">
        <v>3244</v>
      </c>
      <c r="AF116">
        <v>184.2</v>
      </c>
      <c r="AG116">
        <v>5084</v>
      </c>
      <c r="AH116">
        <v>3502</v>
      </c>
      <c r="AI116">
        <v>286.8</v>
      </c>
      <c r="AJ116">
        <v>55.9999872</v>
      </c>
      <c r="AK116">
        <v>37.299999999999997</v>
      </c>
      <c r="AL116">
        <v>77.5</v>
      </c>
      <c r="AM116">
        <v>1291.5</v>
      </c>
      <c r="AN116">
        <v>478</v>
      </c>
      <c r="AO116">
        <v>7290</v>
      </c>
      <c r="AP116">
        <v>84.96</v>
      </c>
      <c r="AQ116">
        <v>120.6</v>
      </c>
    </row>
    <row r="117" spans="2:43" x14ac:dyDescent="0.2">
      <c r="B117" s="3">
        <v>45936</v>
      </c>
      <c r="C117">
        <v>1154.5</v>
      </c>
      <c r="D117">
        <v>106.75</v>
      </c>
      <c r="E117">
        <v>3.3069999999999999</v>
      </c>
      <c r="F117">
        <v>12.92</v>
      </c>
      <c r="G117">
        <v>73.28</v>
      </c>
      <c r="H117">
        <v>9.8000000000000007</v>
      </c>
      <c r="I117">
        <v>32</v>
      </c>
      <c r="J117">
        <v>64.95</v>
      </c>
      <c r="K117">
        <v>48.22</v>
      </c>
      <c r="L117">
        <v>326.89999999999998</v>
      </c>
      <c r="M117">
        <v>72.92</v>
      </c>
      <c r="N117">
        <v>88.42</v>
      </c>
      <c r="O117">
        <v>7.83</v>
      </c>
      <c r="P117">
        <v>170.55</v>
      </c>
      <c r="Q117">
        <v>10.66</v>
      </c>
      <c r="R117">
        <v>17495</v>
      </c>
      <c r="S117">
        <v>0.4829</v>
      </c>
      <c r="T117">
        <v>173.8</v>
      </c>
      <c r="U117">
        <v>8.6950000000000003</v>
      </c>
      <c r="V117">
        <v>11.7</v>
      </c>
      <c r="W117" s="3">
        <v>45936</v>
      </c>
      <c r="X117">
        <v>2842</v>
      </c>
      <c r="Y117">
        <v>573.5</v>
      </c>
      <c r="Z117">
        <v>74.5</v>
      </c>
      <c r="AA117">
        <v>5.0460000000000003</v>
      </c>
      <c r="AB117">
        <v>557.20000000000005</v>
      </c>
      <c r="AC117">
        <v>147.9</v>
      </c>
      <c r="AD117">
        <v>112.85</v>
      </c>
      <c r="AE117">
        <v>3230</v>
      </c>
      <c r="AF117">
        <v>184.2</v>
      </c>
      <c r="AG117">
        <v>5052</v>
      </c>
      <c r="AH117">
        <v>3524</v>
      </c>
      <c r="AI117">
        <v>288.39999999999998</v>
      </c>
      <c r="AJ117">
        <v>55.902765000000002</v>
      </c>
      <c r="AK117">
        <v>36.869999999999997</v>
      </c>
      <c r="AL117">
        <v>77.150000000000006</v>
      </c>
      <c r="AM117">
        <v>1293.5</v>
      </c>
      <c r="AN117">
        <v>475.8</v>
      </c>
      <c r="AO117">
        <v>7285</v>
      </c>
      <c r="AP117">
        <v>84.66</v>
      </c>
      <c r="AQ117">
        <v>122.35</v>
      </c>
    </row>
    <row r="118" spans="2:43" x14ac:dyDescent="0.2">
      <c r="B118" s="3">
        <v>45937</v>
      </c>
      <c r="C118">
        <v>1153.5</v>
      </c>
      <c r="D118">
        <v>104.9</v>
      </c>
      <c r="E118">
        <v>3.2749999999999999</v>
      </c>
      <c r="F118">
        <v>12.695</v>
      </c>
      <c r="G118">
        <v>73.56</v>
      </c>
      <c r="H118">
        <v>9.6240000000000006</v>
      </c>
      <c r="I118">
        <v>31.46</v>
      </c>
      <c r="J118">
        <v>64.2</v>
      </c>
      <c r="K118">
        <v>47.5</v>
      </c>
      <c r="L118">
        <v>330.3</v>
      </c>
      <c r="M118">
        <v>74.319999999999993</v>
      </c>
      <c r="N118">
        <v>87.14</v>
      </c>
      <c r="O118">
        <v>7.85</v>
      </c>
      <c r="P118">
        <v>170.05</v>
      </c>
      <c r="Q118">
        <v>10.34</v>
      </c>
      <c r="R118">
        <v>17830</v>
      </c>
      <c r="S118">
        <v>0.48559999999999998</v>
      </c>
      <c r="T118">
        <v>178</v>
      </c>
      <c r="U118">
        <v>8.7349999999999994</v>
      </c>
      <c r="V118">
        <v>11.62</v>
      </c>
      <c r="W118" s="3">
        <v>45937</v>
      </c>
      <c r="X118">
        <v>2872</v>
      </c>
      <c r="Y118">
        <v>568.5</v>
      </c>
      <c r="Z118">
        <v>76.22</v>
      </c>
      <c r="AA118">
        <v>5.0620000000000003</v>
      </c>
      <c r="AB118">
        <v>540.20000000000005</v>
      </c>
      <c r="AC118">
        <v>146.30000000000001</v>
      </c>
      <c r="AD118">
        <v>110.8</v>
      </c>
      <c r="AE118">
        <v>3300</v>
      </c>
      <c r="AF118">
        <v>183</v>
      </c>
      <c r="AG118">
        <v>5086</v>
      </c>
      <c r="AH118">
        <v>3534</v>
      </c>
      <c r="AI118">
        <v>288.5</v>
      </c>
      <c r="AJ118">
        <v>55.805542799999998</v>
      </c>
      <c r="AK118">
        <v>36.380000000000003</v>
      </c>
      <c r="AL118">
        <v>77.3</v>
      </c>
      <c r="AM118">
        <v>1284.5</v>
      </c>
      <c r="AN118">
        <v>478.6</v>
      </c>
      <c r="AO118">
        <v>7120</v>
      </c>
      <c r="AP118">
        <v>85.9</v>
      </c>
      <c r="AQ118">
        <v>121.25</v>
      </c>
    </row>
    <row r="119" spans="2:43" x14ac:dyDescent="0.2">
      <c r="B119" s="3">
        <v>45938</v>
      </c>
      <c r="C119">
        <v>1152.5</v>
      </c>
      <c r="D119">
        <v>108.4</v>
      </c>
      <c r="E119">
        <v>3.3079999999999998</v>
      </c>
      <c r="F119">
        <v>12.99</v>
      </c>
      <c r="G119">
        <v>73.62</v>
      </c>
      <c r="H119">
        <v>9.7040000000000006</v>
      </c>
      <c r="I119">
        <v>31.78</v>
      </c>
      <c r="J119">
        <v>64.650000000000006</v>
      </c>
      <c r="K119">
        <v>48.54</v>
      </c>
      <c r="L119">
        <v>340.8</v>
      </c>
      <c r="M119">
        <v>74.319999999999993</v>
      </c>
      <c r="N119">
        <v>87.28</v>
      </c>
      <c r="O119">
        <v>7.96</v>
      </c>
      <c r="P119">
        <v>169.8</v>
      </c>
      <c r="Q119">
        <v>10.44</v>
      </c>
      <c r="R119">
        <v>17690</v>
      </c>
      <c r="S119">
        <v>0.47220000000000001</v>
      </c>
      <c r="T119">
        <v>186.55</v>
      </c>
      <c r="U119">
        <v>8.69</v>
      </c>
      <c r="V119">
        <v>11.47</v>
      </c>
      <c r="W119" s="3">
        <v>45938</v>
      </c>
      <c r="X119">
        <v>2823</v>
      </c>
      <c r="Y119">
        <v>563</v>
      </c>
      <c r="Z119">
        <v>76.86</v>
      </c>
      <c r="AA119">
        <v>5.1020000000000003</v>
      </c>
      <c r="AB119">
        <v>544.79999999999995</v>
      </c>
      <c r="AC119">
        <v>145</v>
      </c>
      <c r="AD119">
        <v>110.85</v>
      </c>
      <c r="AE119">
        <v>3388</v>
      </c>
      <c r="AF119">
        <v>182.6</v>
      </c>
      <c r="AG119">
        <v>5148</v>
      </c>
      <c r="AH119">
        <v>3568</v>
      </c>
      <c r="AI119">
        <v>291.3</v>
      </c>
      <c r="AJ119">
        <v>56.680542600000003</v>
      </c>
      <c r="AK119">
        <v>36.17</v>
      </c>
      <c r="AL119">
        <v>77.7</v>
      </c>
      <c r="AM119">
        <v>1306.5</v>
      </c>
      <c r="AN119">
        <v>477</v>
      </c>
      <c r="AO119">
        <v>6960</v>
      </c>
      <c r="AP119">
        <v>84.06</v>
      </c>
      <c r="AQ119">
        <v>122.2</v>
      </c>
    </row>
    <row r="120" spans="2:43" x14ac:dyDescent="0.2">
      <c r="B120" s="3">
        <v>45939</v>
      </c>
      <c r="C120">
        <v>1155</v>
      </c>
      <c r="D120">
        <v>109.75</v>
      </c>
      <c r="E120">
        <v>3.2519999999999998</v>
      </c>
      <c r="F120">
        <v>12.935</v>
      </c>
      <c r="G120">
        <v>73.180000000000007</v>
      </c>
      <c r="H120">
        <v>9.798</v>
      </c>
      <c r="I120">
        <v>32.020000000000003</v>
      </c>
      <c r="J120">
        <v>64.099999999999994</v>
      </c>
      <c r="K120">
        <v>49.49</v>
      </c>
      <c r="L120">
        <v>340.1</v>
      </c>
      <c r="M120">
        <v>74.099999999999994</v>
      </c>
      <c r="N120">
        <v>87.38</v>
      </c>
      <c r="O120">
        <v>7.87</v>
      </c>
      <c r="P120">
        <v>169.75</v>
      </c>
      <c r="Q120">
        <v>10.36</v>
      </c>
      <c r="R120">
        <v>17445</v>
      </c>
      <c r="S120">
        <v>0.48559999999999998</v>
      </c>
      <c r="T120">
        <v>189.8</v>
      </c>
      <c r="U120">
        <v>8.75</v>
      </c>
      <c r="V120">
        <v>11.38</v>
      </c>
      <c r="W120" s="3">
        <v>45939</v>
      </c>
      <c r="X120">
        <v>2761</v>
      </c>
      <c r="Y120">
        <v>561.5</v>
      </c>
      <c r="Z120">
        <v>77.16</v>
      </c>
      <c r="AA120">
        <v>5.12</v>
      </c>
      <c r="AB120">
        <v>544.20000000000005</v>
      </c>
      <c r="AC120">
        <v>142.69999999999999</v>
      </c>
      <c r="AD120">
        <v>110</v>
      </c>
      <c r="AE120">
        <v>3377</v>
      </c>
      <c r="AF120">
        <v>181.6</v>
      </c>
      <c r="AG120">
        <v>5140</v>
      </c>
      <c r="AH120">
        <v>3570</v>
      </c>
      <c r="AI120">
        <v>293.60000000000002</v>
      </c>
      <c r="AJ120">
        <v>56.7777648</v>
      </c>
      <c r="AK120">
        <v>36.119999999999997</v>
      </c>
      <c r="AL120">
        <v>77.849999999999994</v>
      </c>
      <c r="AM120">
        <v>1311.5</v>
      </c>
      <c r="AN120">
        <v>484.8</v>
      </c>
      <c r="AO120">
        <v>6970</v>
      </c>
      <c r="AP120">
        <v>85.08</v>
      </c>
      <c r="AQ120">
        <v>119</v>
      </c>
    </row>
    <row r="121" spans="2:43" x14ac:dyDescent="0.2">
      <c r="B121" s="3">
        <v>45940</v>
      </c>
      <c r="C121">
        <v>1138.5</v>
      </c>
      <c r="D121">
        <v>106</v>
      </c>
      <c r="E121">
        <v>3.1669999999999998</v>
      </c>
      <c r="F121">
        <v>12.664999999999999</v>
      </c>
      <c r="G121">
        <v>74</v>
      </c>
      <c r="H121">
        <v>9.5779999999999994</v>
      </c>
      <c r="I121">
        <v>31.98</v>
      </c>
      <c r="J121">
        <v>63.4</v>
      </c>
      <c r="K121">
        <v>49.17</v>
      </c>
      <c r="L121">
        <v>338.6</v>
      </c>
      <c r="M121">
        <v>72.98</v>
      </c>
      <c r="N121">
        <v>88.06</v>
      </c>
      <c r="O121">
        <v>7.6749999999999998</v>
      </c>
      <c r="P121">
        <v>168.9</v>
      </c>
      <c r="Q121">
        <v>10.210000000000001</v>
      </c>
      <c r="R121">
        <v>17250</v>
      </c>
      <c r="S121">
        <v>0.4748</v>
      </c>
      <c r="T121">
        <v>188</v>
      </c>
      <c r="U121">
        <v>8.4</v>
      </c>
      <c r="V121">
        <v>10.82</v>
      </c>
      <c r="W121" s="3">
        <v>45940</v>
      </c>
      <c r="X121">
        <v>2737</v>
      </c>
      <c r="Y121">
        <v>556</v>
      </c>
      <c r="Z121">
        <v>76.38</v>
      </c>
      <c r="AA121">
        <v>5.1639999999999997</v>
      </c>
      <c r="AB121">
        <v>527.4</v>
      </c>
      <c r="AC121">
        <v>142.9</v>
      </c>
      <c r="AD121">
        <v>109.3</v>
      </c>
      <c r="AE121">
        <v>3341</v>
      </c>
      <c r="AF121">
        <v>182.6</v>
      </c>
      <c r="AG121">
        <v>5108</v>
      </c>
      <c r="AH121">
        <v>3494</v>
      </c>
      <c r="AI121">
        <v>290.2</v>
      </c>
      <c r="AJ121">
        <v>56.874986999999997</v>
      </c>
      <c r="AK121">
        <v>35.659999999999997</v>
      </c>
      <c r="AL121">
        <v>77.599999999999994</v>
      </c>
      <c r="AM121">
        <v>1325</v>
      </c>
      <c r="AN121">
        <v>490.6</v>
      </c>
      <c r="AO121">
        <v>6885</v>
      </c>
      <c r="AP121">
        <v>83.56</v>
      </c>
      <c r="AQ121">
        <v>122.55</v>
      </c>
    </row>
    <row r="122" spans="2:43" x14ac:dyDescent="0.2">
      <c r="B122" s="3">
        <v>45943</v>
      </c>
      <c r="C122">
        <v>1128.5</v>
      </c>
      <c r="D122">
        <v>108.5</v>
      </c>
      <c r="E122">
        <v>3.2210000000000001</v>
      </c>
      <c r="F122">
        <v>12.675000000000001</v>
      </c>
      <c r="G122">
        <v>74.44</v>
      </c>
      <c r="H122">
        <v>9.64</v>
      </c>
      <c r="I122">
        <v>32.119999999999997</v>
      </c>
      <c r="J122">
        <v>63.65</v>
      </c>
      <c r="K122">
        <v>48.96</v>
      </c>
      <c r="L122">
        <v>342.1</v>
      </c>
      <c r="M122">
        <v>73.42</v>
      </c>
      <c r="N122">
        <v>87.94</v>
      </c>
      <c r="O122">
        <v>7.625</v>
      </c>
      <c r="P122">
        <v>169.85</v>
      </c>
      <c r="Q122">
        <v>10.31</v>
      </c>
      <c r="R122">
        <v>17225</v>
      </c>
      <c r="S122">
        <v>0.48430000000000001</v>
      </c>
      <c r="T122">
        <v>192.25</v>
      </c>
      <c r="U122">
        <v>8.42</v>
      </c>
      <c r="V122">
        <v>10.93</v>
      </c>
      <c r="W122" s="3">
        <v>45943</v>
      </c>
      <c r="X122">
        <v>2738</v>
      </c>
      <c r="Y122">
        <v>558</v>
      </c>
      <c r="Z122">
        <v>76.44</v>
      </c>
      <c r="AA122">
        <v>5.1360000000000001</v>
      </c>
      <c r="AB122">
        <v>529.4</v>
      </c>
      <c r="AC122">
        <v>141.5</v>
      </c>
      <c r="AD122">
        <v>110.15</v>
      </c>
      <c r="AE122">
        <v>3367</v>
      </c>
      <c r="AF122">
        <v>184.4</v>
      </c>
      <c r="AG122">
        <v>5204</v>
      </c>
      <c r="AH122">
        <v>3472</v>
      </c>
      <c r="AI122">
        <v>290.10000000000002</v>
      </c>
      <c r="AJ122">
        <v>57.263875800000001</v>
      </c>
      <c r="AK122">
        <v>36.29</v>
      </c>
      <c r="AL122">
        <v>77.45</v>
      </c>
      <c r="AM122">
        <v>1347.5</v>
      </c>
      <c r="AN122">
        <v>498.6</v>
      </c>
      <c r="AO122">
        <v>6930</v>
      </c>
      <c r="AP122">
        <v>82.14</v>
      </c>
      <c r="AQ122">
        <v>124</v>
      </c>
    </row>
    <row r="123" spans="2:43" x14ac:dyDescent="0.2">
      <c r="B123" s="3">
        <v>45944</v>
      </c>
      <c r="C123">
        <v>1124</v>
      </c>
      <c r="D123">
        <v>106.15</v>
      </c>
      <c r="E123">
        <v>3.2559999999999998</v>
      </c>
      <c r="F123">
        <v>12.5</v>
      </c>
      <c r="G123">
        <v>73.819999999999993</v>
      </c>
      <c r="H123">
        <v>9.5259999999999998</v>
      </c>
      <c r="I123">
        <v>32.799999999999997</v>
      </c>
      <c r="J123">
        <v>62.95</v>
      </c>
      <c r="K123">
        <v>48.99</v>
      </c>
      <c r="L123">
        <v>343.5</v>
      </c>
      <c r="M123">
        <v>72.459999999999994</v>
      </c>
      <c r="N123">
        <v>88.84</v>
      </c>
      <c r="O123">
        <v>7.63</v>
      </c>
      <c r="P123">
        <v>173</v>
      </c>
      <c r="Q123">
        <v>10.11</v>
      </c>
      <c r="R123">
        <v>16700</v>
      </c>
      <c r="S123">
        <v>0.47589999999999999</v>
      </c>
      <c r="T123">
        <v>186.25</v>
      </c>
      <c r="U123">
        <v>8.1999999999999993</v>
      </c>
      <c r="V123">
        <v>10.67</v>
      </c>
      <c r="W123" s="3">
        <v>45944</v>
      </c>
      <c r="X123">
        <v>2662</v>
      </c>
      <c r="Y123">
        <v>559.5</v>
      </c>
      <c r="Z123">
        <v>75.44</v>
      </c>
      <c r="AA123">
        <v>5.1719999999999997</v>
      </c>
      <c r="AB123">
        <v>523.4</v>
      </c>
      <c r="AC123">
        <v>139.80000000000001</v>
      </c>
      <c r="AD123">
        <v>109.95</v>
      </c>
      <c r="AE123">
        <v>3380</v>
      </c>
      <c r="AF123">
        <v>185.2</v>
      </c>
      <c r="AG123">
        <v>5148</v>
      </c>
      <c r="AH123">
        <v>3456</v>
      </c>
      <c r="AI123">
        <v>286.2</v>
      </c>
      <c r="AJ123">
        <v>49.6805442</v>
      </c>
      <c r="AK123">
        <v>35.54</v>
      </c>
      <c r="AL123">
        <v>77.2</v>
      </c>
      <c r="AM123">
        <v>1357.5</v>
      </c>
      <c r="AN123">
        <v>498.6</v>
      </c>
      <c r="AO123">
        <v>6645</v>
      </c>
      <c r="AP123">
        <v>81.44</v>
      </c>
      <c r="AQ123">
        <v>119.4</v>
      </c>
    </row>
    <row r="124" spans="2:43" x14ac:dyDescent="0.2">
      <c r="B124" s="3">
        <v>45945</v>
      </c>
      <c r="C124">
        <v>1112.5</v>
      </c>
      <c r="D124">
        <v>105.9</v>
      </c>
      <c r="E124">
        <v>3.226</v>
      </c>
      <c r="F124">
        <v>12.15</v>
      </c>
      <c r="G124">
        <v>76</v>
      </c>
      <c r="H124">
        <v>9.2360000000000007</v>
      </c>
      <c r="I124">
        <v>32.86</v>
      </c>
      <c r="J124">
        <v>63</v>
      </c>
      <c r="K124">
        <v>48.68</v>
      </c>
      <c r="L124">
        <v>341.6</v>
      </c>
      <c r="M124">
        <v>72.5</v>
      </c>
      <c r="N124">
        <v>88.5</v>
      </c>
      <c r="O124">
        <v>7.62</v>
      </c>
      <c r="P124">
        <v>170.1</v>
      </c>
      <c r="Q124">
        <v>10.220000000000001</v>
      </c>
      <c r="R124">
        <v>16930</v>
      </c>
      <c r="S124">
        <v>0.47899999999999998</v>
      </c>
      <c r="T124">
        <v>190.25</v>
      </c>
      <c r="U124">
        <v>8.24</v>
      </c>
      <c r="V124">
        <v>10.85</v>
      </c>
      <c r="W124" s="3">
        <v>45945</v>
      </c>
      <c r="X124">
        <v>2670</v>
      </c>
      <c r="Y124">
        <v>566.5</v>
      </c>
      <c r="Z124">
        <v>75.72</v>
      </c>
      <c r="AA124">
        <v>5.18</v>
      </c>
      <c r="AB124">
        <v>536.79999999999995</v>
      </c>
      <c r="AC124">
        <v>134</v>
      </c>
      <c r="AD124">
        <v>109.75</v>
      </c>
      <c r="AE124">
        <v>3442</v>
      </c>
      <c r="AF124">
        <v>186.2</v>
      </c>
      <c r="AG124">
        <v>5264</v>
      </c>
      <c r="AH124">
        <v>3468</v>
      </c>
      <c r="AI124">
        <v>284.10000000000002</v>
      </c>
      <c r="AJ124">
        <v>52.111099199999998</v>
      </c>
      <c r="AK124">
        <v>36.35</v>
      </c>
      <c r="AL124">
        <v>77.5</v>
      </c>
      <c r="AM124">
        <v>1350.5</v>
      </c>
      <c r="AN124">
        <v>513</v>
      </c>
      <c r="AO124">
        <v>6660</v>
      </c>
      <c r="AP124">
        <v>82.6</v>
      </c>
      <c r="AQ124">
        <v>120.7</v>
      </c>
    </row>
    <row r="125" spans="2:43" x14ac:dyDescent="0.2">
      <c r="B125" s="3">
        <v>45946</v>
      </c>
      <c r="C125">
        <v>1140</v>
      </c>
      <c r="D125">
        <v>105.3</v>
      </c>
      <c r="E125">
        <v>3.2290000000000001</v>
      </c>
      <c r="F125">
        <v>12.205</v>
      </c>
      <c r="G125">
        <v>75.400000000000006</v>
      </c>
      <c r="H125">
        <v>9.3960000000000008</v>
      </c>
      <c r="I125">
        <v>33.159999999999997</v>
      </c>
      <c r="J125">
        <v>63.7</v>
      </c>
      <c r="K125">
        <v>48.68</v>
      </c>
      <c r="L125">
        <v>345.1</v>
      </c>
      <c r="M125">
        <v>74.959999999999994</v>
      </c>
      <c r="N125">
        <v>90.32</v>
      </c>
      <c r="O125">
        <v>7.64</v>
      </c>
      <c r="P125">
        <v>175.15</v>
      </c>
      <c r="Q125">
        <v>10.35</v>
      </c>
      <c r="R125">
        <v>16670</v>
      </c>
      <c r="S125">
        <v>0.50660000000000005</v>
      </c>
      <c r="T125">
        <v>191.25</v>
      </c>
      <c r="U125">
        <v>8.32</v>
      </c>
      <c r="V125">
        <v>10.94</v>
      </c>
      <c r="W125" s="3">
        <v>45946</v>
      </c>
      <c r="X125">
        <v>2898</v>
      </c>
      <c r="Y125">
        <v>566</v>
      </c>
      <c r="Z125">
        <v>78.8</v>
      </c>
      <c r="AA125">
        <v>5.2359999999999998</v>
      </c>
      <c r="AB125">
        <v>548.20000000000005</v>
      </c>
      <c r="AC125">
        <v>136.1</v>
      </c>
      <c r="AD125">
        <v>109.5</v>
      </c>
      <c r="AE125">
        <v>3539</v>
      </c>
      <c r="AF125">
        <v>186.4</v>
      </c>
      <c r="AG125">
        <v>5362</v>
      </c>
      <c r="AH125">
        <v>3480</v>
      </c>
      <c r="AI125">
        <v>285.3</v>
      </c>
      <c r="AJ125">
        <v>52.013877000000001</v>
      </c>
      <c r="AK125">
        <v>36.46</v>
      </c>
      <c r="AL125">
        <v>77.8</v>
      </c>
      <c r="AM125">
        <v>1343.5</v>
      </c>
      <c r="AN125">
        <v>512</v>
      </c>
      <c r="AO125">
        <v>6815</v>
      </c>
      <c r="AP125">
        <v>89.62</v>
      </c>
      <c r="AQ125">
        <v>120.75</v>
      </c>
    </row>
    <row r="126" spans="2:43" x14ac:dyDescent="0.2">
      <c r="B126" s="3">
        <v>45947</v>
      </c>
      <c r="C126">
        <v>1103</v>
      </c>
      <c r="D126">
        <v>100.9</v>
      </c>
      <c r="E126">
        <v>3.01</v>
      </c>
      <c r="F126">
        <v>12.01</v>
      </c>
      <c r="G126">
        <v>74.459999999999994</v>
      </c>
      <c r="H126">
        <v>9.2460000000000004</v>
      </c>
      <c r="I126">
        <v>32.74</v>
      </c>
      <c r="J126">
        <v>61.3</v>
      </c>
      <c r="K126">
        <v>48.42</v>
      </c>
      <c r="L126">
        <v>351.8</v>
      </c>
      <c r="M126">
        <v>75.52</v>
      </c>
      <c r="N126">
        <v>89.44</v>
      </c>
      <c r="O126">
        <v>7.375</v>
      </c>
      <c r="P126">
        <v>174.25</v>
      </c>
      <c r="Q126">
        <v>10.43</v>
      </c>
      <c r="R126">
        <v>16825</v>
      </c>
      <c r="S126">
        <v>0.50700000000000001</v>
      </c>
      <c r="T126">
        <v>187.75</v>
      </c>
      <c r="U126">
        <v>8.2050000000000001</v>
      </c>
      <c r="V126">
        <v>10.83</v>
      </c>
      <c r="W126" s="3">
        <v>45947</v>
      </c>
      <c r="X126">
        <v>2874</v>
      </c>
      <c r="Y126">
        <v>574.5</v>
      </c>
      <c r="Z126">
        <v>79.760000000000005</v>
      </c>
      <c r="AA126">
        <v>5.258</v>
      </c>
      <c r="AB126">
        <v>553.6</v>
      </c>
      <c r="AC126">
        <v>118.5</v>
      </c>
      <c r="AD126">
        <v>109.15</v>
      </c>
      <c r="AE126">
        <v>3570</v>
      </c>
      <c r="AF126">
        <v>186.4</v>
      </c>
      <c r="AG126">
        <v>5314</v>
      </c>
      <c r="AH126">
        <v>3454</v>
      </c>
      <c r="AI126">
        <v>283.7</v>
      </c>
      <c r="AJ126">
        <v>52.111099199999998</v>
      </c>
      <c r="AK126">
        <v>35.86</v>
      </c>
      <c r="AL126">
        <v>77</v>
      </c>
      <c r="AM126">
        <v>1303.5</v>
      </c>
      <c r="AN126">
        <v>507.5</v>
      </c>
      <c r="AO126">
        <v>6840</v>
      </c>
      <c r="AP126">
        <v>89.34</v>
      </c>
      <c r="AQ126">
        <v>119.75</v>
      </c>
    </row>
    <row r="127" spans="2:43" x14ac:dyDescent="0.2">
      <c r="B127" s="3">
        <v>45950</v>
      </c>
      <c r="C127">
        <v>1127</v>
      </c>
      <c r="D127">
        <v>101.95</v>
      </c>
      <c r="E127">
        <v>3.15</v>
      </c>
      <c r="F127">
        <v>12.315</v>
      </c>
      <c r="G127">
        <v>75.62</v>
      </c>
      <c r="H127">
        <v>9.5500000000000007</v>
      </c>
      <c r="I127">
        <v>32.6</v>
      </c>
      <c r="J127">
        <v>62.35</v>
      </c>
      <c r="K127">
        <v>48.95</v>
      </c>
      <c r="L127">
        <v>351.2</v>
      </c>
      <c r="M127">
        <v>75.84</v>
      </c>
      <c r="N127">
        <v>89.54</v>
      </c>
      <c r="O127">
        <v>7.52</v>
      </c>
      <c r="P127">
        <v>171.9</v>
      </c>
      <c r="Q127">
        <v>10.63</v>
      </c>
      <c r="R127">
        <v>16825</v>
      </c>
      <c r="S127">
        <v>0.51160000000000005</v>
      </c>
      <c r="T127">
        <v>194.1</v>
      </c>
      <c r="U127">
        <v>8.5150000000000006</v>
      </c>
      <c r="V127">
        <v>11.22</v>
      </c>
      <c r="W127" s="3">
        <v>45950</v>
      </c>
      <c r="X127">
        <v>2871</v>
      </c>
      <c r="Y127">
        <v>567</v>
      </c>
      <c r="Z127">
        <v>79.8</v>
      </c>
      <c r="AA127">
        <v>5.2960000000000003</v>
      </c>
      <c r="AB127">
        <v>553</v>
      </c>
      <c r="AC127">
        <v>120.8</v>
      </c>
      <c r="AD127">
        <v>110.2</v>
      </c>
      <c r="AE127">
        <v>3565</v>
      </c>
      <c r="AF127">
        <v>188.2</v>
      </c>
      <c r="AG127">
        <v>5366</v>
      </c>
      <c r="AH127">
        <v>3476</v>
      </c>
      <c r="AI127">
        <v>281.10000000000002</v>
      </c>
      <c r="AJ127">
        <v>51.819432599999999</v>
      </c>
      <c r="AK127">
        <v>37.090000000000003</v>
      </c>
      <c r="AL127">
        <v>77.7</v>
      </c>
      <c r="AM127">
        <v>1322</v>
      </c>
      <c r="AN127">
        <v>506.5</v>
      </c>
      <c r="AO127">
        <v>6835</v>
      </c>
      <c r="AP127">
        <v>88.34</v>
      </c>
      <c r="AQ127">
        <v>120.2</v>
      </c>
    </row>
    <row r="128" spans="2:43" x14ac:dyDescent="0.2">
      <c r="B128" s="3">
        <v>45951</v>
      </c>
      <c r="C128">
        <v>1134.5</v>
      </c>
      <c r="D128">
        <v>99.48</v>
      </c>
      <c r="E128">
        <v>3.1269999999999998</v>
      </c>
      <c r="F128">
        <v>12.21</v>
      </c>
      <c r="G128">
        <v>75.52</v>
      </c>
      <c r="H128">
        <v>9.98</v>
      </c>
      <c r="I128">
        <v>32.880000000000003</v>
      </c>
      <c r="J128">
        <v>62.05</v>
      </c>
      <c r="K128">
        <v>48.78</v>
      </c>
      <c r="L128">
        <v>348.8</v>
      </c>
      <c r="M128">
        <v>75.5</v>
      </c>
      <c r="N128">
        <v>90.36</v>
      </c>
      <c r="O128">
        <v>7.5750000000000002</v>
      </c>
      <c r="P128">
        <v>173.65</v>
      </c>
      <c r="Q128">
        <v>10.73</v>
      </c>
      <c r="R128">
        <v>16660</v>
      </c>
      <c r="S128">
        <v>0.50819999999999999</v>
      </c>
      <c r="T128">
        <v>185.5</v>
      </c>
      <c r="U128">
        <v>8.48</v>
      </c>
      <c r="V128">
        <v>11.47</v>
      </c>
      <c r="W128" s="3">
        <v>45951</v>
      </c>
      <c r="X128">
        <v>2880</v>
      </c>
      <c r="Y128">
        <v>570</v>
      </c>
      <c r="Z128">
        <v>80.680000000000007</v>
      </c>
      <c r="AA128">
        <v>5.3559999999999999</v>
      </c>
      <c r="AB128">
        <v>558.4</v>
      </c>
      <c r="AC128">
        <v>128.4</v>
      </c>
      <c r="AD128">
        <v>111.35</v>
      </c>
      <c r="AE128">
        <v>3585</v>
      </c>
      <c r="AF128">
        <v>189.6</v>
      </c>
      <c r="AG128">
        <v>5410</v>
      </c>
      <c r="AH128">
        <v>3466</v>
      </c>
      <c r="AI128">
        <v>280.8</v>
      </c>
      <c r="AJ128">
        <v>52.3055436</v>
      </c>
      <c r="AK128">
        <v>37.67</v>
      </c>
      <c r="AL128">
        <v>77.8</v>
      </c>
      <c r="AM128">
        <v>1330.5</v>
      </c>
      <c r="AN128">
        <v>517</v>
      </c>
      <c r="AO128">
        <v>6925</v>
      </c>
      <c r="AP128">
        <v>87.4</v>
      </c>
      <c r="AQ128">
        <v>119.5</v>
      </c>
    </row>
    <row r="129" spans="2:43" x14ac:dyDescent="0.2">
      <c r="B129" s="3">
        <v>45952</v>
      </c>
      <c r="C129">
        <v>1102.5</v>
      </c>
      <c r="D129">
        <v>95.8</v>
      </c>
      <c r="E129">
        <v>3.1280000000000001</v>
      </c>
      <c r="F129">
        <v>12.055</v>
      </c>
      <c r="G129">
        <v>76.540000000000006</v>
      </c>
      <c r="H129">
        <v>9.6739999999999995</v>
      </c>
      <c r="I129">
        <v>33.36</v>
      </c>
      <c r="J129">
        <v>63</v>
      </c>
      <c r="K129">
        <v>48.17</v>
      </c>
      <c r="L129">
        <v>354.5</v>
      </c>
      <c r="M129">
        <v>75.66</v>
      </c>
      <c r="N129">
        <v>91.58</v>
      </c>
      <c r="O129">
        <v>7.5750000000000002</v>
      </c>
      <c r="P129">
        <v>174.8</v>
      </c>
      <c r="Q129">
        <v>10.65</v>
      </c>
      <c r="R129">
        <v>17350</v>
      </c>
      <c r="S129">
        <v>0.50780000000000003</v>
      </c>
      <c r="T129">
        <v>186.1</v>
      </c>
      <c r="U129">
        <v>6.6449999999999996</v>
      </c>
      <c r="V129">
        <v>11.43</v>
      </c>
      <c r="W129" s="3">
        <v>45952</v>
      </c>
      <c r="X129">
        <v>2943</v>
      </c>
      <c r="Y129">
        <v>570.5</v>
      </c>
      <c r="Z129">
        <v>80.760000000000005</v>
      </c>
      <c r="AA129">
        <v>5.36</v>
      </c>
      <c r="AB129">
        <v>560</v>
      </c>
      <c r="AC129">
        <v>130.30000000000001</v>
      </c>
      <c r="AD129">
        <v>112.75</v>
      </c>
      <c r="AE129">
        <v>3568</v>
      </c>
      <c r="AF129">
        <v>192</v>
      </c>
      <c r="AG129">
        <v>5430</v>
      </c>
      <c r="AH129">
        <v>3482</v>
      </c>
      <c r="AI129">
        <v>280.5</v>
      </c>
      <c r="AJ129">
        <v>52.208321400000003</v>
      </c>
      <c r="AK129">
        <v>37.1</v>
      </c>
      <c r="AL129">
        <v>77.900000000000006</v>
      </c>
      <c r="AM129">
        <v>1353</v>
      </c>
      <c r="AN129">
        <v>528.5</v>
      </c>
      <c r="AO129">
        <v>6980</v>
      </c>
      <c r="AP129">
        <v>85.44</v>
      </c>
      <c r="AQ129">
        <v>117.95</v>
      </c>
    </row>
    <row r="130" spans="2:43" x14ac:dyDescent="0.2">
      <c r="B130" s="3">
        <v>45953</v>
      </c>
      <c r="C130">
        <v>1108.5</v>
      </c>
      <c r="D130">
        <v>98.88</v>
      </c>
      <c r="E130">
        <v>3.097</v>
      </c>
      <c r="F130">
        <v>12.16</v>
      </c>
      <c r="G130">
        <v>77.36</v>
      </c>
      <c r="H130">
        <v>9.4779999999999998</v>
      </c>
      <c r="I130">
        <v>33.5</v>
      </c>
      <c r="J130">
        <v>63.5</v>
      </c>
      <c r="K130">
        <v>49.17</v>
      </c>
      <c r="L130">
        <v>351.2</v>
      </c>
      <c r="M130">
        <v>75.540000000000006</v>
      </c>
      <c r="N130">
        <v>91.16</v>
      </c>
      <c r="O130">
        <v>7.4450000000000003</v>
      </c>
      <c r="P130">
        <v>178.6</v>
      </c>
      <c r="Q130">
        <v>10.77</v>
      </c>
      <c r="R130">
        <v>17320</v>
      </c>
      <c r="S130">
        <v>0.4929</v>
      </c>
      <c r="T130">
        <v>193.75</v>
      </c>
      <c r="U130">
        <v>6.6050000000000004</v>
      </c>
      <c r="V130">
        <v>10.94</v>
      </c>
      <c r="W130" s="3">
        <v>45953</v>
      </c>
      <c r="X130">
        <v>2960</v>
      </c>
      <c r="Y130">
        <v>573</v>
      </c>
      <c r="Z130">
        <v>81.14</v>
      </c>
      <c r="AA130">
        <v>5.37</v>
      </c>
      <c r="AB130">
        <v>574</v>
      </c>
      <c r="AC130">
        <v>128.9</v>
      </c>
      <c r="AD130">
        <v>112.85</v>
      </c>
      <c r="AE130">
        <v>3544</v>
      </c>
      <c r="AF130">
        <v>193.2</v>
      </c>
      <c r="AG130">
        <v>5292</v>
      </c>
      <c r="AH130">
        <v>3518</v>
      </c>
      <c r="AI130">
        <v>271.60000000000002</v>
      </c>
      <c r="AJ130">
        <v>52.402765799999997</v>
      </c>
      <c r="AK130">
        <v>37.380000000000003</v>
      </c>
      <c r="AL130">
        <v>78.150000000000006</v>
      </c>
      <c r="AM130">
        <v>1331</v>
      </c>
      <c r="AN130">
        <v>531</v>
      </c>
      <c r="AO130">
        <v>6935</v>
      </c>
      <c r="AP130">
        <v>87.04</v>
      </c>
      <c r="AQ130">
        <v>117.55</v>
      </c>
    </row>
    <row r="131" spans="2:43" x14ac:dyDescent="0.2">
      <c r="B131" s="3">
        <v>45954</v>
      </c>
      <c r="C131">
        <v>1121</v>
      </c>
      <c r="D131">
        <v>103.8</v>
      </c>
      <c r="E131">
        <v>3.1030000000000002</v>
      </c>
      <c r="F131">
        <v>12.185</v>
      </c>
      <c r="G131">
        <v>77.06</v>
      </c>
      <c r="H131">
        <v>9.6739999999999995</v>
      </c>
      <c r="I131">
        <v>33.56</v>
      </c>
      <c r="J131">
        <v>64.8</v>
      </c>
      <c r="K131">
        <v>49.76</v>
      </c>
      <c r="L131">
        <v>350.4</v>
      </c>
      <c r="M131">
        <v>75.88</v>
      </c>
      <c r="N131">
        <v>90.62</v>
      </c>
      <c r="O131">
        <v>7.5</v>
      </c>
      <c r="P131">
        <v>179.3</v>
      </c>
      <c r="Q131">
        <v>10.93</v>
      </c>
      <c r="R131">
        <v>17285</v>
      </c>
      <c r="S131">
        <v>0.50119999999999998</v>
      </c>
      <c r="T131">
        <v>191</v>
      </c>
      <c r="U131">
        <v>6.625</v>
      </c>
      <c r="V131">
        <v>10.98</v>
      </c>
      <c r="W131" s="3">
        <v>45954</v>
      </c>
      <c r="X131">
        <v>3010</v>
      </c>
      <c r="Y131">
        <v>573.5</v>
      </c>
      <c r="Z131">
        <v>81.819999999999993</v>
      </c>
      <c r="AA131">
        <v>5.36</v>
      </c>
      <c r="AB131">
        <v>586.6</v>
      </c>
      <c r="AC131">
        <v>127.7</v>
      </c>
      <c r="AD131">
        <v>114.1</v>
      </c>
      <c r="AE131">
        <v>3537</v>
      </c>
      <c r="AF131">
        <v>192.4</v>
      </c>
      <c r="AG131">
        <v>5312</v>
      </c>
      <c r="AH131">
        <v>3578</v>
      </c>
      <c r="AI131">
        <v>271.2</v>
      </c>
      <c r="AJ131">
        <v>52.013877000000001</v>
      </c>
      <c r="AK131">
        <v>38.31</v>
      </c>
      <c r="AL131">
        <v>78.45</v>
      </c>
      <c r="AM131">
        <v>1339</v>
      </c>
      <c r="AN131">
        <v>532.5</v>
      </c>
      <c r="AO131">
        <v>7010</v>
      </c>
      <c r="AP131">
        <v>88.78</v>
      </c>
      <c r="AQ131">
        <v>118.7</v>
      </c>
    </row>
    <row r="132" spans="2:43" x14ac:dyDescent="0.2">
      <c r="B132" s="3">
        <v>45957</v>
      </c>
      <c r="C132">
        <v>1120</v>
      </c>
      <c r="D132">
        <v>103</v>
      </c>
      <c r="E132">
        <v>3.1419999999999999</v>
      </c>
      <c r="F132">
        <v>12.39</v>
      </c>
      <c r="G132">
        <v>76.64</v>
      </c>
      <c r="H132">
        <v>9.94</v>
      </c>
      <c r="I132">
        <v>33.18</v>
      </c>
      <c r="J132">
        <v>66.05</v>
      </c>
      <c r="K132">
        <v>50.16</v>
      </c>
      <c r="L132">
        <v>345.9</v>
      </c>
      <c r="M132">
        <v>75.02</v>
      </c>
      <c r="N132">
        <v>90.04</v>
      </c>
      <c r="O132">
        <v>7.6150000000000002</v>
      </c>
      <c r="P132">
        <v>176.75</v>
      </c>
      <c r="Q132">
        <v>11.14</v>
      </c>
      <c r="R132">
        <v>17420</v>
      </c>
      <c r="S132">
        <v>0.50319999999999998</v>
      </c>
      <c r="T132">
        <v>189</v>
      </c>
      <c r="U132">
        <v>6.54</v>
      </c>
      <c r="V132">
        <v>10.76</v>
      </c>
      <c r="W132" s="3">
        <v>45957</v>
      </c>
      <c r="X132">
        <v>2943</v>
      </c>
      <c r="Y132">
        <v>568</v>
      </c>
      <c r="Z132">
        <v>80.319999999999993</v>
      </c>
      <c r="AA132">
        <v>5.3419999999999996</v>
      </c>
      <c r="AB132">
        <v>578.6</v>
      </c>
      <c r="AC132">
        <v>126.6</v>
      </c>
      <c r="AD132">
        <v>112.7</v>
      </c>
      <c r="AE132">
        <v>3471</v>
      </c>
      <c r="AF132">
        <v>191.8</v>
      </c>
      <c r="AG132">
        <v>5178</v>
      </c>
      <c r="AH132">
        <v>3586</v>
      </c>
      <c r="AI132">
        <v>267.39999999999998</v>
      </c>
      <c r="AJ132">
        <v>52.111099199999998</v>
      </c>
      <c r="AK132">
        <v>38.119999999999997</v>
      </c>
      <c r="AL132">
        <v>78.5</v>
      </c>
      <c r="AM132">
        <v>1369</v>
      </c>
      <c r="AN132">
        <v>531.5</v>
      </c>
      <c r="AO132">
        <v>7020</v>
      </c>
      <c r="AP132">
        <v>89.62</v>
      </c>
      <c r="AQ132">
        <v>119.8</v>
      </c>
    </row>
    <row r="133" spans="2:43" x14ac:dyDescent="0.2">
      <c r="B133" s="3">
        <v>45958</v>
      </c>
      <c r="C133">
        <v>1146</v>
      </c>
      <c r="D133">
        <v>103.95</v>
      </c>
      <c r="E133">
        <v>3.2</v>
      </c>
      <c r="F133">
        <v>12.46</v>
      </c>
      <c r="G133">
        <v>78.260000000000005</v>
      </c>
      <c r="H133">
        <v>9.9779999999999998</v>
      </c>
      <c r="I133">
        <v>33.340000000000003</v>
      </c>
      <c r="J133">
        <v>64.8</v>
      </c>
      <c r="K133">
        <v>49.72</v>
      </c>
      <c r="L133">
        <v>343.7</v>
      </c>
      <c r="M133">
        <v>74.08</v>
      </c>
      <c r="N133">
        <v>90.88</v>
      </c>
      <c r="O133">
        <v>7.66</v>
      </c>
      <c r="P133">
        <v>176.1</v>
      </c>
      <c r="Q133">
        <v>10.87</v>
      </c>
      <c r="R133">
        <v>18065</v>
      </c>
      <c r="S133">
        <v>0.50560000000000005</v>
      </c>
      <c r="T133">
        <v>191.35</v>
      </c>
      <c r="U133">
        <v>6.47</v>
      </c>
      <c r="V133">
        <v>10.6</v>
      </c>
      <c r="W133" s="3">
        <v>45958</v>
      </c>
      <c r="X133">
        <v>2945</v>
      </c>
      <c r="Y133">
        <v>561.5</v>
      </c>
      <c r="Z133">
        <v>76.680000000000007</v>
      </c>
      <c r="AA133">
        <v>5.4139999999999997</v>
      </c>
      <c r="AB133">
        <v>570.20000000000005</v>
      </c>
      <c r="AC133">
        <v>125.2</v>
      </c>
      <c r="AD133">
        <v>110.7</v>
      </c>
      <c r="AE133">
        <v>3413</v>
      </c>
      <c r="AF133">
        <v>190.4</v>
      </c>
      <c r="AG133">
        <v>5118</v>
      </c>
      <c r="AH133">
        <v>3588</v>
      </c>
      <c r="AI133">
        <v>261.10000000000002</v>
      </c>
      <c r="AJ133">
        <v>52.888876799999998</v>
      </c>
      <c r="AK133">
        <v>38.340000000000003</v>
      </c>
      <c r="AL133">
        <v>78.349999999999994</v>
      </c>
      <c r="AM133">
        <v>1349</v>
      </c>
      <c r="AN133">
        <v>534.5</v>
      </c>
      <c r="AO133">
        <v>7105</v>
      </c>
      <c r="AP133">
        <v>89.54</v>
      </c>
      <c r="AQ133">
        <v>119.9</v>
      </c>
    </row>
    <row r="134" spans="2:43" x14ac:dyDescent="0.2">
      <c r="B134" s="3">
        <v>45959</v>
      </c>
      <c r="C134">
        <v>1159.5</v>
      </c>
      <c r="D134">
        <v>106.85</v>
      </c>
      <c r="E134">
        <v>3.2120000000000002</v>
      </c>
      <c r="F134">
        <v>12.61</v>
      </c>
      <c r="G134">
        <v>77.8</v>
      </c>
      <c r="H134">
        <v>10.24</v>
      </c>
      <c r="I134">
        <v>33.36</v>
      </c>
      <c r="J134">
        <v>65.400000000000006</v>
      </c>
      <c r="K134">
        <v>50.68</v>
      </c>
      <c r="L134">
        <v>344.9</v>
      </c>
      <c r="M134">
        <v>73.180000000000007</v>
      </c>
      <c r="N134">
        <v>90.54</v>
      </c>
      <c r="O134">
        <v>7.93</v>
      </c>
      <c r="P134">
        <v>176.5</v>
      </c>
      <c r="Q134">
        <v>10.84</v>
      </c>
      <c r="R134">
        <v>18095</v>
      </c>
      <c r="S134">
        <v>0.49940000000000001</v>
      </c>
      <c r="T134">
        <v>197.2</v>
      </c>
      <c r="U134">
        <v>6.47</v>
      </c>
      <c r="V134">
        <v>10.42</v>
      </c>
      <c r="W134" s="3">
        <v>45959</v>
      </c>
      <c r="X134">
        <v>2910</v>
      </c>
      <c r="Y134">
        <v>555.5</v>
      </c>
      <c r="Z134">
        <v>73.760000000000005</v>
      </c>
      <c r="AA134">
        <v>5.3760000000000003</v>
      </c>
      <c r="AB134">
        <v>565.6</v>
      </c>
      <c r="AC134">
        <v>127.6</v>
      </c>
      <c r="AD134">
        <v>106</v>
      </c>
      <c r="AE134">
        <v>3342</v>
      </c>
      <c r="AF134">
        <v>190.6</v>
      </c>
      <c r="AG134">
        <v>5152</v>
      </c>
      <c r="AH134">
        <v>3554</v>
      </c>
      <c r="AI134">
        <v>260.39999999999998</v>
      </c>
      <c r="AJ134">
        <v>52.499988000000002</v>
      </c>
      <c r="AK134">
        <v>38.200000000000003</v>
      </c>
      <c r="AL134">
        <v>78.150000000000006</v>
      </c>
      <c r="AM134">
        <v>1330</v>
      </c>
      <c r="AN134">
        <v>531.5</v>
      </c>
      <c r="AO134">
        <v>7175</v>
      </c>
      <c r="AP134">
        <v>89.14</v>
      </c>
      <c r="AQ134">
        <v>119</v>
      </c>
    </row>
    <row r="135" spans="2:43" x14ac:dyDescent="0.2">
      <c r="B135" s="3">
        <v>45960</v>
      </c>
      <c r="C135">
        <v>1168</v>
      </c>
      <c r="D135">
        <v>106.1</v>
      </c>
      <c r="E135">
        <v>3.206</v>
      </c>
      <c r="F135">
        <v>12.53</v>
      </c>
      <c r="G135">
        <v>77.06</v>
      </c>
      <c r="H135">
        <v>10.305</v>
      </c>
      <c r="I135">
        <v>33.22</v>
      </c>
      <c r="J135">
        <v>65.400000000000006</v>
      </c>
      <c r="K135">
        <v>52.9</v>
      </c>
      <c r="L135">
        <v>350.8</v>
      </c>
      <c r="M135">
        <v>71.959999999999994</v>
      </c>
      <c r="N135">
        <v>90.08</v>
      </c>
      <c r="O135">
        <v>7.8650000000000002</v>
      </c>
      <c r="P135">
        <v>179.8</v>
      </c>
      <c r="Q135">
        <v>10.76</v>
      </c>
      <c r="R135">
        <v>18100</v>
      </c>
      <c r="S135">
        <v>0.52339999999999998</v>
      </c>
      <c r="T135">
        <v>194</v>
      </c>
      <c r="U135">
        <v>6.34</v>
      </c>
      <c r="V135">
        <v>10.28</v>
      </c>
      <c r="W135" s="3">
        <v>45960</v>
      </c>
      <c r="X135">
        <v>2890</v>
      </c>
      <c r="Y135">
        <v>554.5</v>
      </c>
      <c r="Z135">
        <v>73.44</v>
      </c>
      <c r="AA135">
        <v>5.3819999999999997</v>
      </c>
      <c r="AB135">
        <v>558.4</v>
      </c>
      <c r="AC135">
        <v>126.1</v>
      </c>
      <c r="AD135">
        <v>105.2</v>
      </c>
      <c r="AE135">
        <v>3325</v>
      </c>
      <c r="AF135">
        <v>191.8</v>
      </c>
      <c r="AG135">
        <v>5128</v>
      </c>
      <c r="AH135">
        <v>3556</v>
      </c>
      <c r="AI135">
        <v>261.7</v>
      </c>
      <c r="AJ135">
        <v>52.597210199999999</v>
      </c>
      <c r="AK135">
        <v>37.65</v>
      </c>
      <c r="AL135">
        <v>77.650000000000006</v>
      </c>
      <c r="AM135">
        <v>1320.5</v>
      </c>
      <c r="AN135">
        <v>525</v>
      </c>
      <c r="AO135">
        <v>7190</v>
      </c>
      <c r="AP135">
        <v>90.08</v>
      </c>
      <c r="AQ135">
        <v>116.6</v>
      </c>
    </row>
    <row r="136" spans="2:43" x14ac:dyDescent="0.2">
      <c r="B136" s="3">
        <v>45961</v>
      </c>
      <c r="C136">
        <v>1167</v>
      </c>
      <c r="D136">
        <v>107.3</v>
      </c>
      <c r="E136">
        <v>3.2429999999999999</v>
      </c>
      <c r="F136">
        <v>12.605</v>
      </c>
      <c r="G136">
        <v>75.7</v>
      </c>
      <c r="H136">
        <v>10.355</v>
      </c>
      <c r="I136">
        <v>33.14</v>
      </c>
      <c r="J136">
        <v>65.8</v>
      </c>
      <c r="K136">
        <v>53.5</v>
      </c>
      <c r="L136">
        <v>354.1</v>
      </c>
      <c r="M136">
        <v>70.7</v>
      </c>
      <c r="N136">
        <v>89.64</v>
      </c>
      <c r="O136">
        <v>7.9850000000000003</v>
      </c>
      <c r="P136">
        <v>179.3</v>
      </c>
      <c r="Q136">
        <v>10.92</v>
      </c>
      <c r="R136">
        <v>17930</v>
      </c>
      <c r="S136">
        <v>0.51119999999999999</v>
      </c>
      <c r="T136">
        <v>193.85</v>
      </c>
      <c r="U136">
        <v>6.37</v>
      </c>
      <c r="V136">
        <v>10.25</v>
      </c>
      <c r="W136" s="3">
        <v>45961</v>
      </c>
      <c r="X136">
        <v>2887</v>
      </c>
      <c r="Y136">
        <v>550.5</v>
      </c>
      <c r="Z136">
        <v>71.78</v>
      </c>
      <c r="AA136">
        <v>5.3479999999999999</v>
      </c>
      <c r="AB136">
        <v>554.20000000000005</v>
      </c>
      <c r="AC136">
        <v>124</v>
      </c>
      <c r="AD136">
        <v>106.25</v>
      </c>
      <c r="AE136">
        <v>3298</v>
      </c>
      <c r="AF136">
        <v>192.2</v>
      </c>
      <c r="AG136">
        <v>5074</v>
      </c>
      <c r="AH136">
        <v>3546</v>
      </c>
      <c r="AI136">
        <v>258.89999999999998</v>
      </c>
      <c r="AJ136">
        <v>52.402765799999997</v>
      </c>
      <c r="AK136">
        <v>37.11</v>
      </c>
      <c r="AL136">
        <v>76.25</v>
      </c>
      <c r="AM136">
        <v>1297.5</v>
      </c>
      <c r="AN136">
        <v>518.5</v>
      </c>
      <c r="AO136">
        <v>7095</v>
      </c>
      <c r="AP136">
        <v>89.82</v>
      </c>
      <c r="AQ136">
        <v>115.8</v>
      </c>
    </row>
    <row r="137" spans="2:43" x14ac:dyDescent="0.2">
      <c r="B137" s="3">
        <v>45964</v>
      </c>
      <c r="C137">
        <v>1165</v>
      </c>
      <c r="D137">
        <v>110</v>
      </c>
      <c r="E137">
        <v>3.2759999999999998</v>
      </c>
      <c r="F137">
        <v>12.64</v>
      </c>
      <c r="G137">
        <v>76.78</v>
      </c>
      <c r="H137">
        <v>10.45</v>
      </c>
      <c r="I137">
        <v>33.18</v>
      </c>
      <c r="J137">
        <v>65.75</v>
      </c>
      <c r="K137">
        <v>55.36</v>
      </c>
      <c r="L137">
        <v>357.7</v>
      </c>
      <c r="M137">
        <v>69.8</v>
      </c>
      <c r="N137">
        <v>88.5</v>
      </c>
      <c r="O137">
        <v>8.0150000000000006</v>
      </c>
      <c r="P137">
        <v>180.05</v>
      </c>
      <c r="Q137">
        <v>10.59</v>
      </c>
      <c r="R137">
        <v>18025</v>
      </c>
      <c r="S137">
        <v>0.49930000000000002</v>
      </c>
      <c r="T137">
        <v>190.75</v>
      </c>
      <c r="U137">
        <v>6.23</v>
      </c>
      <c r="V137">
        <v>10.1</v>
      </c>
      <c r="W137" s="3">
        <v>45964</v>
      </c>
      <c r="X137">
        <v>2822</v>
      </c>
      <c r="Y137">
        <v>549</v>
      </c>
      <c r="Z137">
        <v>71.2</v>
      </c>
      <c r="AA137">
        <v>5.38</v>
      </c>
      <c r="AB137">
        <v>539.20000000000005</v>
      </c>
      <c r="AC137">
        <v>121.3</v>
      </c>
      <c r="AD137">
        <v>106</v>
      </c>
      <c r="AE137">
        <v>3254</v>
      </c>
      <c r="AF137">
        <v>192.6</v>
      </c>
      <c r="AG137">
        <v>4972</v>
      </c>
      <c r="AH137">
        <v>3580</v>
      </c>
      <c r="AI137">
        <v>259.5</v>
      </c>
      <c r="AJ137">
        <v>52.208321400000003</v>
      </c>
      <c r="AK137">
        <v>36.35</v>
      </c>
      <c r="AL137">
        <v>76.900000000000006</v>
      </c>
      <c r="AM137">
        <v>1308</v>
      </c>
      <c r="AN137">
        <v>504</v>
      </c>
      <c r="AO137">
        <v>7130</v>
      </c>
      <c r="AP137">
        <v>89.36</v>
      </c>
      <c r="AQ137">
        <v>115.2</v>
      </c>
    </row>
    <row r="138" spans="2:43" x14ac:dyDescent="0.2">
      <c r="B138" s="3">
        <v>45965</v>
      </c>
      <c r="C138">
        <v>1147.5</v>
      </c>
      <c r="D138">
        <v>109.5</v>
      </c>
      <c r="E138">
        <v>3.294</v>
      </c>
      <c r="F138">
        <v>12.605</v>
      </c>
      <c r="G138">
        <v>76.42</v>
      </c>
      <c r="H138">
        <v>10.36</v>
      </c>
      <c r="I138">
        <v>33.32</v>
      </c>
      <c r="J138">
        <v>64.599999999999994</v>
      </c>
      <c r="K138">
        <v>54.98</v>
      </c>
      <c r="L138">
        <v>357.9</v>
      </c>
      <c r="M138">
        <v>69.48</v>
      </c>
      <c r="N138">
        <v>90.02</v>
      </c>
      <c r="O138">
        <v>8.3650000000000002</v>
      </c>
      <c r="P138">
        <v>177.9</v>
      </c>
      <c r="Q138">
        <v>10.41</v>
      </c>
      <c r="R138">
        <v>17615</v>
      </c>
      <c r="S138">
        <v>0.49380000000000002</v>
      </c>
      <c r="T138">
        <v>186.55</v>
      </c>
      <c r="U138">
        <v>6.07</v>
      </c>
      <c r="V138">
        <v>9.84</v>
      </c>
      <c r="W138" s="3">
        <v>45965</v>
      </c>
      <c r="X138">
        <v>2798</v>
      </c>
      <c r="Y138">
        <v>532.5</v>
      </c>
      <c r="Z138">
        <v>71.319999999999993</v>
      </c>
      <c r="AA138">
        <v>5.4539999999999997</v>
      </c>
      <c r="AB138">
        <v>540</v>
      </c>
      <c r="AC138">
        <v>120.9</v>
      </c>
      <c r="AD138">
        <v>107</v>
      </c>
      <c r="AE138">
        <v>3274</v>
      </c>
      <c r="AF138">
        <v>193</v>
      </c>
      <c r="AG138">
        <v>4891</v>
      </c>
      <c r="AH138">
        <v>3544</v>
      </c>
      <c r="AI138">
        <v>264</v>
      </c>
      <c r="AJ138">
        <v>52.111099199999998</v>
      </c>
      <c r="AK138">
        <v>35.94</v>
      </c>
      <c r="AL138">
        <v>76.650000000000006</v>
      </c>
      <c r="AM138">
        <v>1310</v>
      </c>
      <c r="AN138">
        <v>511</v>
      </c>
      <c r="AO138">
        <v>7030</v>
      </c>
      <c r="AP138">
        <v>86.84</v>
      </c>
      <c r="AQ138">
        <v>113.1</v>
      </c>
    </row>
    <row r="139" spans="2:43" x14ac:dyDescent="0.2">
      <c r="B139" s="3">
        <v>45966</v>
      </c>
      <c r="C139">
        <v>1157</v>
      </c>
      <c r="D139">
        <v>107.25</v>
      </c>
      <c r="E139">
        <v>3.2770000000000001</v>
      </c>
      <c r="F139">
        <v>12.7</v>
      </c>
      <c r="G139">
        <v>75.48</v>
      </c>
      <c r="H139">
        <v>10.355</v>
      </c>
      <c r="I139">
        <v>33.18</v>
      </c>
      <c r="J139">
        <v>63.95</v>
      </c>
      <c r="K139">
        <v>54.32</v>
      </c>
      <c r="L139">
        <v>357.2</v>
      </c>
      <c r="M139">
        <v>70.06</v>
      </c>
      <c r="N139">
        <v>89.02</v>
      </c>
      <c r="O139">
        <v>8.3249999999999993</v>
      </c>
      <c r="P139">
        <v>176.65</v>
      </c>
      <c r="Q139">
        <v>10.67</v>
      </c>
      <c r="R139">
        <v>17610</v>
      </c>
      <c r="S139">
        <v>0.48830000000000001</v>
      </c>
      <c r="T139">
        <v>187</v>
      </c>
      <c r="U139">
        <v>5.96</v>
      </c>
      <c r="V139">
        <v>10</v>
      </c>
      <c r="W139" s="3">
        <v>45966</v>
      </c>
      <c r="X139">
        <v>2794</v>
      </c>
      <c r="Y139">
        <v>537.5</v>
      </c>
      <c r="Z139">
        <v>72.52</v>
      </c>
      <c r="AA139">
        <v>5.5460000000000003</v>
      </c>
      <c r="AB139">
        <v>538.4</v>
      </c>
      <c r="AC139">
        <v>120.3</v>
      </c>
      <c r="AD139">
        <v>108.85</v>
      </c>
      <c r="AE139">
        <v>3320</v>
      </c>
      <c r="AF139">
        <v>194</v>
      </c>
      <c r="AG139">
        <v>4937</v>
      </c>
      <c r="AH139">
        <v>3572</v>
      </c>
      <c r="AI139">
        <v>265.10000000000002</v>
      </c>
      <c r="AJ139">
        <v>51.819432599999999</v>
      </c>
      <c r="AK139">
        <v>36.869999999999997</v>
      </c>
      <c r="AL139">
        <v>76.95</v>
      </c>
      <c r="AM139">
        <v>1329.5</v>
      </c>
      <c r="AN139">
        <v>517</v>
      </c>
      <c r="AO139">
        <v>7150</v>
      </c>
      <c r="AP139">
        <v>86.24</v>
      </c>
      <c r="AQ139">
        <v>113.1</v>
      </c>
    </row>
    <row r="140" spans="2:43" x14ac:dyDescent="0.2">
      <c r="B140" s="3">
        <v>45967</v>
      </c>
      <c r="C140">
        <v>1131.5</v>
      </c>
      <c r="D140">
        <v>104.6</v>
      </c>
      <c r="E140">
        <v>3.3260000000000001</v>
      </c>
      <c r="F140">
        <v>12.64</v>
      </c>
      <c r="G140">
        <v>76.819999999999993</v>
      </c>
      <c r="H140">
        <v>10.315</v>
      </c>
      <c r="I140">
        <v>33.42</v>
      </c>
      <c r="J140">
        <v>62.4</v>
      </c>
      <c r="K140">
        <v>54.24</v>
      </c>
      <c r="L140">
        <v>358.5</v>
      </c>
      <c r="M140">
        <v>70.06</v>
      </c>
      <c r="N140">
        <v>89.68</v>
      </c>
      <c r="O140">
        <v>8.31</v>
      </c>
      <c r="P140">
        <v>177.55</v>
      </c>
      <c r="Q140">
        <v>10.59</v>
      </c>
      <c r="R140">
        <v>17725</v>
      </c>
      <c r="S140">
        <v>0.4798</v>
      </c>
      <c r="T140">
        <v>189.35</v>
      </c>
      <c r="U140">
        <v>5.9749999999999996</v>
      </c>
      <c r="V140">
        <v>9.5449999999999999</v>
      </c>
      <c r="W140" s="3">
        <v>45967</v>
      </c>
      <c r="X140">
        <v>2785</v>
      </c>
      <c r="Y140">
        <v>537.5</v>
      </c>
      <c r="Z140">
        <v>71.62</v>
      </c>
      <c r="AA140">
        <v>5.5259999999999998</v>
      </c>
      <c r="AB140">
        <v>531.6</v>
      </c>
      <c r="AC140">
        <v>118.1</v>
      </c>
      <c r="AD140">
        <v>100.4</v>
      </c>
      <c r="AE140">
        <v>3315</v>
      </c>
      <c r="AF140">
        <v>193.8</v>
      </c>
      <c r="AG140">
        <v>4790</v>
      </c>
      <c r="AH140">
        <v>3428</v>
      </c>
      <c r="AI140">
        <v>265.2</v>
      </c>
      <c r="AJ140">
        <v>51.916654800000003</v>
      </c>
      <c r="AK140">
        <v>36.65</v>
      </c>
      <c r="AL140">
        <v>76</v>
      </c>
      <c r="AM140">
        <v>1319.5</v>
      </c>
      <c r="AN140">
        <v>519.5</v>
      </c>
      <c r="AO140">
        <v>7045</v>
      </c>
      <c r="AP140">
        <v>84.14</v>
      </c>
      <c r="AQ140">
        <v>115.4</v>
      </c>
    </row>
    <row r="141" spans="2:43" x14ac:dyDescent="0.2">
      <c r="B141" s="3">
        <v>45968</v>
      </c>
      <c r="C141">
        <v>1138.5</v>
      </c>
      <c r="D141">
        <v>101.8</v>
      </c>
      <c r="E141">
        <v>3.2280000000000002</v>
      </c>
      <c r="F141">
        <v>12.595000000000001</v>
      </c>
      <c r="G141">
        <v>75.3</v>
      </c>
      <c r="H141">
        <v>10.27</v>
      </c>
      <c r="I141">
        <v>33.58</v>
      </c>
      <c r="J141">
        <v>62</v>
      </c>
      <c r="K141">
        <v>52.88</v>
      </c>
      <c r="L141">
        <v>361.2</v>
      </c>
      <c r="M141">
        <v>70.28</v>
      </c>
      <c r="N141">
        <v>89.88</v>
      </c>
      <c r="O141">
        <v>8.2149999999999999</v>
      </c>
      <c r="P141">
        <v>174.4</v>
      </c>
      <c r="Q141">
        <v>10.050000000000001</v>
      </c>
      <c r="R141">
        <v>17245</v>
      </c>
      <c r="S141">
        <v>0.48799999999999999</v>
      </c>
      <c r="T141">
        <v>189.65</v>
      </c>
      <c r="U141">
        <v>5.835</v>
      </c>
      <c r="V141">
        <v>9.5649999999999995</v>
      </c>
      <c r="W141" s="3">
        <v>45968</v>
      </c>
      <c r="X141">
        <v>2772</v>
      </c>
      <c r="Y141">
        <v>544</v>
      </c>
      <c r="Z141">
        <v>72.319999999999993</v>
      </c>
      <c r="AA141">
        <v>5.6</v>
      </c>
      <c r="AB141">
        <v>530.4</v>
      </c>
      <c r="AC141">
        <v>117.7</v>
      </c>
      <c r="AD141">
        <v>96.54</v>
      </c>
      <c r="AE141">
        <v>3354</v>
      </c>
      <c r="AF141">
        <v>195.2</v>
      </c>
      <c r="AG141">
        <v>4686</v>
      </c>
      <c r="AH141">
        <v>3392</v>
      </c>
      <c r="AI141">
        <v>268.39999999999998</v>
      </c>
      <c r="AJ141">
        <v>51.819432599999999</v>
      </c>
      <c r="AK141">
        <v>36.200000000000003</v>
      </c>
      <c r="AL141">
        <v>71.7</v>
      </c>
      <c r="AM141">
        <v>1309.5</v>
      </c>
      <c r="AN141">
        <v>514</v>
      </c>
      <c r="AO141">
        <v>6905</v>
      </c>
      <c r="AP141">
        <v>82.88</v>
      </c>
      <c r="AQ141">
        <v>117.55</v>
      </c>
    </row>
    <row r="142" spans="2:43" x14ac:dyDescent="0.2">
      <c r="B142" s="3">
        <v>45971</v>
      </c>
      <c r="C142">
        <v>1161</v>
      </c>
      <c r="D142">
        <v>106.5</v>
      </c>
      <c r="E142">
        <v>3.3010000000000002</v>
      </c>
      <c r="F142">
        <v>13.19</v>
      </c>
      <c r="G142">
        <v>76.94</v>
      </c>
      <c r="H142">
        <v>10.725</v>
      </c>
      <c r="I142">
        <v>33.72</v>
      </c>
      <c r="J142">
        <v>63</v>
      </c>
      <c r="K142">
        <v>53.84</v>
      </c>
      <c r="L142">
        <v>363.1</v>
      </c>
      <c r="M142">
        <v>70.400000000000006</v>
      </c>
      <c r="N142">
        <v>90.34</v>
      </c>
      <c r="O142">
        <v>8.41</v>
      </c>
      <c r="P142">
        <v>174.45</v>
      </c>
      <c r="Q142">
        <v>10.19</v>
      </c>
      <c r="R142">
        <v>17215</v>
      </c>
      <c r="S142">
        <v>0.49209999999999998</v>
      </c>
      <c r="T142">
        <v>195.65</v>
      </c>
      <c r="U142">
        <v>5.9749999999999996</v>
      </c>
      <c r="V142">
        <v>9.61</v>
      </c>
      <c r="W142" s="3">
        <v>45971</v>
      </c>
      <c r="X142">
        <v>2781</v>
      </c>
      <c r="Y142">
        <v>543.5</v>
      </c>
      <c r="Z142">
        <v>71.5</v>
      </c>
      <c r="AA142">
        <v>5.64</v>
      </c>
      <c r="AB142">
        <v>534</v>
      </c>
      <c r="AC142">
        <v>121.1</v>
      </c>
      <c r="AD142">
        <v>93.64</v>
      </c>
      <c r="AE142">
        <v>3371</v>
      </c>
      <c r="AF142">
        <v>195.4</v>
      </c>
      <c r="AG142">
        <v>4813</v>
      </c>
      <c r="AH142">
        <v>3410</v>
      </c>
      <c r="AI142">
        <v>278.89999999999998</v>
      </c>
      <c r="AJ142">
        <v>51.722210400000002</v>
      </c>
      <c r="AK142">
        <v>37.44</v>
      </c>
      <c r="AL142">
        <v>72.849999999999994</v>
      </c>
      <c r="AM142">
        <v>1343.5</v>
      </c>
      <c r="AN142">
        <v>510</v>
      </c>
      <c r="AO142">
        <v>6980</v>
      </c>
      <c r="AP142">
        <v>84.04</v>
      </c>
      <c r="AQ142">
        <v>122.4</v>
      </c>
    </row>
    <row r="143" spans="2:43" x14ac:dyDescent="0.2">
      <c r="B143" s="3">
        <v>45972</v>
      </c>
      <c r="C143">
        <v>1152.5</v>
      </c>
      <c r="D143">
        <v>107.5</v>
      </c>
      <c r="E143">
        <v>3.3769999999999998</v>
      </c>
      <c r="F143">
        <v>13.27</v>
      </c>
      <c r="G143" s="2" t="s">
        <v>20</v>
      </c>
      <c r="H143">
        <v>10.855</v>
      </c>
      <c r="I143">
        <v>34.08</v>
      </c>
      <c r="J143">
        <v>63.9</v>
      </c>
      <c r="K143">
        <v>54.64</v>
      </c>
      <c r="L143">
        <v>374.6</v>
      </c>
      <c r="M143">
        <v>72.52</v>
      </c>
      <c r="N143">
        <v>91.38</v>
      </c>
      <c r="O143">
        <v>8.6199999999999992</v>
      </c>
      <c r="P143">
        <v>172.95</v>
      </c>
      <c r="Q143">
        <v>10.36</v>
      </c>
      <c r="R143" s="2" t="s">
        <v>20</v>
      </c>
      <c r="S143">
        <v>0.49580000000000002</v>
      </c>
      <c r="T143" s="2" t="s">
        <v>20</v>
      </c>
      <c r="U143">
        <v>5.9950000000000001</v>
      </c>
      <c r="V143">
        <v>9.7799999999999994</v>
      </c>
      <c r="W143" s="3">
        <v>45972</v>
      </c>
      <c r="X143">
        <v>2759</v>
      </c>
      <c r="Y143">
        <v>557</v>
      </c>
      <c r="Z143">
        <v>72.459999999999994</v>
      </c>
      <c r="AA143">
        <v>5.64</v>
      </c>
      <c r="AB143">
        <v>552.79999999999995</v>
      </c>
      <c r="AC143">
        <v>125</v>
      </c>
      <c r="AD143">
        <v>95.82</v>
      </c>
      <c r="AE143">
        <v>3436</v>
      </c>
      <c r="AF143">
        <v>193.4</v>
      </c>
      <c r="AG143">
        <v>4888</v>
      </c>
      <c r="AH143">
        <v>3430</v>
      </c>
      <c r="AI143">
        <v>288.7</v>
      </c>
      <c r="AJ143">
        <v>51.916654800000003</v>
      </c>
      <c r="AK143">
        <v>38.049999999999997</v>
      </c>
      <c r="AL143">
        <v>74</v>
      </c>
      <c r="AM143">
        <v>1351</v>
      </c>
      <c r="AN143">
        <v>515.5</v>
      </c>
      <c r="AO143">
        <v>7070</v>
      </c>
      <c r="AP143">
        <v>83.76</v>
      </c>
      <c r="AQ143">
        <v>121.4</v>
      </c>
    </row>
    <row r="144" spans="2:43" x14ac:dyDescent="0.2">
      <c r="B144" s="3">
        <v>45973</v>
      </c>
      <c r="C144">
        <v>1152.5</v>
      </c>
      <c r="D144">
        <v>107.35</v>
      </c>
      <c r="E144">
        <v>3.4289999999999998</v>
      </c>
      <c r="F144">
        <v>13.265000000000001</v>
      </c>
      <c r="G144">
        <v>77.5</v>
      </c>
      <c r="H144">
        <v>10.815</v>
      </c>
      <c r="I144">
        <v>34.119999999999997</v>
      </c>
      <c r="J144">
        <v>64</v>
      </c>
      <c r="K144">
        <v>55.24</v>
      </c>
      <c r="L144">
        <v>378.1</v>
      </c>
      <c r="M144">
        <v>73.7</v>
      </c>
      <c r="N144">
        <v>91.58</v>
      </c>
      <c r="O144">
        <v>8.7249999999999996</v>
      </c>
      <c r="P144">
        <v>173.15</v>
      </c>
      <c r="Q144">
        <v>10.47</v>
      </c>
      <c r="R144">
        <v>16720</v>
      </c>
      <c r="S144">
        <v>0.495</v>
      </c>
      <c r="T144">
        <v>195.6</v>
      </c>
      <c r="U144">
        <v>5.91</v>
      </c>
      <c r="V144">
        <v>9.9450000000000003</v>
      </c>
      <c r="W144" s="3">
        <v>45973</v>
      </c>
      <c r="X144">
        <v>2823</v>
      </c>
      <c r="Y144">
        <v>558.5</v>
      </c>
      <c r="Z144">
        <v>73.52</v>
      </c>
      <c r="AA144">
        <v>5.6479999999999997</v>
      </c>
      <c r="AB144">
        <v>554.6</v>
      </c>
      <c r="AC144">
        <v>124.2</v>
      </c>
      <c r="AD144">
        <v>93.56</v>
      </c>
      <c r="AE144">
        <v>3446</v>
      </c>
      <c r="AF144">
        <v>194.2</v>
      </c>
      <c r="AG144">
        <v>4900</v>
      </c>
      <c r="AH144">
        <v>3466</v>
      </c>
      <c r="AI144">
        <v>290.39999999999998</v>
      </c>
      <c r="AJ144">
        <v>52.111099199999998</v>
      </c>
      <c r="AK144">
        <v>38.22</v>
      </c>
      <c r="AL144">
        <v>74.849999999999994</v>
      </c>
      <c r="AM144">
        <v>1353.5</v>
      </c>
      <c r="AN144">
        <v>509.5</v>
      </c>
      <c r="AO144">
        <v>7085</v>
      </c>
      <c r="AP144">
        <v>84.2</v>
      </c>
      <c r="AQ144">
        <v>126.95</v>
      </c>
    </row>
    <row r="145" spans="2:43" x14ac:dyDescent="0.2">
      <c r="B145" s="3">
        <v>45974</v>
      </c>
      <c r="C145">
        <v>1120.5</v>
      </c>
      <c r="D145">
        <v>101.05</v>
      </c>
      <c r="E145">
        <v>3.25</v>
      </c>
      <c r="F145">
        <v>13.475</v>
      </c>
      <c r="G145">
        <v>76.5</v>
      </c>
      <c r="H145">
        <v>10.77</v>
      </c>
      <c r="I145">
        <v>34.24</v>
      </c>
      <c r="J145">
        <v>63</v>
      </c>
      <c r="K145">
        <v>54.8</v>
      </c>
      <c r="L145">
        <v>376.5</v>
      </c>
      <c r="M145">
        <v>73.16</v>
      </c>
      <c r="N145">
        <v>92.32</v>
      </c>
      <c r="O145">
        <v>8.6950000000000003</v>
      </c>
      <c r="P145">
        <v>170.55</v>
      </c>
      <c r="Q145">
        <v>9.9450000000000003</v>
      </c>
      <c r="R145">
        <v>16650</v>
      </c>
      <c r="S145">
        <v>0.49580000000000002</v>
      </c>
      <c r="T145">
        <v>196.5</v>
      </c>
      <c r="U145">
        <v>5.97</v>
      </c>
      <c r="V145">
        <v>9.9700000000000006</v>
      </c>
      <c r="W145" s="3">
        <v>45974</v>
      </c>
      <c r="X145">
        <v>2856</v>
      </c>
      <c r="Y145">
        <v>555.5</v>
      </c>
      <c r="Z145">
        <v>73.38</v>
      </c>
      <c r="AA145">
        <v>5.6539999999999999</v>
      </c>
      <c r="AB145">
        <v>552.6</v>
      </c>
      <c r="AC145">
        <v>123.2</v>
      </c>
      <c r="AD145">
        <v>93.86</v>
      </c>
      <c r="AE145">
        <v>3459</v>
      </c>
      <c r="AF145">
        <v>195</v>
      </c>
      <c r="AG145">
        <v>4822</v>
      </c>
      <c r="AH145">
        <v>3382</v>
      </c>
      <c r="AI145">
        <v>289.89999999999998</v>
      </c>
      <c r="AJ145">
        <v>52.3055436</v>
      </c>
      <c r="AK145">
        <v>37.79</v>
      </c>
      <c r="AL145">
        <v>74.650000000000006</v>
      </c>
      <c r="AM145">
        <v>1341.5</v>
      </c>
      <c r="AN145">
        <v>505</v>
      </c>
      <c r="AO145">
        <v>7160</v>
      </c>
      <c r="AP145">
        <v>83.08</v>
      </c>
      <c r="AQ145">
        <v>124.45</v>
      </c>
    </row>
    <row r="146" spans="2:43" x14ac:dyDescent="0.2">
      <c r="B146" s="3">
        <v>45975</v>
      </c>
      <c r="C146">
        <v>1106</v>
      </c>
      <c r="D146">
        <v>110.5</v>
      </c>
      <c r="E146">
        <v>3.1819999999999999</v>
      </c>
      <c r="F146">
        <v>13.035</v>
      </c>
      <c r="G146">
        <v>75.400000000000006</v>
      </c>
      <c r="H146">
        <v>10.36</v>
      </c>
      <c r="I146">
        <v>33.9</v>
      </c>
      <c r="J146">
        <v>63.15</v>
      </c>
      <c r="K146">
        <v>54.84</v>
      </c>
      <c r="L146">
        <v>368.9</v>
      </c>
      <c r="M146">
        <v>71.959999999999994</v>
      </c>
      <c r="N146">
        <v>91.04</v>
      </c>
      <c r="O146">
        <v>8.5649999999999995</v>
      </c>
      <c r="P146">
        <v>168.3</v>
      </c>
      <c r="Q146">
        <v>9.7949999999999999</v>
      </c>
      <c r="R146">
        <v>16465</v>
      </c>
      <c r="S146">
        <v>0.499</v>
      </c>
      <c r="T146">
        <v>195</v>
      </c>
      <c r="U146">
        <v>5.875</v>
      </c>
      <c r="V146">
        <v>9.8000000000000007</v>
      </c>
      <c r="W146" s="3">
        <v>45975</v>
      </c>
      <c r="X146">
        <v>2824</v>
      </c>
      <c r="Y146">
        <v>550.5</v>
      </c>
      <c r="Z146">
        <v>72.099999999999994</v>
      </c>
      <c r="AA146">
        <v>5.6920000000000002</v>
      </c>
      <c r="AB146">
        <v>544.4</v>
      </c>
      <c r="AC146">
        <v>121.4</v>
      </c>
      <c r="AD146">
        <v>94.44</v>
      </c>
      <c r="AE146">
        <v>3397</v>
      </c>
      <c r="AF146">
        <v>194.4</v>
      </c>
      <c r="AG146">
        <v>4800</v>
      </c>
      <c r="AH146">
        <v>3364</v>
      </c>
      <c r="AI146">
        <v>286.10000000000002</v>
      </c>
      <c r="AJ146">
        <v>51.430543800000002</v>
      </c>
      <c r="AK146">
        <v>32.880000000000003</v>
      </c>
      <c r="AL146">
        <v>74.400000000000006</v>
      </c>
      <c r="AM146">
        <v>1306.5</v>
      </c>
      <c r="AN146">
        <v>498.6</v>
      </c>
      <c r="AO146">
        <v>6930</v>
      </c>
      <c r="AP146">
        <v>80.58</v>
      </c>
      <c r="AQ146">
        <v>123.95</v>
      </c>
    </row>
    <row r="147" spans="2:43" x14ac:dyDescent="0.2">
      <c r="B147" s="3">
        <v>45978</v>
      </c>
      <c r="C147">
        <v>1094.5</v>
      </c>
      <c r="D147">
        <v>114.25</v>
      </c>
      <c r="E147">
        <v>3.1640000000000001</v>
      </c>
      <c r="F147">
        <v>12.925000000000001</v>
      </c>
      <c r="G147">
        <v>74.78</v>
      </c>
      <c r="H147">
        <v>10.43</v>
      </c>
      <c r="I147">
        <v>33.64</v>
      </c>
      <c r="J147">
        <v>63.2</v>
      </c>
      <c r="K147">
        <v>54.92</v>
      </c>
      <c r="L147">
        <v>369.5</v>
      </c>
      <c r="M147">
        <v>70.72</v>
      </c>
      <c r="N147">
        <v>91.12</v>
      </c>
      <c r="O147">
        <v>8.4600000000000009</v>
      </c>
      <c r="P147">
        <v>166.25</v>
      </c>
      <c r="Q147">
        <v>9.6950000000000003</v>
      </c>
      <c r="R147">
        <v>16205</v>
      </c>
      <c r="S147">
        <v>0.50180000000000002</v>
      </c>
      <c r="T147">
        <v>192.2</v>
      </c>
      <c r="U147">
        <v>5.7549999999999999</v>
      </c>
      <c r="V147">
        <v>9.2349999999999994</v>
      </c>
      <c r="W147" s="3">
        <v>45978</v>
      </c>
      <c r="X147">
        <v>2760</v>
      </c>
      <c r="Y147">
        <v>536.5</v>
      </c>
      <c r="Z147">
        <v>70.760000000000005</v>
      </c>
      <c r="AA147">
        <v>5.7140000000000004</v>
      </c>
      <c r="AB147">
        <v>539.4</v>
      </c>
      <c r="AC147">
        <v>120.9</v>
      </c>
      <c r="AD147">
        <v>91.86</v>
      </c>
      <c r="AE147">
        <v>3322</v>
      </c>
      <c r="AF147">
        <v>196</v>
      </c>
      <c r="AG147">
        <v>4765</v>
      </c>
      <c r="AH147">
        <v>3352</v>
      </c>
      <c r="AI147">
        <v>287.2</v>
      </c>
      <c r="AJ147">
        <v>51.333321599999998</v>
      </c>
      <c r="AK147">
        <v>32.86</v>
      </c>
      <c r="AL147">
        <v>73.849999999999994</v>
      </c>
      <c r="AM147">
        <v>1302</v>
      </c>
      <c r="AN147">
        <v>501</v>
      </c>
      <c r="AO147">
        <v>6805</v>
      </c>
      <c r="AP147">
        <v>79.5</v>
      </c>
      <c r="AQ147">
        <v>131</v>
      </c>
    </row>
    <row r="148" spans="2:43" x14ac:dyDescent="0.2">
      <c r="B148" s="3">
        <v>45979</v>
      </c>
      <c r="C148">
        <v>1073.5</v>
      </c>
      <c r="D148">
        <v>106.95</v>
      </c>
      <c r="E148">
        <v>3.0830000000000002</v>
      </c>
      <c r="F148">
        <v>12.58</v>
      </c>
      <c r="G148">
        <v>73.56</v>
      </c>
      <c r="H148">
        <v>10.074999999999999</v>
      </c>
      <c r="I148">
        <v>33.36</v>
      </c>
      <c r="J148">
        <v>62.1</v>
      </c>
      <c r="K148">
        <v>53.88</v>
      </c>
      <c r="L148">
        <v>366.5</v>
      </c>
      <c r="M148">
        <v>70.06</v>
      </c>
      <c r="N148">
        <v>90.44</v>
      </c>
      <c r="O148">
        <v>8.1349999999999998</v>
      </c>
      <c r="P148">
        <v>167.1</v>
      </c>
      <c r="Q148">
        <v>9.48</v>
      </c>
      <c r="R148">
        <v>15900</v>
      </c>
      <c r="S148">
        <v>0.46839999999999998</v>
      </c>
      <c r="T148">
        <v>189</v>
      </c>
      <c r="U148">
        <v>5.5650000000000004</v>
      </c>
      <c r="V148">
        <v>9.33</v>
      </c>
      <c r="W148" s="3">
        <v>45979</v>
      </c>
      <c r="X148">
        <v>2703</v>
      </c>
      <c r="Y148">
        <v>531.5</v>
      </c>
      <c r="Z148">
        <v>69.98</v>
      </c>
      <c r="AA148">
        <v>5.69</v>
      </c>
      <c r="AB148">
        <v>529.20000000000005</v>
      </c>
      <c r="AC148">
        <v>116.2</v>
      </c>
      <c r="AD148">
        <v>90.46</v>
      </c>
      <c r="AE148">
        <v>3300</v>
      </c>
      <c r="AF148">
        <v>196</v>
      </c>
      <c r="AG148">
        <v>4632</v>
      </c>
      <c r="AH148">
        <v>3334</v>
      </c>
      <c r="AI148">
        <v>306.7</v>
      </c>
      <c r="AJ148">
        <v>51.527766</v>
      </c>
      <c r="AK148">
        <v>31.9</v>
      </c>
      <c r="AL148">
        <v>72.900000000000006</v>
      </c>
      <c r="AM148">
        <v>1298.5</v>
      </c>
      <c r="AN148">
        <v>502.5</v>
      </c>
      <c r="AO148">
        <v>6755</v>
      </c>
      <c r="AP148">
        <v>78.08</v>
      </c>
      <c r="AQ148">
        <v>126.35</v>
      </c>
    </row>
    <row r="149" spans="2:43" x14ac:dyDescent="0.2">
      <c r="B149" s="3">
        <v>45980</v>
      </c>
      <c r="C149">
        <v>1066.5</v>
      </c>
      <c r="D149">
        <v>108.95</v>
      </c>
      <c r="E149">
        <v>3.1110000000000002</v>
      </c>
      <c r="F149">
        <v>12.54</v>
      </c>
      <c r="G149">
        <v>75.400000000000006</v>
      </c>
      <c r="H149">
        <v>10.205</v>
      </c>
      <c r="I149">
        <v>33.200000000000003</v>
      </c>
      <c r="J149">
        <v>62</v>
      </c>
      <c r="K149">
        <v>53.9</v>
      </c>
      <c r="L149">
        <v>365.4</v>
      </c>
      <c r="M149">
        <v>69.62</v>
      </c>
      <c r="N149">
        <v>90.08</v>
      </c>
      <c r="O149">
        <v>8.27</v>
      </c>
      <c r="P149">
        <v>165.5</v>
      </c>
      <c r="Q149">
        <v>10</v>
      </c>
      <c r="R149">
        <v>16115</v>
      </c>
      <c r="S149">
        <v>0.48099999999999998</v>
      </c>
      <c r="T149">
        <v>195.5</v>
      </c>
      <c r="U149">
        <v>5.6150000000000002</v>
      </c>
      <c r="V149">
        <v>9.4049999999999994</v>
      </c>
      <c r="W149" s="3">
        <v>45980</v>
      </c>
      <c r="X149">
        <v>2704</v>
      </c>
      <c r="Y149">
        <v>536</v>
      </c>
      <c r="Z149">
        <v>69.8</v>
      </c>
      <c r="AA149">
        <v>5.6340000000000003</v>
      </c>
      <c r="AB149">
        <v>529.6</v>
      </c>
      <c r="AC149">
        <v>121</v>
      </c>
      <c r="AD149">
        <v>91.36</v>
      </c>
      <c r="AE149">
        <v>3261</v>
      </c>
      <c r="AF149">
        <v>196.4</v>
      </c>
      <c r="AG149">
        <v>4624</v>
      </c>
      <c r="AH149">
        <v>3312</v>
      </c>
      <c r="AI149">
        <v>310.2</v>
      </c>
      <c r="AJ149">
        <v>51.527766</v>
      </c>
      <c r="AK149">
        <v>32.049999999999997</v>
      </c>
      <c r="AL149">
        <v>72.8</v>
      </c>
      <c r="AM149">
        <v>1260.5</v>
      </c>
      <c r="AN149">
        <v>489.8</v>
      </c>
      <c r="AO149">
        <v>6835</v>
      </c>
      <c r="AP149">
        <v>79.260000000000005</v>
      </c>
      <c r="AQ149">
        <v>125.75</v>
      </c>
    </row>
    <row r="150" spans="2:43" x14ac:dyDescent="0.2">
      <c r="B150" s="3">
        <v>45981</v>
      </c>
      <c r="C150">
        <v>1079</v>
      </c>
      <c r="D150">
        <v>112.1</v>
      </c>
      <c r="E150">
        <v>3.1190000000000002</v>
      </c>
      <c r="F150">
        <v>12.6</v>
      </c>
      <c r="G150">
        <v>75.319999999999993</v>
      </c>
      <c r="H150">
        <v>10.185</v>
      </c>
      <c r="I150">
        <v>33.08</v>
      </c>
      <c r="J150">
        <v>65</v>
      </c>
      <c r="K150">
        <v>53.34</v>
      </c>
      <c r="L150">
        <v>369.6</v>
      </c>
      <c r="M150">
        <v>69.599999999999994</v>
      </c>
      <c r="N150">
        <v>89.76</v>
      </c>
      <c r="O150">
        <v>8.24</v>
      </c>
      <c r="P150">
        <v>164.45</v>
      </c>
      <c r="Q150">
        <v>9.8000000000000007</v>
      </c>
      <c r="R150">
        <v>16145</v>
      </c>
      <c r="S150">
        <v>0.48980000000000001</v>
      </c>
      <c r="T150">
        <v>195.1</v>
      </c>
      <c r="U150">
        <v>5.5049999999999999</v>
      </c>
      <c r="V150">
        <v>9.2750000000000004</v>
      </c>
      <c r="W150" s="3">
        <v>45981</v>
      </c>
      <c r="X150">
        <v>2685</v>
      </c>
      <c r="Y150">
        <v>536</v>
      </c>
      <c r="Z150">
        <v>68.599999999999994</v>
      </c>
      <c r="AA150">
        <v>5.7140000000000004</v>
      </c>
      <c r="AB150">
        <v>530</v>
      </c>
      <c r="AC150">
        <v>121.4</v>
      </c>
      <c r="AD150">
        <v>91.16</v>
      </c>
      <c r="AE150">
        <v>3247</v>
      </c>
      <c r="AF150">
        <v>197</v>
      </c>
      <c r="AG150">
        <v>4626</v>
      </c>
      <c r="AH150">
        <v>3618</v>
      </c>
      <c r="AI150">
        <v>311.8</v>
      </c>
      <c r="AJ150">
        <v>51.8</v>
      </c>
      <c r="AK150">
        <v>31.88</v>
      </c>
      <c r="AL150">
        <v>72.650000000000006</v>
      </c>
      <c r="AM150">
        <v>1259.5</v>
      </c>
      <c r="AN150">
        <v>492.4</v>
      </c>
      <c r="AO150">
        <v>6745</v>
      </c>
      <c r="AP150">
        <v>79.099999999999994</v>
      </c>
      <c r="AQ150">
        <v>130.1</v>
      </c>
    </row>
    <row r="151" spans="2:43" x14ac:dyDescent="0.2">
      <c r="B151" s="3">
        <v>45982</v>
      </c>
      <c r="C151">
        <v>1038</v>
      </c>
      <c r="D151">
        <v>100.8</v>
      </c>
      <c r="E151">
        <v>3.0939999999999999</v>
      </c>
      <c r="F151">
        <v>12.49</v>
      </c>
      <c r="G151">
        <v>73.760000000000005</v>
      </c>
      <c r="H151">
        <v>10.185</v>
      </c>
      <c r="I151">
        <v>32.840000000000003</v>
      </c>
      <c r="J151">
        <v>61.8</v>
      </c>
      <c r="K151">
        <v>54.74</v>
      </c>
      <c r="L151">
        <v>377.2</v>
      </c>
      <c r="M151">
        <v>71.14</v>
      </c>
      <c r="N151">
        <v>89.4</v>
      </c>
      <c r="O151">
        <v>8.3849999999999998</v>
      </c>
      <c r="P151">
        <v>163.55000000000001</v>
      </c>
      <c r="Q151">
        <v>9.4499999999999993</v>
      </c>
      <c r="R151">
        <v>16000</v>
      </c>
      <c r="S151">
        <v>0.48670000000000002</v>
      </c>
      <c r="T151">
        <v>191.05</v>
      </c>
      <c r="U151">
        <v>5.3949999999999996</v>
      </c>
      <c r="V151">
        <v>9.3800000000000008</v>
      </c>
      <c r="W151" s="3">
        <v>45982</v>
      </c>
      <c r="X151">
        <v>2735</v>
      </c>
      <c r="Y151">
        <v>541</v>
      </c>
      <c r="Z151">
        <v>70.84</v>
      </c>
      <c r="AA151">
        <v>5.7220000000000004</v>
      </c>
      <c r="AB151">
        <v>534.79999999999995</v>
      </c>
      <c r="AC151">
        <v>119.9</v>
      </c>
      <c r="AD151">
        <v>92.76</v>
      </c>
      <c r="AE151">
        <v>3307</v>
      </c>
      <c r="AF151">
        <v>198.2</v>
      </c>
      <c r="AG151">
        <v>4701</v>
      </c>
      <c r="AH151">
        <v>3540</v>
      </c>
      <c r="AI151">
        <v>315.60000000000002</v>
      </c>
      <c r="AJ151">
        <v>52.3</v>
      </c>
      <c r="AK151">
        <v>32.049999999999997</v>
      </c>
      <c r="AL151">
        <v>72.8</v>
      </c>
      <c r="AM151">
        <v>1235</v>
      </c>
      <c r="AN151">
        <v>505.5</v>
      </c>
      <c r="AO151">
        <v>6745</v>
      </c>
      <c r="AP151">
        <v>82.32</v>
      </c>
      <c r="AQ151">
        <v>126.5</v>
      </c>
    </row>
    <row r="152" spans="2:43" x14ac:dyDescent="0.2">
      <c r="B152" s="7">
        <v>45782</v>
      </c>
      <c r="C152" s="2" t="s">
        <v>20</v>
      </c>
      <c r="D152">
        <v>73.34</v>
      </c>
      <c r="E152">
        <v>2.544</v>
      </c>
      <c r="F152">
        <v>9.9499999999999993</v>
      </c>
      <c r="G152">
        <v>74.72</v>
      </c>
      <c r="H152">
        <v>7.3579999999999997</v>
      </c>
      <c r="I152">
        <v>32.979999999999997</v>
      </c>
      <c r="J152">
        <v>45.24</v>
      </c>
      <c r="K152">
        <v>36.799999999999997</v>
      </c>
      <c r="L152" s="2" t="s">
        <v>20</v>
      </c>
      <c r="M152">
        <v>96.96</v>
      </c>
      <c r="N152">
        <v>76.680000000000007</v>
      </c>
      <c r="O152" s="2" t="s">
        <v>20</v>
      </c>
      <c r="P152" s="2" t="s">
        <v>20</v>
      </c>
      <c r="Q152">
        <v>15.24</v>
      </c>
      <c r="R152">
        <v>15680</v>
      </c>
      <c r="S152">
        <v>0.35299999999999998</v>
      </c>
      <c r="T152">
        <v>122.85</v>
      </c>
      <c r="U152">
        <v>13.37</v>
      </c>
      <c r="V152">
        <v>13.72</v>
      </c>
      <c r="W152" s="3">
        <v>45782</v>
      </c>
      <c r="X152" s="2" t="s">
        <v>20</v>
      </c>
      <c r="Y152">
        <v>610</v>
      </c>
      <c r="Z152">
        <v>104.55</v>
      </c>
      <c r="AA152">
        <v>5.0620000000000003</v>
      </c>
      <c r="AB152">
        <v>598</v>
      </c>
      <c r="AC152">
        <v>167.4</v>
      </c>
      <c r="AD152">
        <v>156.9</v>
      </c>
      <c r="AE152">
        <v>4033</v>
      </c>
      <c r="AF152">
        <v>183.8</v>
      </c>
      <c r="AG152" s="2" t="s">
        <v>20</v>
      </c>
      <c r="AH152" s="2" t="s">
        <v>20</v>
      </c>
      <c r="AI152">
        <v>272</v>
      </c>
      <c r="AJ152">
        <v>61.152750578000003</v>
      </c>
      <c r="AK152">
        <v>43.04</v>
      </c>
      <c r="AL152">
        <v>72.5</v>
      </c>
      <c r="AM152" s="2" t="s">
        <v>20</v>
      </c>
      <c r="AN152" s="2" t="s">
        <v>20</v>
      </c>
      <c r="AO152" s="2" t="s">
        <v>20</v>
      </c>
      <c r="AP152">
        <v>78.760000000000005</v>
      </c>
      <c r="AQ152">
        <v>147.62074559999999</v>
      </c>
    </row>
    <row r="153" spans="2:43" x14ac:dyDescent="0.2">
      <c r="B153" s="7">
        <v>45803</v>
      </c>
      <c r="C153" s="2" t="s">
        <v>20</v>
      </c>
      <c r="D153">
        <v>83.24</v>
      </c>
      <c r="E153">
        <v>2.7970000000000002</v>
      </c>
      <c r="F153">
        <v>9.8239999999999998</v>
      </c>
      <c r="G153">
        <v>75.819999999999993</v>
      </c>
      <c r="H153">
        <v>7.7</v>
      </c>
      <c r="I153">
        <v>34.22</v>
      </c>
      <c r="J153">
        <v>48.54</v>
      </c>
      <c r="K153">
        <v>40.93</v>
      </c>
      <c r="L153" s="2" t="s">
        <v>20</v>
      </c>
      <c r="M153">
        <v>99.52</v>
      </c>
      <c r="N153">
        <v>79.98</v>
      </c>
      <c r="O153">
        <v>6.6950000000000003</v>
      </c>
      <c r="P153" s="2" t="s">
        <v>20</v>
      </c>
      <c r="Q153">
        <v>14.7</v>
      </c>
      <c r="R153">
        <v>15625</v>
      </c>
      <c r="S153">
        <v>0.39150000000000001</v>
      </c>
      <c r="T153">
        <v>127.3</v>
      </c>
      <c r="U153">
        <v>10.55</v>
      </c>
      <c r="V153">
        <v>14.56</v>
      </c>
      <c r="W153" s="3">
        <v>45803</v>
      </c>
      <c r="X153" s="2" t="s">
        <v>20</v>
      </c>
      <c r="Y153">
        <v>626</v>
      </c>
      <c r="Z153">
        <v>104.95</v>
      </c>
      <c r="AA153">
        <v>5.27</v>
      </c>
      <c r="AB153">
        <v>568</v>
      </c>
      <c r="AC153">
        <v>150.80000000000001</v>
      </c>
      <c r="AD153">
        <v>162.1</v>
      </c>
      <c r="AE153">
        <v>4133</v>
      </c>
      <c r="AF153">
        <v>188.8</v>
      </c>
      <c r="AG153" s="2" t="s">
        <v>20</v>
      </c>
      <c r="AH153" s="2" t="s">
        <v>20</v>
      </c>
      <c r="AI153">
        <v>262.5</v>
      </c>
      <c r="AJ153">
        <v>62.124985799999997</v>
      </c>
      <c r="AK153">
        <v>40.53</v>
      </c>
      <c r="AL153">
        <v>72.05</v>
      </c>
      <c r="AM153" s="2" t="s">
        <v>20</v>
      </c>
      <c r="AN153" s="2" t="s">
        <v>20</v>
      </c>
      <c r="AO153" s="2" t="s">
        <v>20</v>
      </c>
      <c r="AP153">
        <v>81.44</v>
      </c>
      <c r="AQ153">
        <v>148.78792770000001</v>
      </c>
    </row>
    <row r="154" spans="2:43" x14ac:dyDescent="0.2">
      <c r="B154" s="7">
        <v>45894</v>
      </c>
      <c r="C154" s="2" t="s">
        <v>20</v>
      </c>
      <c r="D154">
        <v>91.68</v>
      </c>
      <c r="E154">
        <v>3.411</v>
      </c>
      <c r="F154">
        <v>11.994999999999999</v>
      </c>
      <c r="G154">
        <v>74.459999999999994</v>
      </c>
      <c r="H154">
        <v>9.1300000000000008</v>
      </c>
      <c r="I154">
        <v>34.78</v>
      </c>
      <c r="J154">
        <v>70.45</v>
      </c>
      <c r="K154">
        <v>50.54</v>
      </c>
      <c r="L154" s="2" t="s">
        <v>20</v>
      </c>
      <c r="M154">
        <v>83.88</v>
      </c>
      <c r="N154">
        <v>90.04</v>
      </c>
      <c r="O154">
        <v>7.15</v>
      </c>
      <c r="P154" s="2" t="s">
        <v>20</v>
      </c>
      <c r="Q154">
        <v>12.95</v>
      </c>
      <c r="R154">
        <v>17520</v>
      </c>
      <c r="S154">
        <v>0.45929999999999999</v>
      </c>
      <c r="T154">
        <v>131.85</v>
      </c>
      <c r="U154">
        <v>9.1950000000000003</v>
      </c>
      <c r="V154">
        <v>13.57</v>
      </c>
      <c r="W154" s="3">
        <v>45894</v>
      </c>
      <c r="X154" s="2" t="s">
        <v>20</v>
      </c>
      <c r="Y154">
        <v>627</v>
      </c>
      <c r="Z154">
        <v>83.52</v>
      </c>
      <c r="AA154">
        <v>5.2439999999999998</v>
      </c>
      <c r="AB154">
        <v>572.79999999999995</v>
      </c>
      <c r="AC154">
        <v>154.1</v>
      </c>
      <c r="AD154">
        <v>112.9</v>
      </c>
      <c r="AE154">
        <v>3404</v>
      </c>
      <c r="AF154">
        <v>179.8</v>
      </c>
      <c r="AG154" s="2" t="s">
        <v>20</v>
      </c>
      <c r="AH154" s="2" t="s">
        <v>20</v>
      </c>
      <c r="AI154">
        <v>259.89999999999998</v>
      </c>
      <c r="AJ154">
        <v>58.722208799999997</v>
      </c>
      <c r="AK154">
        <v>42.39</v>
      </c>
      <c r="AL154">
        <v>76.45</v>
      </c>
      <c r="AM154" s="2" t="s">
        <v>20</v>
      </c>
      <c r="AN154" s="2" t="s">
        <v>20</v>
      </c>
      <c r="AO154" s="2" t="s">
        <v>20</v>
      </c>
      <c r="AP154">
        <v>88.36</v>
      </c>
      <c r="AQ154">
        <v>99.543959099999995</v>
      </c>
    </row>
    <row r="155" spans="2:43" x14ac:dyDescent="0.2">
      <c r="B155" s="7"/>
    </row>
    <row r="156" spans="2:43" x14ac:dyDescent="0.2">
      <c r="B156" s="7"/>
    </row>
    <row r="157" spans="2:43" x14ac:dyDescent="0.2">
      <c r="B157" s="7"/>
    </row>
    <row r="158" spans="2:43" x14ac:dyDescent="0.2">
      <c r="B158" s="7"/>
    </row>
    <row r="159" spans="2:43" x14ac:dyDescent="0.2">
      <c r="B159" s="7"/>
    </row>
    <row r="160" spans="2:43" x14ac:dyDescent="0.2">
      <c r="B160" s="7"/>
    </row>
    <row r="161" spans="1:26" x14ac:dyDescent="0.2">
      <c r="B161" s="7"/>
    </row>
    <row r="162" spans="1:26" x14ac:dyDescent="0.2">
      <c r="B162" s="7"/>
    </row>
    <row r="163" spans="1:26" x14ac:dyDescent="0.2">
      <c r="B163" s="7"/>
    </row>
    <row r="164" spans="1:26" x14ac:dyDescent="0.2">
      <c r="B164" s="7"/>
    </row>
    <row r="165" spans="1:26" x14ac:dyDescent="0.2">
      <c r="B165" s="7"/>
    </row>
    <row r="170" spans="1:26" ht="16" x14ac:dyDescent="0.2">
      <c r="A170" s="8"/>
    </row>
    <row r="171" spans="1:26" ht="16" x14ac:dyDescent="0.2">
      <c r="A171" s="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" x14ac:dyDescent="0.2">
      <c r="A172" s="8"/>
      <c r="F172" s="3"/>
    </row>
    <row r="173" spans="1:26" ht="16" x14ac:dyDescent="0.2">
      <c r="A173" s="8"/>
      <c r="F173" s="3"/>
    </row>
    <row r="174" spans="1:26" ht="16" x14ac:dyDescent="0.2">
      <c r="A174" s="8"/>
      <c r="F174" s="3"/>
    </row>
    <row r="175" spans="1:26" ht="16" x14ac:dyDescent="0.2">
      <c r="A175" s="8"/>
      <c r="F175" s="3"/>
    </row>
    <row r="176" spans="1:26" ht="16" x14ac:dyDescent="0.2">
      <c r="A176" s="8"/>
      <c r="F176" s="3"/>
    </row>
    <row r="177" spans="1:6" ht="16" x14ac:dyDescent="0.2">
      <c r="A177" s="8"/>
      <c r="F177" s="3"/>
    </row>
    <row r="178" spans="1:6" ht="16" x14ac:dyDescent="0.2">
      <c r="A178" s="8"/>
      <c r="F178" s="3"/>
    </row>
    <row r="179" spans="1:6" ht="16" x14ac:dyDescent="0.2">
      <c r="A179" s="8"/>
      <c r="F179" s="3"/>
    </row>
    <row r="180" spans="1:6" ht="16" x14ac:dyDescent="0.2">
      <c r="A180" s="8"/>
      <c r="F180" s="3"/>
    </row>
    <row r="181" spans="1:6" ht="16" x14ac:dyDescent="0.2">
      <c r="A181" s="8"/>
      <c r="F181" s="3"/>
    </row>
    <row r="182" spans="1:6" ht="16" x14ac:dyDescent="0.2">
      <c r="A182" s="8"/>
      <c r="F182" s="3"/>
    </row>
    <row r="183" spans="1:6" ht="16" x14ac:dyDescent="0.2">
      <c r="A183" s="8"/>
      <c r="F183" s="3"/>
    </row>
    <row r="184" spans="1:6" ht="16" x14ac:dyDescent="0.2">
      <c r="A184" s="8"/>
      <c r="F184" s="3"/>
    </row>
    <row r="185" spans="1:6" ht="16" x14ac:dyDescent="0.2">
      <c r="A185" s="8"/>
      <c r="F185" s="3"/>
    </row>
    <row r="186" spans="1:6" ht="16" x14ac:dyDescent="0.2">
      <c r="A186" s="8"/>
      <c r="F186" s="3"/>
    </row>
    <row r="187" spans="1:6" ht="16" x14ac:dyDescent="0.2">
      <c r="A187" s="8"/>
      <c r="F187" s="3"/>
    </row>
    <row r="188" spans="1:6" ht="16" x14ac:dyDescent="0.2">
      <c r="A188" s="8"/>
      <c r="F188" s="3"/>
    </row>
    <row r="189" spans="1:6" ht="16" x14ac:dyDescent="0.2">
      <c r="A189" s="8"/>
      <c r="F189" s="3"/>
    </row>
    <row r="190" spans="1:6" x14ac:dyDescent="0.2">
      <c r="F190" s="3"/>
    </row>
    <row r="191" spans="1:6" x14ac:dyDescent="0.2">
      <c r="F191" s="3"/>
    </row>
    <row r="192" spans="1:6" x14ac:dyDescent="0.2">
      <c r="F192" s="3"/>
    </row>
    <row r="193" spans="6:6" x14ac:dyDescent="0.2">
      <c r="F193" s="3"/>
    </row>
    <row r="194" spans="6:6" x14ac:dyDescent="0.2">
      <c r="F194" s="3"/>
    </row>
    <row r="195" spans="6:6" x14ac:dyDescent="0.2">
      <c r="F195" s="3"/>
    </row>
    <row r="196" spans="6:6" x14ac:dyDescent="0.2">
      <c r="F196" s="3"/>
    </row>
    <row r="197" spans="6:6" x14ac:dyDescent="0.2">
      <c r="F197" s="3"/>
    </row>
    <row r="198" spans="6:6" x14ac:dyDescent="0.2">
      <c r="F198" s="3"/>
    </row>
    <row r="199" spans="6:6" x14ac:dyDescent="0.2">
      <c r="F199" s="3"/>
    </row>
    <row r="200" spans="6:6" x14ac:dyDescent="0.2">
      <c r="F200" s="3"/>
    </row>
    <row r="201" spans="6:6" x14ac:dyDescent="0.2">
      <c r="F201" s="3"/>
    </row>
    <row r="202" spans="6:6" x14ac:dyDescent="0.2">
      <c r="F202" s="3"/>
    </row>
    <row r="203" spans="6:6" x14ac:dyDescent="0.2">
      <c r="F203" s="3"/>
    </row>
    <row r="204" spans="6:6" x14ac:dyDescent="0.2">
      <c r="F204" s="3"/>
    </row>
    <row r="205" spans="6:6" x14ac:dyDescent="0.2">
      <c r="F205" s="3"/>
    </row>
    <row r="206" spans="6:6" x14ac:dyDescent="0.2">
      <c r="F206" s="3"/>
    </row>
    <row r="207" spans="6:6" x14ac:dyDescent="0.2">
      <c r="F207" s="3"/>
    </row>
    <row r="208" spans="6:6" x14ac:dyDescent="0.2">
      <c r="F208" s="3"/>
    </row>
    <row r="209" spans="6:6" x14ac:dyDescent="0.2">
      <c r="F209" s="3"/>
    </row>
    <row r="210" spans="6:6" x14ac:dyDescent="0.2">
      <c r="F210" s="3"/>
    </row>
    <row r="211" spans="6:6" x14ac:dyDescent="0.2">
      <c r="F211" s="3"/>
    </row>
    <row r="212" spans="6:6" x14ac:dyDescent="0.2">
      <c r="F212" s="3"/>
    </row>
    <row r="213" spans="6:6" x14ac:dyDescent="0.2">
      <c r="F213" s="3"/>
    </row>
    <row r="214" spans="6:6" x14ac:dyDescent="0.2">
      <c r="F214" s="3"/>
    </row>
    <row r="215" spans="6:6" x14ac:dyDescent="0.2">
      <c r="F215" s="3"/>
    </row>
    <row r="216" spans="6:6" x14ac:dyDescent="0.2">
      <c r="F216" s="3"/>
    </row>
    <row r="217" spans="6:6" x14ac:dyDescent="0.2">
      <c r="F217" s="3"/>
    </row>
    <row r="218" spans="6:6" x14ac:dyDescent="0.2">
      <c r="F218" s="3"/>
    </row>
    <row r="219" spans="6:6" x14ac:dyDescent="0.2">
      <c r="F219" s="3"/>
    </row>
    <row r="220" spans="6:6" x14ac:dyDescent="0.2">
      <c r="F220" s="3"/>
    </row>
    <row r="221" spans="6:6" x14ac:dyDescent="0.2">
      <c r="F221" s="3"/>
    </row>
    <row r="222" spans="6:6" x14ac:dyDescent="0.2">
      <c r="F222" s="3"/>
    </row>
    <row r="223" spans="6:6" x14ac:dyDescent="0.2">
      <c r="F223" s="3"/>
    </row>
    <row r="224" spans="6:6" x14ac:dyDescent="0.2">
      <c r="F224" s="3"/>
    </row>
    <row r="225" spans="6:26" x14ac:dyDescent="0.2">
      <c r="F225" s="3"/>
    </row>
    <row r="226" spans="6:26" x14ac:dyDescent="0.2">
      <c r="F226" s="3"/>
    </row>
    <row r="227" spans="6:26" x14ac:dyDescent="0.2">
      <c r="F227" s="3"/>
      <c r="G227" s="2"/>
      <c r="H227" s="2"/>
      <c r="I227" s="2"/>
      <c r="J227" s="2"/>
      <c r="K227" s="2"/>
      <c r="L227" s="2"/>
      <c r="M227" s="2"/>
      <c r="N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6:26" x14ac:dyDescent="0.2">
      <c r="F228" s="3"/>
      <c r="G228" s="2"/>
      <c r="H228" s="2"/>
      <c r="I228" s="2"/>
      <c r="J228" s="2"/>
      <c r="K228" s="2"/>
      <c r="L228" s="2"/>
      <c r="M228" s="2"/>
      <c r="N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6:26" x14ac:dyDescent="0.2">
      <c r="F229" s="3"/>
      <c r="G229" s="2"/>
      <c r="H229" s="2"/>
      <c r="I229" s="2"/>
      <c r="J229" s="2"/>
      <c r="K229" s="2"/>
      <c r="L229" s="2"/>
      <c r="M229" s="2"/>
      <c r="N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6:26" x14ac:dyDescent="0.2">
      <c r="F230" s="3"/>
      <c r="G230" s="2"/>
      <c r="H230" s="2"/>
      <c r="I230" s="2"/>
      <c r="J230" s="2"/>
      <c r="K230" s="2"/>
      <c r="L230" s="2"/>
      <c r="M230" s="2"/>
      <c r="N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6:26" x14ac:dyDescent="0.2">
      <c r="F231" s="3"/>
      <c r="G231" s="2"/>
      <c r="H231" s="2"/>
      <c r="I231" s="2"/>
      <c r="J231" s="2"/>
      <c r="K231" s="2"/>
      <c r="L231" s="2"/>
      <c r="M231" s="2"/>
      <c r="N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6:26" x14ac:dyDescent="0.2">
      <c r="F232" s="3"/>
      <c r="G232" s="2"/>
      <c r="H232" s="2"/>
      <c r="I232" s="2"/>
      <c r="J232" s="2"/>
      <c r="K232" s="2"/>
      <c r="L232" s="2"/>
      <c r="M232" s="2"/>
      <c r="N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6:26" x14ac:dyDescent="0.2">
      <c r="F233" s="3"/>
      <c r="G233" s="2"/>
      <c r="H233" s="2"/>
      <c r="I233" s="2"/>
      <c r="J233" s="2"/>
      <c r="K233" s="2"/>
      <c r="L233" s="2"/>
      <c r="M233" s="2"/>
      <c r="N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6:26" x14ac:dyDescent="0.2">
      <c r="F234" s="3"/>
      <c r="G234" s="2"/>
      <c r="H234" s="2"/>
      <c r="I234" s="2"/>
      <c r="J234" s="2"/>
      <c r="K234" s="2"/>
      <c r="L234" s="2"/>
      <c r="M234" s="2"/>
      <c r="N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6:26" x14ac:dyDescent="0.2">
      <c r="F235" s="3"/>
      <c r="G235" s="2"/>
      <c r="H235" s="2"/>
      <c r="I235" s="2"/>
      <c r="J235" s="2"/>
      <c r="K235" s="2"/>
      <c r="L235" s="2"/>
      <c r="M235" s="2"/>
      <c r="N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6:26" x14ac:dyDescent="0.2">
      <c r="F236" s="3"/>
      <c r="G236" s="2"/>
      <c r="H236" s="2"/>
      <c r="I236" s="2"/>
      <c r="J236" s="2"/>
      <c r="K236" s="2"/>
      <c r="L236" s="2"/>
      <c r="M236" s="2"/>
      <c r="N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6:26" x14ac:dyDescent="0.2">
      <c r="F237" s="3"/>
      <c r="G237" s="2"/>
      <c r="H237" s="2"/>
      <c r="I237" s="2"/>
      <c r="J237" s="2"/>
      <c r="K237" s="2"/>
      <c r="L237" s="2"/>
      <c r="M237" s="2"/>
      <c r="N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6:26" x14ac:dyDescent="0.2">
      <c r="F238" s="3"/>
      <c r="G238" s="2"/>
      <c r="H238" s="2"/>
      <c r="I238" s="2"/>
      <c r="J238" s="2"/>
      <c r="K238" s="2"/>
      <c r="L238" s="2"/>
      <c r="M238" s="2"/>
      <c r="N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6:26" x14ac:dyDescent="0.2">
      <c r="F239" s="3"/>
      <c r="G239" s="2"/>
      <c r="H239" s="2"/>
      <c r="I239" s="2"/>
      <c r="J239" s="2"/>
      <c r="K239" s="2"/>
      <c r="L239" s="2"/>
      <c r="M239" s="2"/>
      <c r="N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6:26" x14ac:dyDescent="0.2">
      <c r="F240" s="3"/>
      <c r="G240" s="2"/>
      <c r="H240" s="2"/>
      <c r="I240" s="2"/>
      <c r="J240" s="2"/>
      <c r="K240" s="2"/>
      <c r="L240" s="2"/>
      <c r="M240" s="2"/>
      <c r="N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6:26" x14ac:dyDescent="0.2">
      <c r="F241" s="3"/>
      <c r="G241" s="2"/>
      <c r="H241" s="2"/>
      <c r="I241" s="2"/>
      <c r="J241" s="2"/>
      <c r="K241" s="2"/>
      <c r="L241" s="2"/>
      <c r="M241" s="2"/>
      <c r="N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6:26" x14ac:dyDescent="0.2">
      <c r="F242" s="3"/>
      <c r="G242" s="2"/>
      <c r="H242" s="2"/>
      <c r="I242" s="2"/>
      <c r="J242" s="2"/>
      <c r="K242" s="2"/>
      <c r="L242" s="2"/>
      <c r="M242" s="2"/>
      <c r="N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6:26" x14ac:dyDescent="0.2">
      <c r="F243" s="3"/>
      <c r="G243" s="2"/>
      <c r="H243" s="2"/>
      <c r="I243" s="2"/>
      <c r="J243" s="2"/>
      <c r="K243" s="2"/>
      <c r="L243" s="2"/>
      <c r="M243" s="2"/>
      <c r="N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6:26" x14ac:dyDescent="0.2">
      <c r="F244" s="3"/>
      <c r="G244" s="2"/>
      <c r="H244" s="2"/>
      <c r="I244" s="2"/>
      <c r="J244" s="2"/>
      <c r="K244" s="2"/>
      <c r="L244" s="2"/>
      <c r="M244" s="2"/>
      <c r="N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6:26" x14ac:dyDescent="0.2">
      <c r="F245" s="3"/>
      <c r="G245" s="2"/>
      <c r="H245" s="2"/>
      <c r="I245" s="2"/>
      <c r="J245" s="2"/>
      <c r="K245" s="2"/>
      <c r="L245" s="2"/>
      <c r="M245" s="2"/>
      <c r="N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6:26" x14ac:dyDescent="0.2">
      <c r="F246" s="3"/>
      <c r="G246" s="2"/>
      <c r="H246" s="2"/>
      <c r="I246" s="2"/>
      <c r="J246" s="2"/>
      <c r="K246" s="2"/>
      <c r="L246" s="2"/>
      <c r="M246" s="2"/>
      <c r="N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6:26" x14ac:dyDescent="0.2">
      <c r="F247" s="3"/>
      <c r="G247" s="2"/>
      <c r="H247" s="2"/>
      <c r="I247" s="2"/>
      <c r="J247" s="2"/>
      <c r="K247" s="2"/>
      <c r="L247" s="2"/>
      <c r="M247" s="2"/>
      <c r="N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6:26" x14ac:dyDescent="0.2">
      <c r="F248" s="3"/>
      <c r="G248" s="2"/>
      <c r="H248" s="2"/>
      <c r="I248" s="2"/>
      <c r="J248" s="2"/>
      <c r="K248" s="2"/>
      <c r="L248" s="2"/>
      <c r="M248" s="2"/>
      <c r="N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6:26" x14ac:dyDescent="0.2">
      <c r="F249" s="3"/>
      <c r="G249" s="2"/>
      <c r="H249" s="2"/>
      <c r="I249" s="2"/>
      <c r="J249" s="2"/>
      <c r="K249" s="2"/>
      <c r="L249" s="2"/>
      <c r="M249" s="2"/>
      <c r="N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6:26" x14ac:dyDescent="0.2">
      <c r="F250" s="3"/>
      <c r="G250" s="2"/>
      <c r="H250" s="2"/>
      <c r="I250" s="2"/>
      <c r="J250" s="2"/>
      <c r="K250" s="2"/>
      <c r="L250" s="2"/>
      <c r="M250" s="2"/>
      <c r="N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6:26" x14ac:dyDescent="0.2">
      <c r="F251" s="3"/>
      <c r="G251" s="2"/>
      <c r="H251" s="2"/>
      <c r="I251" s="2"/>
      <c r="J251" s="2"/>
      <c r="K251" s="2"/>
      <c r="L251" s="2"/>
      <c r="M251" s="2"/>
      <c r="N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6:26" x14ac:dyDescent="0.2">
      <c r="F252" s="3"/>
      <c r="G252" s="2"/>
      <c r="H252" s="2"/>
      <c r="I252" s="2"/>
      <c r="J252" s="2"/>
      <c r="K252" s="2"/>
      <c r="L252" s="2"/>
      <c r="M252" s="2"/>
      <c r="N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6:26" x14ac:dyDescent="0.2">
      <c r="F253" s="3"/>
      <c r="G253" s="2"/>
      <c r="H253" s="2"/>
      <c r="I253" s="2"/>
      <c r="J253" s="2"/>
      <c r="K253" s="2"/>
      <c r="L253" s="2"/>
      <c r="M253" s="2"/>
      <c r="N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6:26" x14ac:dyDescent="0.2">
      <c r="F254" s="3"/>
      <c r="G254" s="2"/>
      <c r="H254" s="2"/>
      <c r="I254" s="2"/>
      <c r="J254" s="2"/>
      <c r="K254" s="2"/>
      <c r="L254" s="2"/>
      <c r="M254" s="2"/>
      <c r="N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6:26" x14ac:dyDescent="0.2">
      <c r="F255" s="3"/>
      <c r="G255" s="2"/>
      <c r="H255" s="2"/>
      <c r="I255" s="2"/>
      <c r="J255" s="2"/>
      <c r="K255" s="2"/>
      <c r="L255" s="2"/>
      <c r="M255" s="2"/>
      <c r="N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6:26" x14ac:dyDescent="0.2">
      <c r="F256" s="3"/>
      <c r="G256" s="2"/>
      <c r="H256" s="2"/>
      <c r="I256" s="2"/>
      <c r="J256" s="2"/>
      <c r="K256" s="2"/>
      <c r="L256" s="2"/>
      <c r="M256" s="2"/>
      <c r="N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6:26" x14ac:dyDescent="0.2">
      <c r="F257" s="3"/>
      <c r="G257" s="2"/>
      <c r="H257" s="2"/>
      <c r="I257" s="2"/>
      <c r="J257" s="2"/>
      <c r="K257" s="2"/>
      <c r="L257" s="2"/>
      <c r="M257" s="2"/>
      <c r="N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6:26" x14ac:dyDescent="0.2">
      <c r="F258" s="3"/>
      <c r="G258" s="2"/>
      <c r="H258" s="2"/>
      <c r="I258" s="2"/>
      <c r="J258" s="2"/>
      <c r="K258" s="2"/>
      <c r="L258" s="2"/>
      <c r="M258" s="2"/>
      <c r="N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6:26" x14ac:dyDescent="0.2">
      <c r="F259" s="3"/>
      <c r="G259" s="2"/>
      <c r="H259" s="2"/>
      <c r="I259" s="2"/>
      <c r="J259" s="2"/>
      <c r="K259" s="2"/>
      <c r="L259" s="2"/>
      <c r="M259" s="2"/>
      <c r="N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6:26" x14ac:dyDescent="0.2">
      <c r="F260" s="3"/>
      <c r="G260" s="2"/>
      <c r="H260" s="2"/>
      <c r="I260" s="2"/>
      <c r="J260" s="2"/>
      <c r="K260" s="2"/>
      <c r="L260" s="2"/>
      <c r="M260" s="2"/>
      <c r="N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6:26" x14ac:dyDescent="0.2">
      <c r="F261" s="3"/>
      <c r="G261" s="2"/>
      <c r="H261" s="2"/>
      <c r="I261" s="2"/>
      <c r="J261" s="2"/>
      <c r="K261" s="2"/>
      <c r="L261" s="2"/>
      <c r="M261" s="2"/>
      <c r="N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6:26" x14ac:dyDescent="0.2">
      <c r="F262" s="3"/>
      <c r="G262" s="2"/>
      <c r="H262" s="2"/>
      <c r="I262" s="2"/>
      <c r="J262" s="2"/>
      <c r="K262" s="2"/>
      <c r="L262" s="2"/>
      <c r="M262" s="2"/>
      <c r="N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6:26" x14ac:dyDescent="0.2">
      <c r="F263" s="3"/>
      <c r="G263" s="2"/>
      <c r="H263" s="2"/>
      <c r="I263" s="2"/>
      <c r="J263" s="2"/>
      <c r="K263" s="2"/>
      <c r="L263" s="2"/>
      <c r="M263" s="2"/>
      <c r="N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6:26" x14ac:dyDescent="0.2">
      <c r="F264" s="3"/>
      <c r="G264" s="2"/>
      <c r="H264" s="2"/>
      <c r="I264" s="2"/>
      <c r="J264" s="2"/>
      <c r="K264" s="2"/>
      <c r="L264" s="2"/>
      <c r="M264" s="2"/>
      <c r="N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6:26" x14ac:dyDescent="0.2">
      <c r="F265" s="3"/>
      <c r="G265" s="2"/>
      <c r="H265" s="2"/>
      <c r="I265" s="2"/>
      <c r="J265" s="2"/>
      <c r="K265" s="2"/>
      <c r="L265" s="2"/>
      <c r="M265" s="2"/>
      <c r="N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6:26" x14ac:dyDescent="0.2">
      <c r="F266" s="3"/>
      <c r="G266" s="2"/>
      <c r="H266" s="2"/>
      <c r="I266" s="2"/>
      <c r="J266" s="2"/>
      <c r="K266" s="2"/>
      <c r="L266" s="2"/>
      <c r="M266" s="2"/>
      <c r="N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6:26" x14ac:dyDescent="0.2">
      <c r="F267" s="3"/>
      <c r="G267" s="2"/>
      <c r="H267" s="2"/>
      <c r="I267" s="2"/>
      <c r="J267" s="2"/>
      <c r="K267" s="2"/>
      <c r="L267" s="2"/>
      <c r="M267" s="2"/>
      <c r="N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6:26" x14ac:dyDescent="0.2">
      <c r="F268" s="3"/>
      <c r="G268" s="2"/>
      <c r="H268" s="2"/>
      <c r="I268" s="2"/>
      <c r="J268" s="2"/>
      <c r="K268" s="2"/>
      <c r="L268" s="2"/>
      <c r="M268" s="2"/>
      <c r="N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6:26" x14ac:dyDescent="0.2">
      <c r="F269" s="3"/>
      <c r="G269" s="2"/>
      <c r="H269" s="2"/>
      <c r="I269" s="2"/>
      <c r="J269" s="2"/>
      <c r="K269" s="2"/>
      <c r="L269" s="2"/>
      <c r="M269" s="2"/>
      <c r="N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6:26" x14ac:dyDescent="0.2">
      <c r="F270" s="3"/>
      <c r="G270" s="2"/>
      <c r="H270" s="2"/>
      <c r="I270" s="2"/>
      <c r="J270" s="2"/>
      <c r="K270" s="2"/>
      <c r="L270" s="2"/>
      <c r="M270" s="2"/>
      <c r="N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6:26" x14ac:dyDescent="0.2">
      <c r="F271" s="3"/>
      <c r="G271" s="2"/>
      <c r="H271" s="2"/>
      <c r="I271" s="2"/>
      <c r="J271" s="2"/>
      <c r="K271" s="2"/>
      <c r="L271" s="2"/>
      <c r="M271" s="2"/>
      <c r="N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6:26" x14ac:dyDescent="0.2">
      <c r="F272" s="3"/>
      <c r="G272" s="2"/>
      <c r="H272" s="2"/>
      <c r="I272" s="2"/>
      <c r="J272" s="2"/>
      <c r="K272" s="2"/>
      <c r="L272" s="2"/>
      <c r="M272" s="2"/>
      <c r="N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6:26" x14ac:dyDescent="0.2">
      <c r="F273" s="3"/>
      <c r="G273" s="2"/>
      <c r="H273" s="2"/>
      <c r="I273" s="2"/>
      <c r="J273" s="2"/>
      <c r="K273" s="2"/>
      <c r="L273" s="2"/>
      <c r="M273" s="2"/>
      <c r="N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6:26" x14ac:dyDescent="0.2">
      <c r="F274" s="3"/>
      <c r="G274" s="2"/>
      <c r="H274" s="2"/>
      <c r="I274" s="2"/>
      <c r="J274" s="2"/>
      <c r="K274" s="2"/>
      <c r="L274" s="2"/>
      <c r="M274" s="2"/>
      <c r="N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6:26" x14ac:dyDescent="0.2">
      <c r="F275" s="3"/>
      <c r="G275" s="2"/>
      <c r="H275" s="2"/>
      <c r="I275" s="2"/>
      <c r="J275" s="2"/>
      <c r="K275" s="2"/>
      <c r="L275" s="2"/>
      <c r="M275" s="2"/>
      <c r="N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6:26" x14ac:dyDescent="0.2">
      <c r="F276" s="3"/>
      <c r="G276" s="2"/>
      <c r="H276" s="2"/>
      <c r="I276" s="2"/>
      <c r="J276" s="2"/>
      <c r="K276" s="2"/>
      <c r="L276" s="2"/>
      <c r="M276" s="2"/>
      <c r="N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6:26" x14ac:dyDescent="0.2">
      <c r="F277" s="3"/>
      <c r="G277" s="2"/>
      <c r="H277" s="2"/>
      <c r="I277" s="2"/>
      <c r="J277" s="2"/>
      <c r="K277" s="2"/>
      <c r="L277" s="2"/>
      <c r="M277" s="2"/>
      <c r="N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6:26" x14ac:dyDescent="0.2">
      <c r="F278" s="3"/>
      <c r="G278" s="2"/>
      <c r="H278" s="2"/>
      <c r="I278" s="2"/>
      <c r="J278" s="2"/>
      <c r="K278" s="2"/>
      <c r="L278" s="2"/>
      <c r="M278" s="2"/>
      <c r="N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6:26" x14ac:dyDescent="0.2">
      <c r="F279" s="3"/>
      <c r="G279" s="2"/>
      <c r="H279" s="2"/>
      <c r="I279" s="2"/>
      <c r="J279" s="2"/>
      <c r="K279" s="2"/>
      <c r="L279" s="2"/>
      <c r="M279" s="2"/>
      <c r="N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6:26" x14ac:dyDescent="0.2">
      <c r="F280" s="3"/>
      <c r="G280" s="2"/>
      <c r="H280" s="2"/>
      <c r="I280" s="2"/>
      <c r="J280" s="2"/>
      <c r="K280" s="2"/>
      <c r="L280" s="2"/>
      <c r="M280" s="2"/>
      <c r="N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6:26" x14ac:dyDescent="0.2">
      <c r="F281" s="3"/>
      <c r="G281" s="2"/>
      <c r="H281" s="2"/>
      <c r="I281" s="2"/>
      <c r="J281" s="2"/>
      <c r="K281" s="2"/>
      <c r="L281" s="2"/>
      <c r="M281" s="2"/>
      <c r="N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6:26" x14ac:dyDescent="0.2">
      <c r="F282" s="3"/>
      <c r="G282" s="2"/>
      <c r="H282" s="2"/>
      <c r="I282" s="2"/>
      <c r="J282" s="2"/>
      <c r="K282" s="2"/>
      <c r="L282" s="2"/>
      <c r="M282" s="2"/>
      <c r="N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6:26" x14ac:dyDescent="0.2">
      <c r="F283" s="3"/>
      <c r="G283" s="2"/>
      <c r="H283" s="2"/>
      <c r="I283" s="2"/>
      <c r="J283" s="2"/>
      <c r="K283" s="2"/>
      <c r="L283" s="2"/>
      <c r="M283" s="2"/>
      <c r="N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6:26" x14ac:dyDescent="0.2">
      <c r="F284" s="3"/>
      <c r="G284" s="2"/>
      <c r="H284" s="2"/>
      <c r="I284" s="2"/>
      <c r="J284" s="2"/>
      <c r="K284" s="2"/>
      <c r="L284" s="2"/>
      <c r="M284" s="2"/>
      <c r="N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6:26" x14ac:dyDescent="0.2">
      <c r="F285" s="3"/>
      <c r="G285" s="2"/>
      <c r="H285" s="2"/>
      <c r="I285" s="2"/>
      <c r="J285" s="2"/>
      <c r="K285" s="2"/>
      <c r="L285" s="2"/>
      <c r="M285" s="2"/>
      <c r="N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6:26" x14ac:dyDescent="0.2">
      <c r="F286" s="3"/>
      <c r="G286" s="2"/>
      <c r="H286" s="2"/>
      <c r="I286" s="2"/>
      <c r="J286" s="2"/>
      <c r="K286" s="2"/>
      <c r="L286" s="2"/>
      <c r="M286" s="2"/>
      <c r="N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6:26" x14ac:dyDescent="0.2">
      <c r="F287" s="3"/>
      <c r="G287" s="2"/>
      <c r="H287" s="2"/>
      <c r="I287" s="2"/>
      <c r="J287" s="2"/>
      <c r="K287" s="2"/>
      <c r="L287" s="2"/>
      <c r="M287" s="2"/>
      <c r="N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6:26" x14ac:dyDescent="0.2">
      <c r="F288" s="3"/>
      <c r="G288" s="2"/>
      <c r="H288" s="2"/>
      <c r="I288" s="2"/>
      <c r="J288" s="2"/>
      <c r="K288" s="2"/>
      <c r="L288" s="2"/>
      <c r="M288" s="2"/>
      <c r="N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6:26" x14ac:dyDescent="0.2">
      <c r="F289" s="3"/>
      <c r="G289" s="2"/>
      <c r="H289" s="2"/>
      <c r="I289" s="2"/>
      <c r="J289" s="2"/>
      <c r="K289" s="2"/>
      <c r="L289" s="2"/>
      <c r="M289" s="2"/>
      <c r="N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6:26" x14ac:dyDescent="0.2">
      <c r="F290" s="3"/>
      <c r="G290" s="2"/>
      <c r="H290" s="2"/>
      <c r="I290" s="2"/>
      <c r="J290" s="2"/>
      <c r="K290" s="2"/>
      <c r="L290" s="2"/>
      <c r="M290" s="2"/>
      <c r="N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6:26" x14ac:dyDescent="0.2">
      <c r="F291" s="3"/>
      <c r="G291" s="2"/>
      <c r="H291" s="2"/>
      <c r="I291" s="2"/>
      <c r="J291" s="2"/>
      <c r="K291" s="2"/>
      <c r="L291" s="2"/>
      <c r="M291" s="2"/>
      <c r="N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6:26" x14ac:dyDescent="0.2">
      <c r="F292" s="3"/>
      <c r="G292" s="2"/>
      <c r="H292" s="2"/>
      <c r="I292" s="2"/>
      <c r="J292" s="2"/>
      <c r="K292" s="2"/>
      <c r="L292" s="2"/>
      <c r="M292" s="2"/>
      <c r="N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6:26" x14ac:dyDescent="0.2">
      <c r="F293" s="3"/>
      <c r="G293" s="2"/>
      <c r="H293" s="2"/>
      <c r="I293" s="2"/>
      <c r="J293" s="2"/>
      <c r="K293" s="2"/>
      <c r="L293" s="2"/>
      <c r="M293" s="2"/>
      <c r="N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6:26" x14ac:dyDescent="0.2">
      <c r="F294" s="3"/>
      <c r="G294" s="2"/>
      <c r="H294" s="2"/>
      <c r="I294" s="2"/>
      <c r="J294" s="2"/>
      <c r="K294" s="2"/>
      <c r="L294" s="2"/>
      <c r="M294" s="2"/>
      <c r="N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6:26" x14ac:dyDescent="0.2">
      <c r="F295" s="3"/>
      <c r="G295" s="2"/>
      <c r="H295" s="2"/>
      <c r="I295" s="2"/>
      <c r="J295" s="2"/>
      <c r="K295" s="2"/>
      <c r="L295" s="2"/>
      <c r="M295" s="2"/>
      <c r="N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6:26" x14ac:dyDescent="0.2">
      <c r="F296" s="3"/>
      <c r="G296" s="2"/>
      <c r="H296" s="2"/>
      <c r="I296" s="2"/>
      <c r="J296" s="2"/>
      <c r="K296" s="2"/>
      <c r="L296" s="2"/>
      <c r="M296" s="2"/>
      <c r="N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6:26" x14ac:dyDescent="0.2">
      <c r="F297" s="3"/>
      <c r="G297" s="2"/>
      <c r="H297" s="2"/>
      <c r="I297" s="2"/>
      <c r="J297" s="2"/>
      <c r="K297" s="2"/>
      <c r="L297" s="2"/>
      <c r="M297" s="2"/>
      <c r="N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6:26" x14ac:dyDescent="0.2">
      <c r="F298" s="3"/>
      <c r="G298" s="2"/>
      <c r="H298" s="2"/>
      <c r="I298" s="2"/>
      <c r="J298" s="2"/>
      <c r="K298" s="2"/>
      <c r="L298" s="2"/>
      <c r="M298" s="2"/>
      <c r="N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6:26" x14ac:dyDescent="0.2">
      <c r="F299" s="3"/>
      <c r="G299" s="2"/>
      <c r="H299" s="2"/>
      <c r="I299" s="2"/>
      <c r="J299" s="2"/>
      <c r="K299" s="2"/>
      <c r="L299" s="2"/>
      <c r="M299" s="2"/>
      <c r="N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6:26" x14ac:dyDescent="0.2">
      <c r="F300" s="3"/>
      <c r="G300" s="2"/>
      <c r="H300" s="2"/>
      <c r="I300" s="2"/>
      <c r="J300" s="2"/>
      <c r="K300" s="2"/>
      <c r="L300" s="2"/>
      <c r="M300" s="2"/>
      <c r="N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6:26" x14ac:dyDescent="0.2">
      <c r="F301" s="3"/>
      <c r="G301" s="2"/>
      <c r="H301" s="2"/>
      <c r="I301" s="2"/>
      <c r="J301" s="2"/>
      <c r="K301" s="2"/>
      <c r="L301" s="2"/>
      <c r="M301" s="2"/>
      <c r="N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6:26" x14ac:dyDescent="0.2">
      <c r="F302" s="3"/>
      <c r="G302" s="2"/>
      <c r="H302" s="2"/>
      <c r="I302" s="2"/>
      <c r="J302" s="2"/>
      <c r="K302" s="2"/>
      <c r="L302" s="2"/>
      <c r="M302" s="2"/>
      <c r="N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6:26" x14ac:dyDescent="0.2">
      <c r="F303" s="3"/>
      <c r="G303" s="2"/>
      <c r="H303" s="2"/>
      <c r="I303" s="2"/>
      <c r="J303" s="2"/>
      <c r="K303" s="2"/>
      <c r="L303" s="2"/>
      <c r="M303" s="2"/>
      <c r="N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6:26" x14ac:dyDescent="0.2">
      <c r="F304" s="3"/>
      <c r="G304" s="2"/>
      <c r="H304" s="2"/>
      <c r="I304" s="2"/>
      <c r="J304" s="2"/>
      <c r="K304" s="2"/>
      <c r="L304" s="2"/>
      <c r="M304" s="2"/>
      <c r="N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6:26" x14ac:dyDescent="0.2">
      <c r="F305" s="3"/>
      <c r="G305" s="2"/>
      <c r="H305" s="2"/>
      <c r="I305" s="2"/>
      <c r="J305" s="2"/>
      <c r="K305" s="2"/>
      <c r="L305" s="2"/>
      <c r="M305" s="2"/>
      <c r="N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6:26" x14ac:dyDescent="0.2">
      <c r="F306" s="3"/>
      <c r="G306" s="2"/>
      <c r="H306" s="2"/>
      <c r="I306" s="2"/>
      <c r="J306" s="2"/>
      <c r="K306" s="2"/>
      <c r="L306" s="2"/>
      <c r="M306" s="2"/>
      <c r="N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6:26" x14ac:dyDescent="0.2">
      <c r="F307" s="3"/>
      <c r="G307" s="2"/>
      <c r="H307" s="2"/>
      <c r="I307" s="2"/>
      <c r="J307" s="2"/>
      <c r="K307" s="2"/>
      <c r="L307" s="2"/>
      <c r="M307" s="2"/>
      <c r="N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6:26" x14ac:dyDescent="0.2"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6:26" x14ac:dyDescent="0.2">
      <c r="F309" s="3"/>
      <c r="O309" s="2"/>
    </row>
    <row r="310" spans="6:26" x14ac:dyDescent="0.2">
      <c r="F310" s="3"/>
      <c r="O310" s="2"/>
    </row>
    <row r="311" spans="6:26" x14ac:dyDescent="0.2">
      <c r="F311" s="3"/>
      <c r="O311" s="2"/>
    </row>
    <row r="312" spans="6:26" x14ac:dyDescent="0.2">
      <c r="F312" s="3"/>
      <c r="O312" s="2"/>
    </row>
    <row r="313" spans="6:26" x14ac:dyDescent="0.2">
      <c r="F313" s="3"/>
      <c r="O313" s="2"/>
    </row>
    <row r="314" spans="6:26" x14ac:dyDescent="0.2">
      <c r="F314" s="3"/>
      <c r="O314" s="2"/>
    </row>
    <row r="315" spans="6:26" x14ac:dyDescent="0.2">
      <c r="F315" s="3"/>
      <c r="O315" s="2"/>
    </row>
    <row r="316" spans="6:26" x14ac:dyDescent="0.2">
      <c r="F316" s="3"/>
      <c r="O316" s="2"/>
    </row>
    <row r="317" spans="6:26" x14ac:dyDescent="0.2">
      <c r="F317" s="3"/>
      <c r="O317" s="2"/>
    </row>
    <row r="318" spans="6:26" x14ac:dyDescent="0.2">
      <c r="F318" s="3"/>
      <c r="O318" s="2"/>
    </row>
    <row r="319" spans="6:26" x14ac:dyDescent="0.2">
      <c r="F319" s="3"/>
      <c r="O319" s="2"/>
    </row>
    <row r="320" spans="6:26" x14ac:dyDescent="0.2">
      <c r="F320" s="3"/>
      <c r="O320" s="2"/>
    </row>
    <row r="321" spans="6:15" x14ac:dyDescent="0.2">
      <c r="F321" s="3"/>
      <c r="O321" s="2"/>
    </row>
    <row r="322" spans="6:15" x14ac:dyDescent="0.2">
      <c r="F322" s="3"/>
      <c r="O322" s="2"/>
    </row>
    <row r="323" spans="6:15" x14ac:dyDescent="0.2">
      <c r="F323" s="3"/>
      <c r="O323" s="2"/>
    </row>
    <row r="324" spans="6:15" x14ac:dyDescent="0.2">
      <c r="F324" s="3"/>
      <c r="O324" s="2"/>
    </row>
    <row r="325" spans="6:15" x14ac:dyDescent="0.2">
      <c r="F325" s="3"/>
      <c r="O325" s="2"/>
    </row>
    <row r="326" spans="6:15" x14ac:dyDescent="0.2">
      <c r="F326" s="3"/>
      <c r="O326" s="2"/>
    </row>
    <row r="327" spans="6:15" x14ac:dyDescent="0.2">
      <c r="F327" s="3"/>
      <c r="O327" s="2"/>
    </row>
    <row r="328" spans="6:15" x14ac:dyDescent="0.2">
      <c r="F328" s="3"/>
      <c r="O328" s="2"/>
    </row>
    <row r="329" spans="6:15" x14ac:dyDescent="0.2">
      <c r="F329" s="3"/>
      <c r="O329" s="2"/>
    </row>
    <row r="330" spans="6:15" x14ac:dyDescent="0.2">
      <c r="F330" s="3"/>
      <c r="O330" s="2"/>
    </row>
    <row r="331" spans="6:15" x14ac:dyDescent="0.2">
      <c r="F331" s="3"/>
      <c r="O331" s="2"/>
    </row>
    <row r="332" spans="6:15" x14ac:dyDescent="0.2">
      <c r="F332" s="3"/>
      <c r="O332" s="2"/>
    </row>
    <row r="333" spans="6:15" x14ac:dyDescent="0.2">
      <c r="F333" s="3"/>
      <c r="O333" s="2"/>
    </row>
    <row r="334" spans="6:15" x14ac:dyDescent="0.2">
      <c r="F334" s="3"/>
      <c r="O334" s="2"/>
    </row>
    <row r="335" spans="6:15" x14ac:dyDescent="0.2">
      <c r="F335" s="3"/>
      <c r="O335" s="2"/>
    </row>
    <row r="336" spans="6:15" x14ac:dyDescent="0.2">
      <c r="F336" s="3"/>
      <c r="O336" s="2"/>
    </row>
    <row r="337" spans="6:15" x14ac:dyDescent="0.2">
      <c r="F337" s="3"/>
      <c r="O337" s="2"/>
    </row>
    <row r="338" spans="6:15" x14ac:dyDescent="0.2">
      <c r="F338" s="3"/>
      <c r="O338" s="2"/>
    </row>
    <row r="339" spans="6:15" x14ac:dyDescent="0.2">
      <c r="F339" s="3"/>
      <c r="O339" s="2"/>
    </row>
    <row r="340" spans="6:15" x14ac:dyDescent="0.2">
      <c r="F340" s="3"/>
      <c r="O340" s="2"/>
    </row>
    <row r="341" spans="6:15" x14ac:dyDescent="0.2">
      <c r="F341" s="3"/>
      <c r="O341" s="2"/>
    </row>
    <row r="342" spans="6:15" x14ac:dyDescent="0.2">
      <c r="F342" s="3"/>
      <c r="O342" s="2"/>
    </row>
    <row r="343" spans="6:15" x14ac:dyDescent="0.2">
      <c r="F343" s="3"/>
      <c r="O343" s="2"/>
    </row>
    <row r="344" spans="6:15" x14ac:dyDescent="0.2">
      <c r="F344" s="3"/>
      <c r="O344" s="2"/>
    </row>
    <row r="345" spans="6:15" x14ac:dyDescent="0.2">
      <c r="F345" s="3"/>
      <c r="O345" s="2"/>
    </row>
    <row r="346" spans="6:15" x14ac:dyDescent="0.2">
      <c r="F346" s="3"/>
      <c r="O346" s="2"/>
    </row>
    <row r="347" spans="6:15" x14ac:dyDescent="0.2">
      <c r="F347" s="3"/>
      <c r="O347" s="2"/>
    </row>
    <row r="348" spans="6:15" x14ac:dyDescent="0.2">
      <c r="F348" s="3"/>
      <c r="O348" s="2"/>
    </row>
    <row r="349" spans="6:15" x14ac:dyDescent="0.2">
      <c r="F349" s="3"/>
      <c r="O349" s="2"/>
    </row>
    <row r="350" spans="6:15" x14ac:dyDescent="0.2">
      <c r="F350" s="3"/>
      <c r="O350" s="2"/>
    </row>
    <row r="351" spans="6:15" x14ac:dyDescent="0.2">
      <c r="F351" s="3"/>
      <c r="O351" s="2"/>
    </row>
    <row r="352" spans="6:15" x14ac:dyDescent="0.2">
      <c r="F352" s="3"/>
      <c r="O352" s="2"/>
    </row>
    <row r="353" spans="6:15" x14ac:dyDescent="0.2">
      <c r="F353" s="3"/>
      <c r="O353" s="2"/>
    </row>
    <row r="354" spans="6:15" x14ac:dyDescent="0.2">
      <c r="F354" s="3"/>
      <c r="O354" s="2"/>
    </row>
    <row r="355" spans="6:15" x14ac:dyDescent="0.2">
      <c r="F355" s="3"/>
      <c r="O355" s="2"/>
    </row>
    <row r="356" spans="6:15" x14ac:dyDescent="0.2">
      <c r="F356" s="3"/>
      <c r="O356" s="2"/>
    </row>
    <row r="357" spans="6:15" x14ac:dyDescent="0.2">
      <c r="F357" s="3"/>
      <c r="O357" s="2"/>
    </row>
    <row r="358" spans="6:15" x14ac:dyDescent="0.2">
      <c r="F358" s="3"/>
      <c r="O358" s="2"/>
    </row>
    <row r="359" spans="6:15" x14ac:dyDescent="0.2">
      <c r="F359" s="3"/>
      <c r="O359" s="2"/>
    </row>
    <row r="360" spans="6:15" x14ac:dyDescent="0.2">
      <c r="F360" s="3"/>
      <c r="O360" s="2"/>
    </row>
    <row r="361" spans="6:15" x14ac:dyDescent="0.2">
      <c r="F361" s="3"/>
      <c r="O361" s="2"/>
    </row>
    <row r="362" spans="6:15" x14ac:dyDescent="0.2">
      <c r="F362" s="3"/>
      <c r="O362" s="2"/>
    </row>
    <row r="363" spans="6:15" x14ac:dyDescent="0.2">
      <c r="F363" s="3"/>
      <c r="O363" s="2"/>
    </row>
    <row r="364" spans="6:15" x14ac:dyDescent="0.2">
      <c r="F364" s="3"/>
      <c r="O364" s="2"/>
    </row>
    <row r="365" spans="6:15" x14ac:dyDescent="0.2">
      <c r="F365" s="3"/>
      <c r="O365" s="2"/>
    </row>
    <row r="366" spans="6:15" x14ac:dyDescent="0.2">
      <c r="F366" s="3"/>
      <c r="O366" s="2"/>
    </row>
    <row r="367" spans="6:15" x14ac:dyDescent="0.2">
      <c r="F367" s="3"/>
      <c r="O367" s="2"/>
    </row>
    <row r="368" spans="6:15" x14ac:dyDescent="0.2">
      <c r="F368" s="3"/>
      <c r="O368" s="2"/>
    </row>
    <row r="369" spans="1:20" x14ac:dyDescent="0.2">
      <c r="F369" s="3"/>
      <c r="O369" s="2"/>
    </row>
    <row r="370" spans="1:20" x14ac:dyDescent="0.2">
      <c r="F370" s="3"/>
      <c r="O370" s="2"/>
    </row>
    <row r="371" spans="1:20" x14ac:dyDescent="0.2">
      <c r="F371" s="3"/>
      <c r="O371" s="2"/>
    </row>
    <row r="372" spans="1:20" x14ac:dyDescent="0.2">
      <c r="F372" s="3"/>
      <c r="O372" s="2"/>
    </row>
    <row r="373" spans="1:20" x14ac:dyDescent="0.2">
      <c r="F373" s="3"/>
      <c r="O373" s="2"/>
    </row>
    <row r="374" spans="1:20" x14ac:dyDescent="0.2">
      <c r="F374" s="3"/>
      <c r="O374" s="2"/>
    </row>
    <row r="375" spans="1:20" x14ac:dyDescent="0.2">
      <c r="F375" s="3"/>
      <c r="O375" s="2"/>
    </row>
    <row r="376" spans="1:20" x14ac:dyDescent="0.2">
      <c r="F376" s="3"/>
      <c r="O376" s="2"/>
    </row>
    <row r="377" spans="1:20" x14ac:dyDescent="0.2">
      <c r="F377" s="3"/>
      <c r="O377" s="2"/>
    </row>
    <row r="378" spans="1:20" x14ac:dyDescent="0.2">
      <c r="F378" s="3"/>
      <c r="O378" s="2"/>
    </row>
    <row r="379" spans="1:20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x14ac:dyDescent="0.2">
      <c r="F380" s="3"/>
      <c r="O380" s="2"/>
    </row>
    <row r="381" spans="1:20" x14ac:dyDescent="0.2">
      <c r="F381" s="3"/>
      <c r="O381" s="2"/>
    </row>
    <row r="382" spans="1:20" x14ac:dyDescent="0.2">
      <c r="F382" s="3"/>
      <c r="O382" s="2"/>
    </row>
    <row r="383" spans="1:20" x14ac:dyDescent="0.2">
      <c r="F383" s="3"/>
      <c r="O383" s="2"/>
    </row>
    <row r="384" spans="1:20" x14ac:dyDescent="0.2">
      <c r="F384" s="3"/>
      <c r="O384" s="2"/>
    </row>
    <row r="385" spans="2:15" x14ac:dyDescent="0.2">
      <c r="F385" s="3"/>
      <c r="O385" s="2"/>
    </row>
    <row r="386" spans="2:15" x14ac:dyDescent="0.2">
      <c r="F386" s="3"/>
      <c r="O386" s="2"/>
    </row>
    <row r="387" spans="2:15" x14ac:dyDescent="0.2">
      <c r="F387" s="3"/>
      <c r="O387" s="2"/>
    </row>
    <row r="388" spans="2:15" x14ac:dyDescent="0.2">
      <c r="F388" s="3"/>
      <c r="O388" s="2"/>
    </row>
    <row r="389" spans="2:15" x14ac:dyDescent="0.2">
      <c r="F389" s="3"/>
      <c r="O389" s="2"/>
    </row>
    <row r="390" spans="2:15" x14ac:dyDescent="0.2">
      <c r="F390" s="3"/>
      <c r="O390" s="2"/>
    </row>
    <row r="394" spans="2:15" ht="16" x14ac:dyDescent="0.2">
      <c r="B394" s="5"/>
    </row>
    <row r="395" spans="2:15" ht="16" x14ac:dyDescent="0.2">
      <c r="B395" s="5"/>
    </row>
    <row r="396" spans="2:15" ht="16" x14ac:dyDescent="0.2">
      <c r="B396" s="5"/>
    </row>
    <row r="397" spans="2:15" ht="16" x14ac:dyDescent="0.2">
      <c r="B397" s="5"/>
    </row>
    <row r="398" spans="2:15" ht="16" x14ac:dyDescent="0.2">
      <c r="B398" s="5"/>
    </row>
    <row r="399" spans="2:15" ht="16" x14ac:dyDescent="0.2">
      <c r="B399" s="5"/>
    </row>
    <row r="400" spans="2:15" ht="16" x14ac:dyDescent="0.2">
      <c r="B400" s="5"/>
    </row>
    <row r="401" spans="2:2" ht="16" x14ac:dyDescent="0.2">
      <c r="B401" s="5"/>
    </row>
    <row r="402" spans="2:2" ht="16" x14ac:dyDescent="0.2">
      <c r="B402" s="5"/>
    </row>
    <row r="403" spans="2:2" ht="16" x14ac:dyDescent="0.2">
      <c r="B403" s="5"/>
    </row>
    <row r="404" spans="2:2" ht="16" x14ac:dyDescent="0.2">
      <c r="B404" s="5"/>
    </row>
    <row r="405" spans="2:2" ht="16" x14ac:dyDescent="0.2">
      <c r="B405" s="5"/>
    </row>
    <row r="406" spans="2:2" ht="16" x14ac:dyDescent="0.2">
      <c r="B406" s="5"/>
    </row>
    <row r="407" spans="2:2" ht="16" x14ac:dyDescent="0.2">
      <c r="B407" s="5"/>
    </row>
    <row r="408" spans="2:2" ht="16" x14ac:dyDescent="0.2">
      <c r="B408" s="5"/>
    </row>
    <row r="409" spans="2:2" ht="16" x14ac:dyDescent="0.2">
      <c r="B409" s="5"/>
    </row>
    <row r="410" spans="2:2" ht="16" x14ac:dyDescent="0.2">
      <c r="B410" s="5"/>
    </row>
    <row r="411" spans="2:2" ht="16" x14ac:dyDescent="0.2">
      <c r="B411" s="5"/>
    </row>
    <row r="412" spans="2:2" ht="16" x14ac:dyDescent="0.2">
      <c r="B412" s="5"/>
    </row>
    <row r="413" spans="2:2" ht="16" x14ac:dyDescent="0.2">
      <c r="B413" s="5"/>
    </row>
  </sheetData>
  <pageMargins left="0.7" right="0.7" top="0.75" bottom="0.75" header="0.3" footer="0.3"/>
  <customProperties>
    <customPr name="REFI_OFFICE_FUNCTION_DATA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EE7-C0E2-4E97-BE8D-4E6B97CC1BA2}">
  <dimension ref="A1:D159"/>
  <sheetViews>
    <sheetView topLeftCell="A134" workbookViewId="0">
      <selection activeCell="B2" sqref="B2:D159"/>
    </sheetView>
  </sheetViews>
  <sheetFormatPr baseColWidth="10" defaultColWidth="8.83203125" defaultRowHeight="15" x14ac:dyDescent="0.2"/>
  <cols>
    <col min="2" max="2" width="13" customWidth="1"/>
  </cols>
  <sheetData>
    <row r="1" spans="1:4" x14ac:dyDescent="0.2">
      <c r="A1" t="e">
        <f>_xll.RDP.Data(".SP500;.STOXX","TR.PriceClose","SDate=2025-04-28 EDate=2025-11-22 Curn=EUR CH=IN RH=date",B2)</f>
        <v>#N/A</v>
      </c>
    </row>
    <row r="2" spans="1:4" x14ac:dyDescent="0.2">
      <c r="C2" s="2" t="s">
        <v>718</v>
      </c>
      <c r="D2" s="2" t="s">
        <v>719</v>
      </c>
    </row>
    <row r="3" spans="1:4" x14ac:dyDescent="0.2">
      <c r="B3" s="3">
        <v>45775</v>
      </c>
      <c r="C3">
        <v>4840.8591600059999</v>
      </c>
      <c r="D3">
        <v>523.19000000000005</v>
      </c>
    </row>
    <row r="4" spans="1:4" x14ac:dyDescent="0.2">
      <c r="B4" s="3">
        <v>45776</v>
      </c>
      <c r="C4">
        <v>4884.3523954499997</v>
      </c>
      <c r="D4">
        <v>525.09</v>
      </c>
    </row>
    <row r="5" spans="1:4" x14ac:dyDescent="0.2">
      <c r="B5" s="3">
        <v>45777</v>
      </c>
      <c r="C5">
        <v>4916.6487703949997</v>
      </c>
      <c r="D5">
        <v>527.48</v>
      </c>
    </row>
    <row r="6" spans="1:4" x14ac:dyDescent="0.2">
      <c r="B6" s="3">
        <v>45778</v>
      </c>
      <c r="C6">
        <v>4963.363783758</v>
      </c>
      <c r="D6">
        <v>527.6</v>
      </c>
    </row>
    <row r="7" spans="1:4" x14ac:dyDescent="0.2">
      <c r="B7" s="3">
        <v>45779</v>
      </c>
      <c r="C7">
        <v>5034.6975341799998</v>
      </c>
      <c r="D7">
        <v>536.42999999999995</v>
      </c>
    </row>
    <row r="8" spans="1:4" x14ac:dyDescent="0.2">
      <c r="B8" s="3">
        <v>45782</v>
      </c>
      <c r="C8">
        <v>4994.1463693619999</v>
      </c>
      <c r="D8">
        <v>537.30999999999995</v>
      </c>
    </row>
    <row r="9" spans="1:4" x14ac:dyDescent="0.2">
      <c r="B9" s="3">
        <v>45783</v>
      </c>
      <c r="C9">
        <v>4932.1716356879997</v>
      </c>
      <c r="D9">
        <v>536.35</v>
      </c>
    </row>
    <row r="10" spans="1:4" x14ac:dyDescent="0.2">
      <c r="B10" s="3">
        <v>45784</v>
      </c>
      <c r="C10">
        <v>4983.8555440290002</v>
      </c>
      <c r="D10">
        <v>533.47</v>
      </c>
    </row>
    <row r="11" spans="1:4" x14ac:dyDescent="0.2">
      <c r="B11" s="3">
        <v>45785</v>
      </c>
      <c r="C11">
        <v>5044.9273739030004</v>
      </c>
      <c r="D11">
        <v>535.63</v>
      </c>
    </row>
    <row r="12" spans="1:4" x14ac:dyDescent="0.2">
      <c r="B12" s="3">
        <v>45786</v>
      </c>
      <c r="C12">
        <v>5032.3978232990003</v>
      </c>
      <c r="D12">
        <v>537.96</v>
      </c>
    </row>
    <row r="13" spans="1:4" x14ac:dyDescent="0.2">
      <c r="B13" s="3">
        <v>45789</v>
      </c>
      <c r="C13">
        <v>5271.2226359320002</v>
      </c>
      <c r="D13">
        <v>544.49</v>
      </c>
    </row>
    <row r="14" spans="1:4" x14ac:dyDescent="0.2">
      <c r="B14" s="3">
        <v>45790</v>
      </c>
      <c r="C14">
        <v>5263.3434550640004</v>
      </c>
      <c r="D14">
        <v>545.16999999999996</v>
      </c>
    </row>
    <row r="15" spans="1:4" x14ac:dyDescent="0.2">
      <c r="B15" s="3">
        <v>45791</v>
      </c>
      <c r="C15">
        <v>5273.450646585</v>
      </c>
      <c r="D15">
        <v>543.88</v>
      </c>
    </row>
    <row r="16" spans="1:4" x14ac:dyDescent="0.2">
      <c r="B16" s="3">
        <v>45792</v>
      </c>
      <c r="C16">
        <v>5289.0810715289999</v>
      </c>
      <c r="D16">
        <v>546.95000000000005</v>
      </c>
    </row>
    <row r="17" spans="2:4" x14ac:dyDescent="0.2">
      <c r="B17" s="3">
        <v>45793</v>
      </c>
      <c r="C17">
        <v>5337.6319404100004</v>
      </c>
      <c r="D17">
        <v>549.26</v>
      </c>
    </row>
    <row r="18" spans="2:4" x14ac:dyDescent="0.2">
      <c r="B18" s="3">
        <v>45796</v>
      </c>
      <c r="C18">
        <v>5304.7453858879999</v>
      </c>
      <c r="D18">
        <v>549.98</v>
      </c>
    </row>
    <row r="19" spans="2:4" x14ac:dyDescent="0.2">
      <c r="B19" s="3">
        <v>45797</v>
      </c>
      <c r="C19">
        <v>5265.448809769</v>
      </c>
      <c r="D19">
        <v>554.02</v>
      </c>
    </row>
    <row r="20" spans="2:4" x14ac:dyDescent="0.2">
      <c r="B20" s="3">
        <v>45798</v>
      </c>
      <c r="C20">
        <v>5158.9806545490001</v>
      </c>
      <c r="D20">
        <v>553.82000000000005</v>
      </c>
    </row>
    <row r="21" spans="2:4" x14ac:dyDescent="0.2">
      <c r="B21" s="3">
        <v>45799</v>
      </c>
      <c r="C21">
        <v>5179.0571981160001</v>
      </c>
      <c r="D21">
        <v>550.27</v>
      </c>
    </row>
    <row r="22" spans="2:4" x14ac:dyDescent="0.2">
      <c r="B22" s="3">
        <v>45800</v>
      </c>
      <c r="C22">
        <v>5106.3032035469996</v>
      </c>
      <c r="D22">
        <v>545.13</v>
      </c>
    </row>
    <row r="23" spans="2:4" x14ac:dyDescent="0.2">
      <c r="B23" s="3">
        <v>45800</v>
      </c>
      <c r="C23">
        <v>5106.3032035469996</v>
      </c>
      <c r="D23" s="2" t="s">
        <v>20</v>
      </c>
    </row>
    <row r="24" spans="2:4" x14ac:dyDescent="0.2">
      <c r="B24" s="3">
        <v>45804</v>
      </c>
      <c r="C24">
        <v>5227.3582189079998</v>
      </c>
      <c r="D24">
        <v>552.32000000000005</v>
      </c>
    </row>
    <row r="25" spans="2:4" x14ac:dyDescent="0.2">
      <c r="B25" s="3">
        <v>45805</v>
      </c>
      <c r="C25">
        <v>5214.7844115079997</v>
      </c>
      <c r="D25">
        <v>548.92999999999995</v>
      </c>
    </row>
    <row r="26" spans="2:4" x14ac:dyDescent="0.2">
      <c r="B26" s="3">
        <v>45806</v>
      </c>
      <c r="C26">
        <v>5199.3420375610003</v>
      </c>
      <c r="D26">
        <v>547.88</v>
      </c>
    </row>
    <row r="27" spans="2:4" x14ac:dyDescent="0.2">
      <c r="B27" s="3">
        <v>45807</v>
      </c>
      <c r="C27">
        <v>5209.9103718429997</v>
      </c>
      <c r="D27">
        <v>548.66999999999996</v>
      </c>
    </row>
    <row r="28" spans="2:4" x14ac:dyDescent="0.2">
      <c r="B28" s="3">
        <v>45810</v>
      </c>
      <c r="C28">
        <v>5188.3092310499997</v>
      </c>
      <c r="D28">
        <v>547.91999999999996</v>
      </c>
    </row>
    <row r="29" spans="2:4" x14ac:dyDescent="0.2">
      <c r="B29" s="3">
        <v>45811</v>
      </c>
      <c r="C29">
        <v>5250.9985355819999</v>
      </c>
      <c r="D29">
        <v>548.44000000000005</v>
      </c>
    </row>
    <row r="30" spans="2:4" x14ac:dyDescent="0.2">
      <c r="B30" s="3">
        <v>45812</v>
      </c>
      <c r="C30">
        <v>5229.7755737480002</v>
      </c>
      <c r="D30">
        <v>551.02</v>
      </c>
    </row>
    <row r="31" spans="2:4" x14ac:dyDescent="0.2">
      <c r="B31" s="3">
        <v>45813</v>
      </c>
      <c r="C31">
        <v>5189.8820096059999</v>
      </c>
      <c r="D31">
        <v>551.88</v>
      </c>
    </row>
    <row r="32" spans="2:4" x14ac:dyDescent="0.2">
      <c r="B32" s="3">
        <v>45814</v>
      </c>
      <c r="C32">
        <v>5266.2116535149999</v>
      </c>
      <c r="D32">
        <v>553.64</v>
      </c>
    </row>
    <row r="33" spans="2:4" x14ac:dyDescent="0.2">
      <c r="B33" s="3">
        <v>45817</v>
      </c>
      <c r="C33">
        <v>5259.1119456099996</v>
      </c>
      <c r="D33">
        <v>553.24</v>
      </c>
    </row>
    <row r="34" spans="2:4" x14ac:dyDescent="0.2">
      <c r="B34" s="3">
        <v>45818</v>
      </c>
      <c r="C34">
        <v>5286.5517614939999</v>
      </c>
      <c r="D34">
        <v>553.12</v>
      </c>
    </row>
    <row r="35" spans="2:4" x14ac:dyDescent="0.2">
      <c r="B35" s="3">
        <v>45819</v>
      </c>
      <c r="C35">
        <v>5242.6620766599999</v>
      </c>
      <c r="D35">
        <v>551.64</v>
      </c>
    </row>
    <row r="36" spans="2:4" x14ac:dyDescent="0.2">
      <c r="B36" s="3">
        <v>45820</v>
      </c>
      <c r="C36">
        <v>5219.0506034809996</v>
      </c>
      <c r="D36">
        <v>549.84</v>
      </c>
    </row>
    <row r="37" spans="2:4" x14ac:dyDescent="0.2">
      <c r="B37" s="3">
        <v>45821</v>
      </c>
      <c r="C37">
        <v>5173.9605313350003</v>
      </c>
      <c r="D37">
        <v>544.94000000000005</v>
      </c>
    </row>
    <row r="38" spans="2:4" x14ac:dyDescent="0.2">
      <c r="B38" s="3">
        <v>45824</v>
      </c>
      <c r="C38">
        <v>5218.5162873740001</v>
      </c>
      <c r="D38">
        <v>546.91</v>
      </c>
    </row>
    <row r="39" spans="2:4" x14ac:dyDescent="0.2">
      <c r="B39" s="3">
        <v>45825</v>
      </c>
      <c r="C39">
        <v>5211.9037417199997</v>
      </c>
      <c r="D39">
        <v>542.26</v>
      </c>
    </row>
    <row r="40" spans="2:4" x14ac:dyDescent="0.2">
      <c r="B40" s="3">
        <v>45826</v>
      </c>
      <c r="C40">
        <v>5210.2907889799999</v>
      </c>
      <c r="D40">
        <v>540.33000000000004</v>
      </c>
    </row>
    <row r="41" spans="2:4" x14ac:dyDescent="0.2">
      <c r="B41" s="3">
        <v>45826</v>
      </c>
      <c r="C41">
        <v>5210.2907889799999</v>
      </c>
      <c r="D41" s="2" t="s">
        <v>20</v>
      </c>
    </row>
    <row r="42" spans="2:4" x14ac:dyDescent="0.2">
      <c r="B42" s="3">
        <v>45828</v>
      </c>
      <c r="C42">
        <v>5179.4879020500002</v>
      </c>
      <c r="D42">
        <v>536.53</v>
      </c>
    </row>
    <row r="43" spans="2:4" x14ac:dyDescent="0.2">
      <c r="B43" s="3">
        <v>45831</v>
      </c>
      <c r="C43">
        <v>5204.9068116400003</v>
      </c>
      <c r="D43">
        <v>535.03</v>
      </c>
    </row>
    <row r="44" spans="2:4" x14ac:dyDescent="0.2">
      <c r="B44" s="3">
        <v>45832</v>
      </c>
      <c r="C44">
        <v>5248.2312522169996</v>
      </c>
      <c r="D44">
        <v>540.98</v>
      </c>
    </row>
    <row r="45" spans="2:4" x14ac:dyDescent="0.2">
      <c r="B45" s="3">
        <v>45833</v>
      </c>
      <c r="C45">
        <v>5225.3077543939999</v>
      </c>
      <c r="D45">
        <v>536.98</v>
      </c>
    </row>
    <row r="46" spans="2:4" x14ac:dyDescent="0.2">
      <c r="B46" s="3">
        <v>45834</v>
      </c>
      <c r="C46">
        <v>5249.1590670610003</v>
      </c>
      <c r="D46">
        <v>537.48</v>
      </c>
    </row>
    <row r="47" spans="2:4" x14ac:dyDescent="0.2">
      <c r="B47" s="3">
        <v>45835</v>
      </c>
      <c r="C47">
        <v>5267.6071643519999</v>
      </c>
      <c r="D47">
        <v>543.63</v>
      </c>
    </row>
    <row r="48" spans="2:4" x14ac:dyDescent="0.2">
      <c r="B48" s="3">
        <v>45838</v>
      </c>
      <c r="C48">
        <v>5264.6552708400004</v>
      </c>
      <c r="D48">
        <v>541.37</v>
      </c>
    </row>
    <row r="49" spans="2:4" x14ac:dyDescent="0.2">
      <c r="B49" s="3">
        <v>45839</v>
      </c>
      <c r="C49">
        <v>5250.3316449900003</v>
      </c>
      <c r="D49">
        <v>540.25</v>
      </c>
    </row>
    <row r="50" spans="2:4" x14ac:dyDescent="0.2">
      <c r="B50" s="3">
        <v>45840</v>
      </c>
      <c r="C50">
        <v>5278.36093772</v>
      </c>
      <c r="D50">
        <v>541.21</v>
      </c>
    </row>
    <row r="51" spans="2:4" x14ac:dyDescent="0.2">
      <c r="B51" s="3">
        <v>45841</v>
      </c>
      <c r="C51">
        <v>5341.4043411299999</v>
      </c>
      <c r="D51">
        <v>543.76</v>
      </c>
    </row>
    <row r="52" spans="2:4" x14ac:dyDescent="0.2">
      <c r="B52" s="3">
        <v>45841</v>
      </c>
      <c r="C52">
        <v>5341.4043411299999</v>
      </c>
      <c r="D52" s="2" t="s">
        <v>20</v>
      </c>
    </row>
    <row r="53" spans="2:4" x14ac:dyDescent="0.2">
      <c r="B53" s="3">
        <v>45845</v>
      </c>
      <c r="C53">
        <v>5321.5844807249996</v>
      </c>
      <c r="D53">
        <v>543.5</v>
      </c>
    </row>
    <row r="54" spans="2:4" x14ac:dyDescent="0.2">
      <c r="B54" s="3">
        <v>45846</v>
      </c>
      <c r="C54">
        <v>5310.0601840299996</v>
      </c>
      <c r="D54">
        <v>545.71</v>
      </c>
    </row>
    <row r="55" spans="2:4" x14ac:dyDescent="0.2">
      <c r="B55" s="3">
        <v>45847</v>
      </c>
      <c r="C55">
        <v>5344.568777808</v>
      </c>
      <c r="D55">
        <v>549.96</v>
      </c>
    </row>
    <row r="56" spans="2:4" x14ac:dyDescent="0.2">
      <c r="B56" s="3">
        <v>45848</v>
      </c>
      <c r="C56">
        <v>5367.90770901</v>
      </c>
      <c r="D56">
        <v>552.92999999999995</v>
      </c>
    </row>
    <row r="57" spans="2:4" x14ac:dyDescent="0.2">
      <c r="B57" s="3">
        <v>45849</v>
      </c>
      <c r="C57">
        <v>5355.2756426639999</v>
      </c>
      <c r="D57">
        <v>547.34</v>
      </c>
    </row>
    <row r="58" spans="2:4" x14ac:dyDescent="0.2">
      <c r="B58" s="3">
        <v>45852</v>
      </c>
      <c r="C58">
        <v>5374.7251721900002</v>
      </c>
      <c r="D58">
        <v>546.99</v>
      </c>
    </row>
    <row r="59" spans="2:4" x14ac:dyDescent="0.2">
      <c r="B59" s="3">
        <v>45853</v>
      </c>
      <c r="C59">
        <v>5382.9915391980003</v>
      </c>
      <c r="D59">
        <v>544.95000000000005</v>
      </c>
    </row>
    <row r="60" spans="2:4" x14ac:dyDescent="0.2">
      <c r="B60" s="3">
        <v>45854</v>
      </c>
      <c r="C60">
        <v>5383.9592091599998</v>
      </c>
      <c r="D60">
        <v>541.84</v>
      </c>
    </row>
    <row r="61" spans="2:4" x14ac:dyDescent="0.2">
      <c r="B61" s="3">
        <v>45855</v>
      </c>
      <c r="C61">
        <v>5431.0967970359998</v>
      </c>
      <c r="D61">
        <v>547.03</v>
      </c>
    </row>
    <row r="62" spans="2:4" x14ac:dyDescent="0.2">
      <c r="B62" s="3">
        <v>45856</v>
      </c>
      <c r="C62">
        <v>5416.6238335799999</v>
      </c>
      <c r="D62">
        <v>547</v>
      </c>
    </row>
    <row r="63" spans="2:4" x14ac:dyDescent="0.2">
      <c r="B63" s="3">
        <v>45859</v>
      </c>
      <c r="C63">
        <v>5391.7252876639996</v>
      </c>
      <c r="D63">
        <v>546.58000000000004</v>
      </c>
    </row>
    <row r="64" spans="2:4" x14ac:dyDescent="0.2">
      <c r="B64" s="3">
        <v>45860</v>
      </c>
      <c r="C64">
        <v>5368.5433251450004</v>
      </c>
      <c r="D64">
        <v>544.34</v>
      </c>
    </row>
    <row r="65" spans="2:4" x14ac:dyDescent="0.2">
      <c r="B65" s="3">
        <v>45861</v>
      </c>
      <c r="C65">
        <v>5402.6603427560003</v>
      </c>
      <c r="D65">
        <v>550.22</v>
      </c>
    </row>
    <row r="66" spans="2:4" x14ac:dyDescent="0.2">
      <c r="B66" s="3">
        <v>45862</v>
      </c>
      <c r="C66">
        <v>5413.7466839609997</v>
      </c>
      <c r="D66">
        <v>551.54999999999995</v>
      </c>
    </row>
    <row r="67" spans="2:4" x14ac:dyDescent="0.2">
      <c r="B67" s="3">
        <v>45863</v>
      </c>
      <c r="C67">
        <v>5441.7834986549997</v>
      </c>
      <c r="D67">
        <v>549.95000000000005</v>
      </c>
    </row>
    <row r="68" spans="2:4" x14ac:dyDescent="0.2">
      <c r="B68" s="3">
        <v>45866</v>
      </c>
      <c r="C68">
        <v>5514.1128988399996</v>
      </c>
      <c r="D68">
        <v>548.76</v>
      </c>
    </row>
    <row r="69" spans="2:4" x14ac:dyDescent="0.2">
      <c r="B69" s="3">
        <v>45867</v>
      </c>
      <c r="C69">
        <v>5518.3126408340004</v>
      </c>
      <c r="D69">
        <v>550.36</v>
      </c>
    </row>
    <row r="70" spans="2:4" x14ac:dyDescent="0.2">
      <c r="B70" s="3">
        <v>45868</v>
      </c>
      <c r="C70">
        <v>5579.5623287320004</v>
      </c>
      <c r="D70">
        <v>550.24</v>
      </c>
    </row>
    <row r="71" spans="2:4" x14ac:dyDescent="0.2">
      <c r="B71" s="3">
        <v>45869</v>
      </c>
      <c r="C71">
        <v>5553.5632453839999</v>
      </c>
      <c r="D71">
        <v>546.11</v>
      </c>
    </row>
    <row r="72" spans="2:4" x14ac:dyDescent="0.2">
      <c r="B72" s="3">
        <v>45870</v>
      </c>
      <c r="C72">
        <v>5385.0215775160004</v>
      </c>
      <c r="D72">
        <v>535.79</v>
      </c>
    </row>
    <row r="73" spans="2:4" x14ac:dyDescent="0.2">
      <c r="B73" s="3">
        <v>45873</v>
      </c>
      <c r="C73">
        <v>5470.9667098500004</v>
      </c>
      <c r="D73">
        <v>540.6</v>
      </c>
    </row>
    <row r="74" spans="2:4" x14ac:dyDescent="0.2">
      <c r="B74" s="3">
        <v>45874</v>
      </c>
      <c r="C74">
        <v>5442.5666079399998</v>
      </c>
      <c r="D74">
        <v>541.4</v>
      </c>
    </row>
    <row r="75" spans="2:4" x14ac:dyDescent="0.2">
      <c r="B75" s="3">
        <v>45875</v>
      </c>
      <c r="C75">
        <v>5442.220983745</v>
      </c>
      <c r="D75">
        <v>541.07000000000005</v>
      </c>
    </row>
    <row r="76" spans="2:4" x14ac:dyDescent="0.2">
      <c r="B76" s="3">
        <v>45876</v>
      </c>
      <c r="C76">
        <v>5435.0898282790004</v>
      </c>
      <c r="D76">
        <v>546.04999999999995</v>
      </c>
    </row>
    <row r="77" spans="2:4" x14ac:dyDescent="0.2">
      <c r="B77" s="3">
        <v>45877</v>
      </c>
      <c r="C77">
        <v>5489.6836128539999</v>
      </c>
      <c r="D77">
        <v>547.08000000000004</v>
      </c>
    </row>
    <row r="78" spans="2:4" x14ac:dyDescent="0.2">
      <c r="B78" s="3">
        <v>45880</v>
      </c>
      <c r="C78">
        <v>5487.7345810019997</v>
      </c>
      <c r="D78">
        <v>546.76</v>
      </c>
    </row>
    <row r="79" spans="2:4" x14ac:dyDescent="0.2">
      <c r="B79" s="3">
        <v>45881</v>
      </c>
      <c r="C79">
        <v>5521.955561496</v>
      </c>
      <c r="D79">
        <v>547.89</v>
      </c>
    </row>
    <row r="80" spans="2:4" x14ac:dyDescent="0.2">
      <c r="B80" s="3">
        <v>45882</v>
      </c>
      <c r="C80">
        <v>5525.1146335269996</v>
      </c>
      <c r="D80">
        <v>550.85</v>
      </c>
    </row>
    <row r="81" spans="2:4" x14ac:dyDescent="0.2">
      <c r="B81" s="3">
        <v>45883</v>
      </c>
      <c r="C81">
        <v>5554.2724348319998</v>
      </c>
      <c r="D81">
        <v>553.87</v>
      </c>
    </row>
    <row r="82" spans="2:4" x14ac:dyDescent="0.2">
      <c r="B82" s="3">
        <v>45884</v>
      </c>
      <c r="C82">
        <v>5514.0601092719999</v>
      </c>
      <c r="D82">
        <v>553.55999999999995</v>
      </c>
    </row>
    <row r="83" spans="2:4" x14ac:dyDescent="0.2">
      <c r="B83" s="3">
        <v>45887</v>
      </c>
      <c r="C83">
        <v>5530.9838283959998</v>
      </c>
      <c r="D83">
        <v>554.01</v>
      </c>
    </row>
    <row r="84" spans="2:4" x14ac:dyDescent="0.2">
      <c r="B84" s="3">
        <v>45888</v>
      </c>
      <c r="C84">
        <v>5505.1909140360003</v>
      </c>
      <c r="D84">
        <v>557.80999999999995</v>
      </c>
    </row>
    <row r="85" spans="2:4" x14ac:dyDescent="0.2">
      <c r="B85" s="3">
        <v>45889</v>
      </c>
      <c r="C85">
        <v>5489.4990039599998</v>
      </c>
      <c r="D85">
        <v>559.09</v>
      </c>
    </row>
    <row r="86" spans="2:4" x14ac:dyDescent="0.2">
      <c r="B86" s="3">
        <v>45890</v>
      </c>
      <c r="C86">
        <v>5489.1778155900001</v>
      </c>
      <c r="D86">
        <v>559.07000000000005</v>
      </c>
    </row>
    <row r="87" spans="2:4" x14ac:dyDescent="0.2">
      <c r="B87" s="3">
        <v>45891</v>
      </c>
      <c r="C87">
        <v>5520.2216059299999</v>
      </c>
      <c r="D87">
        <v>561.29999999999995</v>
      </c>
    </row>
    <row r="88" spans="2:4" x14ac:dyDescent="0.2">
      <c r="B88" s="3">
        <v>45894</v>
      </c>
      <c r="C88">
        <v>5542.5158175269999</v>
      </c>
      <c r="D88">
        <v>558.82000000000005</v>
      </c>
    </row>
    <row r="89" spans="2:4" x14ac:dyDescent="0.2">
      <c r="B89" s="3">
        <v>45895</v>
      </c>
      <c r="C89">
        <v>5553.9797852880001</v>
      </c>
      <c r="D89">
        <v>554.20000000000005</v>
      </c>
    </row>
    <row r="90" spans="2:4" x14ac:dyDescent="0.2">
      <c r="B90" s="3">
        <v>45896</v>
      </c>
      <c r="C90">
        <v>5569.6642118560003</v>
      </c>
      <c r="D90">
        <v>554.76</v>
      </c>
    </row>
    <row r="91" spans="2:4" x14ac:dyDescent="0.2">
      <c r="B91" s="3">
        <v>45897</v>
      </c>
      <c r="C91">
        <v>5565.7216835879999</v>
      </c>
      <c r="D91">
        <v>553.66999999999996</v>
      </c>
    </row>
    <row r="92" spans="2:4" x14ac:dyDescent="0.2">
      <c r="B92" s="3">
        <v>45898</v>
      </c>
      <c r="C92">
        <v>5529.1450370490002</v>
      </c>
      <c r="D92">
        <v>550.14</v>
      </c>
    </row>
    <row r="93" spans="2:4" x14ac:dyDescent="0.2">
      <c r="B93" s="3">
        <v>45898</v>
      </c>
      <c r="C93">
        <v>5529.1450370490002</v>
      </c>
      <c r="D93" s="2" t="s">
        <v>20</v>
      </c>
    </row>
    <row r="94" spans="2:4" x14ac:dyDescent="0.2">
      <c r="B94" s="3">
        <v>45902</v>
      </c>
      <c r="C94">
        <v>5512.5538620249999</v>
      </c>
      <c r="D94">
        <v>543.16999999999996</v>
      </c>
    </row>
    <row r="95" spans="2:4" x14ac:dyDescent="0.2">
      <c r="B95" s="3">
        <v>45903</v>
      </c>
      <c r="C95">
        <v>5529.7706174040004</v>
      </c>
      <c r="D95">
        <v>546.78</v>
      </c>
    </row>
    <row r="96" spans="2:4" x14ac:dyDescent="0.2">
      <c r="B96" s="3">
        <v>45904</v>
      </c>
      <c r="C96">
        <v>5581.6480446759997</v>
      </c>
      <c r="D96">
        <v>550.09</v>
      </c>
    </row>
    <row r="97" spans="2:4" x14ac:dyDescent="0.2">
      <c r="B97" s="3">
        <v>45905</v>
      </c>
      <c r="C97">
        <v>5531.6971494299996</v>
      </c>
      <c r="D97">
        <v>549.21</v>
      </c>
    </row>
    <row r="98" spans="2:4" x14ac:dyDescent="0.2">
      <c r="B98" s="3">
        <v>45908</v>
      </c>
      <c r="C98">
        <v>5522.1806109600002</v>
      </c>
      <c r="D98">
        <v>552.04</v>
      </c>
    </row>
    <row r="99" spans="2:4" x14ac:dyDescent="0.2">
      <c r="B99" s="3">
        <v>45909</v>
      </c>
      <c r="C99">
        <v>5563.4628165820004</v>
      </c>
      <c r="D99">
        <v>552.39</v>
      </c>
    </row>
    <row r="100" spans="2:4" x14ac:dyDescent="0.2">
      <c r="B100" s="3">
        <v>45910</v>
      </c>
      <c r="C100">
        <v>5586.2687505929998</v>
      </c>
      <c r="D100">
        <v>552.29</v>
      </c>
    </row>
    <row r="101" spans="2:4" x14ac:dyDescent="0.2">
      <c r="B101" s="3">
        <v>45911</v>
      </c>
      <c r="C101">
        <v>5614.5014480700002</v>
      </c>
      <c r="D101">
        <v>555.33000000000004</v>
      </c>
    </row>
    <row r="102" spans="2:4" x14ac:dyDescent="0.2">
      <c r="B102" s="3">
        <v>45912</v>
      </c>
      <c r="C102">
        <v>5611.7861055000003</v>
      </c>
      <c r="D102">
        <v>554.84</v>
      </c>
    </row>
    <row r="103" spans="2:4" x14ac:dyDescent="0.2">
      <c r="B103" s="3">
        <v>45915</v>
      </c>
      <c r="C103">
        <v>5625.2344741119996</v>
      </c>
      <c r="D103">
        <v>557.16</v>
      </c>
    </row>
    <row r="104" spans="2:4" x14ac:dyDescent="0.2">
      <c r="B104" s="3">
        <v>45916</v>
      </c>
      <c r="C104">
        <v>5567.777467166</v>
      </c>
      <c r="D104">
        <v>550.79</v>
      </c>
    </row>
    <row r="105" spans="2:4" x14ac:dyDescent="0.2">
      <c r="B105" s="3">
        <v>45917</v>
      </c>
      <c r="C105">
        <v>5587.85385486</v>
      </c>
      <c r="D105">
        <v>550.63</v>
      </c>
    </row>
    <row r="106" spans="2:4" x14ac:dyDescent="0.2">
      <c r="B106" s="3">
        <v>45918</v>
      </c>
      <c r="C106">
        <v>5626.9552421340004</v>
      </c>
      <c r="D106">
        <v>555.01</v>
      </c>
    </row>
    <row r="107" spans="2:4" x14ac:dyDescent="0.2">
      <c r="B107" s="3">
        <v>45919</v>
      </c>
      <c r="C107">
        <v>5674.7066272000002</v>
      </c>
      <c r="D107">
        <v>554.12</v>
      </c>
    </row>
    <row r="108" spans="2:4" x14ac:dyDescent="0.2">
      <c r="B108" s="3">
        <v>45922</v>
      </c>
      <c r="C108">
        <v>5671.6841086229997</v>
      </c>
      <c r="D108">
        <v>553.4</v>
      </c>
    </row>
    <row r="109" spans="2:4" x14ac:dyDescent="0.2">
      <c r="B109" s="3">
        <v>45923</v>
      </c>
      <c r="C109">
        <v>5634.2838649619998</v>
      </c>
      <c r="D109">
        <v>554.95000000000005</v>
      </c>
    </row>
    <row r="110" spans="2:4" x14ac:dyDescent="0.2">
      <c r="B110" s="3">
        <v>45924</v>
      </c>
      <c r="C110">
        <v>5655.6199721370003</v>
      </c>
      <c r="D110">
        <v>553.88</v>
      </c>
    </row>
    <row r="111" spans="2:4" x14ac:dyDescent="0.2">
      <c r="B111" s="3">
        <v>45925</v>
      </c>
      <c r="C111">
        <v>5662.0259140440003</v>
      </c>
      <c r="D111">
        <v>550.22</v>
      </c>
    </row>
    <row r="112" spans="2:4" x14ac:dyDescent="0.2">
      <c r="B112" s="3">
        <v>45926</v>
      </c>
      <c r="C112">
        <v>5677.903194425</v>
      </c>
      <c r="D112">
        <v>554.52</v>
      </c>
    </row>
    <row r="113" spans="2:4" x14ac:dyDescent="0.2">
      <c r="B113" s="3">
        <v>45929</v>
      </c>
      <c r="C113">
        <v>5681.2104820240002</v>
      </c>
      <c r="D113">
        <v>555.53</v>
      </c>
    </row>
    <row r="114" spans="2:4" x14ac:dyDescent="0.2">
      <c r="B114" s="3">
        <v>45930</v>
      </c>
      <c r="C114">
        <v>5700.5736057000004</v>
      </c>
      <c r="D114">
        <v>558.17999999999995</v>
      </c>
    </row>
    <row r="115" spans="2:4" x14ac:dyDescent="0.2">
      <c r="B115" s="3">
        <v>45931</v>
      </c>
      <c r="C115">
        <v>5721.905333101</v>
      </c>
      <c r="D115">
        <v>564.62</v>
      </c>
    </row>
    <row r="116" spans="2:4" x14ac:dyDescent="0.2">
      <c r="B116" s="3">
        <v>45932</v>
      </c>
      <c r="C116">
        <v>5732.7568293840004</v>
      </c>
      <c r="D116">
        <v>567.6</v>
      </c>
    </row>
    <row r="117" spans="2:4" x14ac:dyDescent="0.2">
      <c r="B117" s="3">
        <v>45933</v>
      </c>
      <c r="C117">
        <v>5719.9720625959999</v>
      </c>
      <c r="D117">
        <v>570.45000000000005</v>
      </c>
    </row>
    <row r="118" spans="2:4" x14ac:dyDescent="0.2">
      <c r="B118" s="3">
        <v>45936</v>
      </c>
      <c r="C118">
        <v>5756.4699268559998</v>
      </c>
      <c r="D118">
        <v>570.24</v>
      </c>
    </row>
    <row r="119" spans="2:4" x14ac:dyDescent="0.2">
      <c r="B119" s="3">
        <v>45937</v>
      </c>
      <c r="C119">
        <v>5761.1164182000002</v>
      </c>
      <c r="D119">
        <v>569.27</v>
      </c>
    </row>
    <row r="120" spans="2:4" x14ac:dyDescent="0.2">
      <c r="B120" s="3">
        <v>45938</v>
      </c>
      <c r="C120">
        <v>5809.1422263940003</v>
      </c>
      <c r="D120">
        <v>573.79</v>
      </c>
    </row>
    <row r="121" spans="2:4" x14ac:dyDescent="0.2">
      <c r="B121" s="3">
        <v>45939</v>
      </c>
      <c r="C121">
        <v>5824.7258731640004</v>
      </c>
      <c r="D121">
        <v>571.30999999999995</v>
      </c>
    </row>
    <row r="122" spans="2:4" x14ac:dyDescent="0.2">
      <c r="B122" s="3">
        <v>45940</v>
      </c>
      <c r="C122">
        <v>5639.9446866360004</v>
      </c>
      <c r="D122">
        <v>564.16</v>
      </c>
    </row>
    <row r="123" spans="2:4" x14ac:dyDescent="0.2">
      <c r="B123" s="3">
        <v>45943</v>
      </c>
      <c r="C123">
        <v>5752.6719259949996</v>
      </c>
      <c r="D123">
        <v>566.63</v>
      </c>
    </row>
    <row r="124" spans="2:4" x14ac:dyDescent="0.2">
      <c r="B124" s="3">
        <v>45944</v>
      </c>
      <c r="C124">
        <v>5725.4005482800003</v>
      </c>
      <c r="D124">
        <v>564.54</v>
      </c>
    </row>
    <row r="125" spans="2:4" x14ac:dyDescent="0.2">
      <c r="B125" s="3">
        <v>45945</v>
      </c>
      <c r="C125">
        <v>5728.1709198779999</v>
      </c>
      <c r="D125">
        <v>567.77</v>
      </c>
    </row>
    <row r="126" spans="2:4" x14ac:dyDescent="0.2">
      <c r="B126" s="3">
        <v>45946</v>
      </c>
      <c r="C126">
        <v>5672.1673392299999</v>
      </c>
      <c r="D126">
        <v>571.66</v>
      </c>
    </row>
    <row r="127" spans="2:4" x14ac:dyDescent="0.2">
      <c r="B127" s="3">
        <v>45947</v>
      </c>
      <c r="C127">
        <v>5719.7206413000004</v>
      </c>
      <c r="D127">
        <v>566.24</v>
      </c>
    </row>
    <row r="128" spans="2:4" x14ac:dyDescent="0.2">
      <c r="B128" s="3">
        <v>45950</v>
      </c>
      <c r="C128">
        <v>5786.2145274149998</v>
      </c>
      <c r="D128">
        <v>572.1</v>
      </c>
    </row>
    <row r="129" spans="2:4" x14ac:dyDescent="0.2">
      <c r="B129" s="3">
        <v>45951</v>
      </c>
      <c r="C129">
        <v>5807.3547703300001</v>
      </c>
      <c r="D129">
        <v>573.29999999999995</v>
      </c>
    </row>
    <row r="130" spans="2:4" x14ac:dyDescent="0.2">
      <c r="B130" s="3">
        <v>45952</v>
      </c>
      <c r="C130">
        <v>5770.3962691919996</v>
      </c>
      <c r="D130">
        <v>572.29</v>
      </c>
    </row>
    <row r="131" spans="2:4" x14ac:dyDescent="0.2">
      <c r="B131" s="3">
        <v>45953</v>
      </c>
      <c r="C131">
        <v>5800.5145565370003</v>
      </c>
      <c r="D131">
        <v>574.42999999999995</v>
      </c>
    </row>
    <row r="132" spans="2:4" x14ac:dyDescent="0.2">
      <c r="B132" s="3">
        <v>45954</v>
      </c>
      <c r="C132">
        <v>5842.3508406359997</v>
      </c>
      <c r="D132">
        <v>575.76</v>
      </c>
    </row>
    <row r="133" spans="2:4" x14ac:dyDescent="0.2">
      <c r="B133" s="3">
        <v>45957</v>
      </c>
      <c r="C133">
        <v>5905.0035098409999</v>
      </c>
      <c r="D133">
        <v>577.03</v>
      </c>
    </row>
    <row r="134" spans="2:4" x14ac:dyDescent="0.2">
      <c r="B134" s="3">
        <v>45958</v>
      </c>
      <c r="C134">
        <v>5914.9318759079997</v>
      </c>
      <c r="D134">
        <v>575.76</v>
      </c>
    </row>
    <row r="135" spans="2:4" x14ac:dyDescent="0.2">
      <c r="B135" s="3">
        <v>45959</v>
      </c>
      <c r="C135">
        <v>5940.6506761800001</v>
      </c>
      <c r="D135">
        <v>575.4</v>
      </c>
    </row>
    <row r="136" spans="2:4" x14ac:dyDescent="0.2">
      <c r="B136" s="3">
        <v>45960</v>
      </c>
      <c r="C136">
        <v>5899.1412106039998</v>
      </c>
      <c r="D136">
        <v>574.83000000000004</v>
      </c>
    </row>
    <row r="137" spans="2:4" x14ac:dyDescent="0.2">
      <c r="B137" s="3">
        <v>45961</v>
      </c>
      <c r="C137">
        <v>5930.4522729</v>
      </c>
      <c r="D137">
        <v>571.89</v>
      </c>
    </row>
    <row r="138" spans="2:4" x14ac:dyDescent="0.2">
      <c r="B138" s="3">
        <v>45964</v>
      </c>
      <c r="C138">
        <v>5948.9460086070003</v>
      </c>
      <c r="D138">
        <v>572.28</v>
      </c>
    </row>
    <row r="139" spans="2:4" x14ac:dyDescent="0.2">
      <c r="B139" s="3">
        <v>45965</v>
      </c>
      <c r="C139">
        <v>5897.5438641749997</v>
      </c>
      <c r="D139">
        <v>570.58000000000004</v>
      </c>
    </row>
    <row r="140" spans="2:4" x14ac:dyDescent="0.2">
      <c r="B140" s="3">
        <v>45966</v>
      </c>
      <c r="C140">
        <v>5914.4708503499996</v>
      </c>
      <c r="D140">
        <v>571.9</v>
      </c>
    </row>
    <row r="141" spans="2:4" x14ac:dyDescent="0.2">
      <c r="B141" s="3">
        <v>45967</v>
      </c>
      <c r="C141">
        <v>5819.9988162030004</v>
      </c>
      <c r="D141">
        <v>567.9</v>
      </c>
    </row>
    <row r="142" spans="2:4" x14ac:dyDescent="0.2">
      <c r="B142" s="3">
        <v>45968</v>
      </c>
      <c r="C142">
        <v>5818.2597351479999</v>
      </c>
      <c r="D142">
        <v>564.79</v>
      </c>
    </row>
    <row r="143" spans="2:4" x14ac:dyDescent="0.2">
      <c r="B143" s="3">
        <v>45971</v>
      </c>
      <c r="C143">
        <v>5912.4434735699997</v>
      </c>
      <c r="D143">
        <v>572.82000000000005</v>
      </c>
    </row>
    <row r="144" spans="2:4" x14ac:dyDescent="0.2">
      <c r="B144" s="3">
        <v>45972</v>
      </c>
      <c r="C144">
        <v>5912.4621585519999</v>
      </c>
      <c r="D144">
        <v>580.13</v>
      </c>
    </row>
    <row r="145" spans="2:4" x14ac:dyDescent="0.2">
      <c r="B145" s="3">
        <v>45973</v>
      </c>
      <c r="C145">
        <v>5910.0116278900005</v>
      </c>
      <c r="D145">
        <v>584.23</v>
      </c>
    </row>
    <row r="146" spans="2:4" x14ac:dyDescent="0.2">
      <c r="B146" s="3">
        <v>45974</v>
      </c>
      <c r="C146">
        <v>5792.6906595990004</v>
      </c>
      <c r="D146">
        <v>580.66999999999996</v>
      </c>
    </row>
    <row r="147" spans="2:4" x14ac:dyDescent="0.2">
      <c r="B147" s="3">
        <v>45975</v>
      </c>
      <c r="C147">
        <v>5795.3083273129996</v>
      </c>
      <c r="D147">
        <v>574.80999999999995</v>
      </c>
    </row>
    <row r="148" spans="2:4" x14ac:dyDescent="0.2">
      <c r="B148" s="3">
        <v>45978</v>
      </c>
      <c r="C148">
        <v>5757.0234525960004</v>
      </c>
      <c r="D148">
        <v>571.67999999999995</v>
      </c>
    </row>
    <row r="149" spans="2:4" x14ac:dyDescent="0.2">
      <c r="B149" s="3">
        <v>45979</v>
      </c>
      <c r="C149">
        <v>5714.9161579629999</v>
      </c>
      <c r="D149">
        <v>561.86</v>
      </c>
    </row>
    <row r="150" spans="2:4" x14ac:dyDescent="0.2">
      <c r="B150" s="3">
        <v>45980</v>
      </c>
      <c r="C150">
        <v>5757.7550957249996</v>
      </c>
      <c r="D150">
        <v>561.71</v>
      </c>
    </row>
    <row r="151" spans="2:4" x14ac:dyDescent="0.2">
      <c r="B151" s="3">
        <v>45981</v>
      </c>
      <c r="C151">
        <v>5672.5728051309998</v>
      </c>
      <c r="D151">
        <v>563.94000000000005</v>
      </c>
    </row>
    <row r="152" spans="2:4" x14ac:dyDescent="0.2">
      <c r="B152" s="3">
        <v>45981</v>
      </c>
      <c r="C152">
        <v>5672.5728051309998</v>
      </c>
      <c r="D152" s="2" t="s">
        <v>20</v>
      </c>
    </row>
    <row r="153" spans="2:4" x14ac:dyDescent="0.2">
      <c r="B153" s="3">
        <v>45981</v>
      </c>
      <c r="C153" s="2">
        <v>5672.5728051309998</v>
      </c>
      <c r="D153" s="2" t="s">
        <v>20</v>
      </c>
    </row>
    <row r="154" spans="2:4" x14ac:dyDescent="0.2">
      <c r="B154" s="3">
        <v>45803</v>
      </c>
      <c r="C154" s="2" t="s">
        <v>20</v>
      </c>
      <c r="D154">
        <v>550.5</v>
      </c>
    </row>
    <row r="155" spans="2:4" x14ac:dyDescent="0.2">
      <c r="B155" s="3">
        <v>45827</v>
      </c>
      <c r="C155" s="2" t="s">
        <v>20</v>
      </c>
      <c r="D155">
        <v>535.86</v>
      </c>
    </row>
    <row r="156" spans="2:4" x14ac:dyDescent="0.2">
      <c r="B156" s="3">
        <v>45842</v>
      </c>
      <c r="C156" s="2" t="s">
        <v>20</v>
      </c>
      <c r="D156">
        <v>541.13</v>
      </c>
    </row>
    <row r="157" spans="2:4" x14ac:dyDescent="0.2">
      <c r="B157" s="3">
        <v>45901</v>
      </c>
      <c r="C157" s="2" t="s">
        <v>20</v>
      </c>
      <c r="D157">
        <v>551.42999999999995</v>
      </c>
    </row>
    <row r="158" spans="2:4" x14ac:dyDescent="0.2">
      <c r="B158" s="3">
        <v>45982</v>
      </c>
      <c r="C158" s="2" t="s">
        <v>20</v>
      </c>
      <c r="D158">
        <v>562.1</v>
      </c>
    </row>
    <row r="159" spans="2:4" x14ac:dyDescent="0.2">
      <c r="B159" s="3">
        <v>45982</v>
      </c>
      <c r="C159" s="2" t="s">
        <v>20</v>
      </c>
      <c r="D159">
        <v>562.1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88D9-6604-4944-9C11-8795CC6F12B4}">
  <dimension ref="A1:P158"/>
  <sheetViews>
    <sheetView topLeftCell="A148" workbookViewId="0">
      <selection activeCell="O161" sqref="O161"/>
    </sheetView>
  </sheetViews>
  <sheetFormatPr baseColWidth="10" defaultColWidth="8.83203125" defaultRowHeight="15" x14ac:dyDescent="0.2"/>
  <cols>
    <col min="1" max="1" width="11.83203125" customWidth="1"/>
    <col min="7" max="7" width="18" customWidth="1"/>
    <col min="8" max="8" width="14.1640625" customWidth="1"/>
    <col min="9" max="9" width="13" customWidth="1"/>
    <col min="13" max="13" width="14.1640625" customWidth="1"/>
    <col min="14" max="14" width="13.83203125" customWidth="1"/>
    <col min="15" max="15" width="9.83203125" customWidth="1"/>
    <col min="16" max="16" width="11.1640625" customWidth="1"/>
  </cols>
  <sheetData>
    <row r="1" spans="1:16" x14ac:dyDescent="0.2">
      <c r="B1" s="2" t="s">
        <v>718</v>
      </c>
      <c r="C1" s="2" t="s">
        <v>719</v>
      </c>
      <c r="G1" s="13" t="s">
        <v>717</v>
      </c>
      <c r="H1" s="13" t="s">
        <v>717</v>
      </c>
      <c r="I1" s="13" t="s">
        <v>720</v>
      </c>
      <c r="J1" s="13" t="s">
        <v>721</v>
      </c>
      <c r="M1" s="13" t="s">
        <v>717</v>
      </c>
      <c r="N1" s="13" t="s">
        <v>720</v>
      </c>
      <c r="O1" s="13" t="s">
        <v>721</v>
      </c>
      <c r="P1" s="13" t="s">
        <v>722</v>
      </c>
    </row>
    <row r="2" spans="1:16" x14ac:dyDescent="0.2">
      <c r="A2" s="3">
        <v>45775</v>
      </c>
      <c r="B2">
        <v>4840.8591600059999</v>
      </c>
      <c r="C2">
        <v>523.19000000000005</v>
      </c>
      <c r="G2" s="3">
        <v>45775</v>
      </c>
      <c r="H2" s="3">
        <v>45775</v>
      </c>
      <c r="I2">
        <v>4840.8591600059999</v>
      </c>
      <c r="J2">
        <v>523.19000000000005</v>
      </c>
      <c r="M2" s="3">
        <v>45775</v>
      </c>
      <c r="N2">
        <v>1</v>
      </c>
      <c r="O2">
        <v>1</v>
      </c>
      <c r="P2">
        <v>1</v>
      </c>
    </row>
    <row r="3" spans="1:16" x14ac:dyDescent="0.2">
      <c r="A3" s="3">
        <v>45776</v>
      </c>
      <c r="B3">
        <v>4884.3523954499997</v>
      </c>
      <c r="C3">
        <v>525.09</v>
      </c>
      <c r="G3" s="3">
        <v>45776</v>
      </c>
      <c r="H3" s="3">
        <v>45776</v>
      </c>
      <c r="I3">
        <v>4884.3523954499997</v>
      </c>
      <c r="J3">
        <v>525.09</v>
      </c>
      <c r="M3" s="3">
        <v>45776</v>
      </c>
      <c r="N3">
        <f>I3/$I$2</f>
        <v>1.0089846107904419</v>
      </c>
      <c r="O3">
        <f>J3/$J$2</f>
        <v>1.003631567881649</v>
      </c>
      <c r="P3">
        <v>0.99788386596624978</v>
      </c>
    </row>
    <row r="4" spans="1:16" x14ac:dyDescent="0.2">
      <c r="A4" s="3">
        <v>45777</v>
      </c>
      <c r="B4">
        <v>4916.6487703949997</v>
      </c>
      <c r="C4">
        <v>527.48</v>
      </c>
      <c r="G4" s="3">
        <v>45777</v>
      </c>
      <c r="H4" s="3">
        <v>45777</v>
      </c>
      <c r="I4">
        <v>4916.6487703949997</v>
      </c>
      <c r="J4">
        <v>527.48</v>
      </c>
      <c r="M4" s="3">
        <v>45777</v>
      </c>
      <c r="N4">
        <f t="shared" ref="N4:N67" si="0">I4/$I$2</f>
        <v>1.0156562312358011</v>
      </c>
      <c r="O4">
        <f t="shared" ref="O4:O67" si="1">J4/$J$2</f>
        <v>1.0081996980064603</v>
      </c>
      <c r="P4">
        <v>0.9826644045284233</v>
      </c>
    </row>
    <row r="5" spans="1:16" x14ac:dyDescent="0.2">
      <c r="A5" s="3">
        <v>45778</v>
      </c>
      <c r="B5">
        <v>4963.363783758</v>
      </c>
      <c r="C5">
        <v>527.6</v>
      </c>
      <c r="G5" s="3">
        <v>45778</v>
      </c>
      <c r="H5" s="3">
        <v>45778</v>
      </c>
      <c r="I5">
        <v>4963.363783758</v>
      </c>
      <c r="J5">
        <v>527.6</v>
      </c>
      <c r="M5" s="3">
        <v>45778</v>
      </c>
      <c r="N5">
        <f t="shared" si="0"/>
        <v>1.0253063804797511</v>
      </c>
      <c r="O5">
        <f t="shared" si="1"/>
        <v>1.0084290601884591</v>
      </c>
      <c r="P5">
        <v>0.98118698826264183</v>
      </c>
    </row>
    <row r="6" spans="1:16" x14ac:dyDescent="0.2">
      <c r="A6" s="3">
        <v>45779</v>
      </c>
      <c r="B6">
        <v>5034.6975341799998</v>
      </c>
      <c r="C6">
        <v>536.42999999999995</v>
      </c>
      <c r="G6" s="3">
        <v>45779</v>
      </c>
      <c r="H6" s="3">
        <v>45779</v>
      </c>
      <c r="I6">
        <v>5034.6975341799998</v>
      </c>
      <c r="J6">
        <v>536.42999999999995</v>
      </c>
      <c r="M6" s="3">
        <v>45779</v>
      </c>
      <c r="N6">
        <f t="shared" si="0"/>
        <v>1.0400421428855946</v>
      </c>
      <c r="O6">
        <f t="shared" si="1"/>
        <v>1.0253062940805442</v>
      </c>
      <c r="P6">
        <v>0.9918788569264918</v>
      </c>
    </row>
    <row r="7" spans="1:16" x14ac:dyDescent="0.2">
      <c r="A7" s="3">
        <v>45782</v>
      </c>
      <c r="B7">
        <v>4994.1463693619999</v>
      </c>
      <c r="C7">
        <v>537.30999999999995</v>
      </c>
      <c r="G7" s="3">
        <v>45782</v>
      </c>
      <c r="H7" s="3">
        <v>45782</v>
      </c>
      <c r="I7">
        <v>4994.1463693619999</v>
      </c>
      <c r="J7">
        <v>537.30999999999995</v>
      </c>
      <c r="M7" s="3">
        <v>45782</v>
      </c>
      <c r="N7">
        <f t="shared" si="0"/>
        <v>1.0316652900424002</v>
      </c>
      <c r="O7">
        <f t="shared" si="1"/>
        <v>1.0269882834152027</v>
      </c>
      <c r="P7">
        <v>0.99607989222916982</v>
      </c>
    </row>
    <row r="8" spans="1:16" x14ac:dyDescent="0.2">
      <c r="A8" s="3">
        <v>45783</v>
      </c>
      <c r="B8">
        <v>4932.1716356879997</v>
      </c>
      <c r="C8">
        <v>536.35</v>
      </c>
      <c r="G8" s="3">
        <v>45783</v>
      </c>
      <c r="H8" s="3">
        <v>45783</v>
      </c>
      <c r="I8">
        <v>4932.1716356879997</v>
      </c>
      <c r="J8">
        <v>536.35</v>
      </c>
      <c r="M8" s="3">
        <v>45783</v>
      </c>
      <c r="N8">
        <f t="shared" si="0"/>
        <v>1.0188628655913812</v>
      </c>
      <c r="O8">
        <f t="shared" si="1"/>
        <v>1.0251533859592117</v>
      </c>
      <c r="P8">
        <v>0.99383103118717353</v>
      </c>
    </row>
    <row r="9" spans="1:16" x14ac:dyDescent="0.2">
      <c r="A9" s="3">
        <v>45784</v>
      </c>
      <c r="B9">
        <v>4983.8555440290002</v>
      </c>
      <c r="C9">
        <v>533.47</v>
      </c>
      <c r="G9" s="3">
        <v>45784</v>
      </c>
      <c r="H9" s="3">
        <v>45784</v>
      </c>
      <c r="I9">
        <v>4983.8555440290002</v>
      </c>
      <c r="J9">
        <v>533.47</v>
      </c>
      <c r="M9" s="3">
        <v>45784</v>
      </c>
      <c r="N9">
        <f t="shared" si="0"/>
        <v>1.0295394638217119</v>
      </c>
      <c r="O9">
        <f t="shared" si="1"/>
        <v>1.0196486935912383</v>
      </c>
      <c r="P9">
        <v>0.99022201802807186</v>
      </c>
    </row>
    <row r="10" spans="1:16" x14ac:dyDescent="0.2">
      <c r="A10" s="3">
        <v>45785</v>
      </c>
      <c r="B10">
        <v>5044.9273739030004</v>
      </c>
      <c r="C10">
        <v>535.63</v>
      </c>
      <c r="G10" s="3">
        <v>45785</v>
      </c>
      <c r="H10" s="3">
        <v>45785</v>
      </c>
      <c r="I10">
        <v>5044.9273739030004</v>
      </c>
      <c r="J10">
        <v>535.63</v>
      </c>
      <c r="M10" s="3">
        <v>45785</v>
      </c>
      <c r="N10">
        <f t="shared" si="0"/>
        <v>1.0421553710099567</v>
      </c>
      <c r="O10">
        <f t="shared" si="1"/>
        <v>1.0237772128672182</v>
      </c>
      <c r="P10">
        <v>0.99283465338276533</v>
      </c>
    </row>
    <row r="11" spans="1:16" x14ac:dyDescent="0.2">
      <c r="A11" s="3">
        <v>45786</v>
      </c>
      <c r="B11">
        <v>5032.3978232990003</v>
      </c>
      <c r="C11">
        <v>537.96</v>
      </c>
      <c r="G11" s="3">
        <v>45786</v>
      </c>
      <c r="H11" s="3">
        <v>45786</v>
      </c>
      <c r="I11">
        <v>5032.3978232990003</v>
      </c>
      <c r="J11">
        <v>537.96</v>
      </c>
      <c r="M11" s="3">
        <v>45786</v>
      </c>
      <c r="N11">
        <f t="shared" si="0"/>
        <v>1.0395670803388468</v>
      </c>
      <c r="O11">
        <f t="shared" si="1"/>
        <v>1.0282306619010302</v>
      </c>
      <c r="P11">
        <v>1.004264183709102</v>
      </c>
    </row>
    <row r="12" spans="1:16" x14ac:dyDescent="0.2">
      <c r="A12" s="3">
        <v>45789</v>
      </c>
      <c r="B12">
        <v>5271.2226359320002</v>
      </c>
      <c r="C12">
        <v>544.49</v>
      </c>
      <c r="G12" s="3">
        <v>45789</v>
      </c>
      <c r="H12" s="3">
        <v>45789</v>
      </c>
      <c r="I12">
        <v>5271.2226359320002</v>
      </c>
      <c r="J12">
        <v>544.49</v>
      </c>
      <c r="M12" s="3">
        <v>45789</v>
      </c>
      <c r="N12">
        <f t="shared" si="0"/>
        <v>1.0889022922793454</v>
      </c>
      <c r="O12">
        <f t="shared" si="1"/>
        <v>1.0407117873048031</v>
      </c>
      <c r="P12">
        <v>0.99742439022902585</v>
      </c>
    </row>
    <row r="13" spans="1:16" x14ac:dyDescent="0.2">
      <c r="A13" s="3">
        <v>45790</v>
      </c>
      <c r="B13">
        <v>5263.3434550640004</v>
      </c>
      <c r="C13">
        <v>545.16999999999996</v>
      </c>
      <c r="G13" s="3">
        <v>45790</v>
      </c>
      <c r="H13" s="3">
        <v>45790</v>
      </c>
      <c r="I13">
        <v>5263.3434550640004</v>
      </c>
      <c r="J13">
        <v>545.16999999999996</v>
      </c>
      <c r="M13" s="3">
        <v>45790</v>
      </c>
      <c r="N13">
        <f t="shared" si="0"/>
        <v>1.0872746512743983</v>
      </c>
      <c r="O13">
        <f t="shared" si="1"/>
        <v>1.0420115063361302</v>
      </c>
      <c r="P13">
        <v>1.0043448627517775</v>
      </c>
    </row>
    <row r="14" spans="1:16" x14ac:dyDescent="0.2">
      <c r="A14" s="3">
        <v>45791</v>
      </c>
      <c r="B14">
        <v>5273.450646585</v>
      </c>
      <c r="C14">
        <v>543.88</v>
      </c>
      <c r="G14" s="3">
        <v>45791</v>
      </c>
      <c r="H14" s="3">
        <v>45791</v>
      </c>
      <c r="I14">
        <v>5273.450646585</v>
      </c>
      <c r="J14">
        <v>543.88</v>
      </c>
      <c r="M14" s="3">
        <v>45791</v>
      </c>
      <c r="N14">
        <f t="shared" si="0"/>
        <v>1.0893625433586183</v>
      </c>
      <c r="O14">
        <f t="shared" si="1"/>
        <v>1.0395458628796421</v>
      </c>
      <c r="P14">
        <v>1.0106639563133295</v>
      </c>
    </row>
    <row r="15" spans="1:16" x14ac:dyDescent="0.2">
      <c r="A15" s="3">
        <v>45792</v>
      </c>
      <c r="B15">
        <v>5289.0810715289999</v>
      </c>
      <c r="C15">
        <v>546.95000000000005</v>
      </c>
      <c r="G15" s="3">
        <v>45792</v>
      </c>
      <c r="H15" s="3">
        <v>45792</v>
      </c>
      <c r="I15">
        <v>5289.0810715289999</v>
      </c>
      <c r="J15">
        <v>546.95000000000005</v>
      </c>
      <c r="M15" s="3">
        <v>45792</v>
      </c>
      <c r="N15">
        <f t="shared" si="0"/>
        <v>1.0925913968384167</v>
      </c>
      <c r="O15">
        <f t="shared" si="1"/>
        <v>1.0454137120357805</v>
      </c>
      <c r="P15">
        <v>1.0090737752553822</v>
      </c>
    </row>
    <row r="16" spans="1:16" x14ac:dyDescent="0.2">
      <c r="A16" s="3">
        <v>45793</v>
      </c>
      <c r="B16">
        <v>5337.6319404100004</v>
      </c>
      <c r="C16">
        <v>549.26</v>
      </c>
      <c r="G16" s="3">
        <v>45793</v>
      </c>
      <c r="H16" s="3">
        <v>45793</v>
      </c>
      <c r="I16">
        <v>5337.6319404100004</v>
      </c>
      <c r="J16">
        <v>549.26</v>
      </c>
      <c r="M16" s="3">
        <v>45793</v>
      </c>
      <c r="N16">
        <f t="shared" si="0"/>
        <v>1.1026207877535905</v>
      </c>
      <c r="O16">
        <f t="shared" si="1"/>
        <v>1.049828934039259</v>
      </c>
      <c r="P16">
        <v>1.0100547096555859</v>
      </c>
    </row>
    <row r="17" spans="1:16" x14ac:dyDescent="0.2">
      <c r="A17" s="3">
        <v>45796</v>
      </c>
      <c r="B17">
        <v>5304.7453858879999</v>
      </c>
      <c r="C17">
        <v>549.98</v>
      </c>
      <c r="G17" s="3">
        <v>45796</v>
      </c>
      <c r="H17" s="3">
        <v>45796</v>
      </c>
      <c r="I17">
        <v>5304.7453858879999</v>
      </c>
      <c r="J17">
        <v>549.98</v>
      </c>
      <c r="M17" s="3">
        <v>45796</v>
      </c>
      <c r="N17">
        <f t="shared" si="0"/>
        <v>1.0958272510207516</v>
      </c>
      <c r="O17">
        <f t="shared" si="1"/>
        <v>1.0512051071312525</v>
      </c>
      <c r="P17">
        <v>1.017002809288942</v>
      </c>
    </row>
    <row r="18" spans="1:16" x14ac:dyDescent="0.2">
      <c r="A18" s="3">
        <v>45797</v>
      </c>
      <c r="B18">
        <v>5265.448809769</v>
      </c>
      <c r="C18">
        <v>554.02</v>
      </c>
      <c r="G18" s="3">
        <v>45797</v>
      </c>
      <c r="H18" s="3">
        <v>45797</v>
      </c>
      <c r="I18">
        <v>5265.448809769</v>
      </c>
      <c r="J18">
        <v>554.02</v>
      </c>
      <c r="M18" s="3">
        <v>45797</v>
      </c>
      <c r="N18">
        <f t="shared" si="0"/>
        <v>1.0877095647133996</v>
      </c>
      <c r="O18">
        <f t="shared" si="1"/>
        <v>1.0589269672585484</v>
      </c>
      <c r="P18">
        <v>1.0093913768374452</v>
      </c>
    </row>
    <row r="19" spans="1:16" x14ac:dyDescent="0.2">
      <c r="A19" s="3">
        <v>45798</v>
      </c>
      <c r="B19">
        <v>5158.9806545490001</v>
      </c>
      <c r="C19">
        <v>553.82000000000005</v>
      </c>
      <c r="G19" s="3">
        <v>45798</v>
      </c>
      <c r="H19" s="3">
        <v>45798</v>
      </c>
      <c r="I19">
        <v>5158.9806545490001</v>
      </c>
      <c r="J19">
        <v>553.82000000000005</v>
      </c>
      <c r="M19" s="3">
        <v>45798</v>
      </c>
      <c r="N19">
        <f t="shared" si="0"/>
        <v>1.0657159161272947</v>
      </c>
      <c r="O19">
        <f t="shared" si="1"/>
        <v>1.058544696955217</v>
      </c>
      <c r="P19">
        <v>1.0114347958630143</v>
      </c>
    </row>
    <row r="20" spans="1:16" x14ac:dyDescent="0.2">
      <c r="A20" s="3">
        <v>45799</v>
      </c>
      <c r="B20">
        <v>5179.0571981160001</v>
      </c>
      <c r="C20">
        <v>550.27</v>
      </c>
      <c r="G20" s="3">
        <v>45799</v>
      </c>
      <c r="H20" s="3">
        <v>45799</v>
      </c>
      <c r="I20">
        <v>5179.0571981160001</v>
      </c>
      <c r="J20">
        <v>550.27</v>
      </c>
      <c r="M20" s="3">
        <v>45799</v>
      </c>
      <c r="N20">
        <f t="shared" si="0"/>
        <v>1.0698632261198817</v>
      </c>
      <c r="O20">
        <f t="shared" si="1"/>
        <v>1.051759399071083</v>
      </c>
      <c r="P20">
        <v>1.0197990106738377</v>
      </c>
    </row>
    <row r="21" spans="1:16" x14ac:dyDescent="0.2">
      <c r="A21" s="3">
        <v>45800</v>
      </c>
      <c r="B21">
        <v>5106.3032035469996</v>
      </c>
      <c r="C21">
        <v>545.13</v>
      </c>
      <c r="G21" s="3">
        <v>45800</v>
      </c>
      <c r="H21" s="3">
        <v>45800</v>
      </c>
      <c r="I21">
        <v>5106.3032035469996</v>
      </c>
      <c r="J21">
        <v>545.13</v>
      </c>
      <c r="M21" s="3">
        <v>45800</v>
      </c>
      <c r="N21">
        <f t="shared" si="0"/>
        <v>1.0548340769204843</v>
      </c>
      <c r="O21">
        <f t="shared" si="1"/>
        <v>1.0419350522754638</v>
      </c>
      <c r="P21">
        <v>1.021808279286275</v>
      </c>
    </row>
    <row r="22" spans="1:16" x14ac:dyDescent="0.2">
      <c r="A22" s="3"/>
      <c r="C22" s="2"/>
      <c r="G22" s="3">
        <v>45804</v>
      </c>
      <c r="H22" s="3">
        <v>45804</v>
      </c>
      <c r="I22">
        <v>5227.3582189079998</v>
      </c>
      <c r="J22">
        <v>552.32000000000005</v>
      </c>
      <c r="M22" s="3">
        <v>45804</v>
      </c>
      <c r="N22">
        <f t="shared" si="0"/>
        <v>1.0798410046908948</v>
      </c>
      <c r="O22">
        <f t="shared" si="1"/>
        <v>1.0556776696802308</v>
      </c>
      <c r="P22">
        <v>1.0335822218443547</v>
      </c>
    </row>
    <row r="23" spans="1:16" x14ac:dyDescent="0.2">
      <c r="A23" s="3">
        <v>45804</v>
      </c>
      <c r="B23">
        <v>5227.3582189079998</v>
      </c>
      <c r="C23">
        <v>552.32000000000005</v>
      </c>
      <c r="G23" s="3">
        <v>45805</v>
      </c>
      <c r="H23" s="3">
        <v>45805</v>
      </c>
      <c r="I23">
        <v>5214.7844115079997</v>
      </c>
      <c r="J23">
        <v>548.92999999999995</v>
      </c>
      <c r="M23" s="3">
        <v>45805</v>
      </c>
      <c r="N23">
        <f t="shared" si="0"/>
        <v>1.0772435716765485</v>
      </c>
      <c r="O23">
        <f t="shared" si="1"/>
        <v>1.049198188038762</v>
      </c>
      <c r="P23">
        <v>1.0383825189005067</v>
      </c>
    </row>
    <row r="24" spans="1:16" x14ac:dyDescent="0.2">
      <c r="A24" s="3">
        <v>45805</v>
      </c>
      <c r="B24">
        <v>5214.7844115079997</v>
      </c>
      <c r="C24">
        <v>548.92999999999995</v>
      </c>
      <c r="G24" s="3">
        <v>45806</v>
      </c>
      <c r="H24" s="3">
        <v>45806</v>
      </c>
      <c r="I24">
        <v>5199.3420375610003</v>
      </c>
      <c r="J24">
        <v>547.88</v>
      </c>
      <c r="M24" s="3">
        <v>45806</v>
      </c>
      <c r="N24">
        <f t="shared" si="0"/>
        <v>1.0740535648127709</v>
      </c>
      <c r="O24">
        <f t="shared" si="1"/>
        <v>1.0471912689462717</v>
      </c>
      <c r="P24">
        <v>1.0333234667012452</v>
      </c>
    </row>
    <row r="25" spans="1:16" x14ac:dyDescent="0.2">
      <c r="A25" s="3">
        <v>45806</v>
      </c>
      <c r="B25">
        <v>5199.3420375610003</v>
      </c>
      <c r="C25">
        <v>547.88</v>
      </c>
      <c r="G25" s="3">
        <v>45807</v>
      </c>
      <c r="H25" s="3">
        <v>45807</v>
      </c>
      <c r="I25">
        <v>5209.9103718429997</v>
      </c>
      <c r="J25">
        <v>548.66999999999996</v>
      </c>
      <c r="M25" s="3">
        <v>45807</v>
      </c>
      <c r="N25">
        <f t="shared" si="0"/>
        <v>1.0762367174170262</v>
      </c>
      <c r="O25">
        <f t="shared" si="1"/>
        <v>1.048701236644431</v>
      </c>
      <c r="P25">
        <v>1.0335631846596627</v>
      </c>
    </row>
    <row r="26" spans="1:16" x14ac:dyDescent="0.2">
      <c r="A26" s="3">
        <v>45807</v>
      </c>
      <c r="B26">
        <v>5209.9103718429997</v>
      </c>
      <c r="C26">
        <v>548.66999999999996</v>
      </c>
      <c r="G26" s="3">
        <v>45810</v>
      </c>
      <c r="H26" s="3">
        <v>45810</v>
      </c>
      <c r="I26">
        <v>5188.3092310499997</v>
      </c>
      <c r="J26">
        <v>547.91999999999996</v>
      </c>
      <c r="M26" s="3">
        <v>45810</v>
      </c>
      <c r="N26">
        <f t="shared" si="0"/>
        <v>1.071774463903959</v>
      </c>
      <c r="O26">
        <f t="shared" si="1"/>
        <v>1.047267723006938</v>
      </c>
      <c r="P26">
        <v>1.0458770568186775</v>
      </c>
    </row>
    <row r="27" spans="1:16" x14ac:dyDescent="0.2">
      <c r="A27" s="3">
        <v>45810</v>
      </c>
      <c r="B27">
        <v>5188.3092310499997</v>
      </c>
      <c r="C27">
        <v>547.91999999999996</v>
      </c>
      <c r="G27" s="3">
        <v>45811</v>
      </c>
      <c r="H27" s="3">
        <v>45811</v>
      </c>
      <c r="I27">
        <v>5250.9985355819999</v>
      </c>
      <c r="J27">
        <v>548.44000000000005</v>
      </c>
      <c r="M27" s="3">
        <v>45811</v>
      </c>
      <c r="N27">
        <f t="shared" si="0"/>
        <v>1.084724500758971</v>
      </c>
      <c r="O27">
        <f t="shared" si="1"/>
        <v>1.0482616257956001</v>
      </c>
      <c r="P27">
        <v>1.0477314779674098</v>
      </c>
    </row>
    <row r="28" spans="1:16" x14ac:dyDescent="0.2">
      <c r="A28" s="3">
        <v>45811</v>
      </c>
      <c r="B28">
        <v>5250.9985355819999</v>
      </c>
      <c r="C28">
        <v>548.44000000000005</v>
      </c>
      <c r="G28" s="3">
        <v>45812</v>
      </c>
      <c r="H28" s="3">
        <v>45812</v>
      </c>
      <c r="I28">
        <v>5229.7755737480002</v>
      </c>
      <c r="J28">
        <v>551.02</v>
      </c>
      <c r="M28" s="3">
        <v>45812</v>
      </c>
      <c r="N28">
        <f t="shared" si="0"/>
        <v>1.0803403695267841</v>
      </c>
      <c r="O28">
        <f t="shared" si="1"/>
        <v>1.0531929127085762</v>
      </c>
      <c r="P28">
        <v>1.0379179407592698</v>
      </c>
    </row>
    <row r="29" spans="1:16" x14ac:dyDescent="0.2">
      <c r="A29" s="3">
        <v>45812</v>
      </c>
      <c r="B29">
        <v>5229.7755737480002</v>
      </c>
      <c r="C29">
        <v>551.02</v>
      </c>
      <c r="G29" s="3">
        <v>45813</v>
      </c>
      <c r="H29" s="3">
        <v>45813</v>
      </c>
      <c r="I29">
        <v>5189.8820096059999</v>
      </c>
      <c r="J29">
        <v>551.88</v>
      </c>
      <c r="M29" s="3">
        <v>45813</v>
      </c>
      <c r="N29">
        <f t="shared" si="0"/>
        <v>1.0720993604778966</v>
      </c>
      <c r="O29">
        <f t="shared" si="1"/>
        <v>1.0548366750129015</v>
      </c>
      <c r="P29">
        <v>1.0496460169567663</v>
      </c>
    </row>
    <row r="30" spans="1:16" x14ac:dyDescent="0.2">
      <c r="A30" s="3">
        <v>45813</v>
      </c>
      <c r="B30">
        <v>5189.8820096059999</v>
      </c>
      <c r="C30">
        <v>551.88</v>
      </c>
      <c r="G30" s="3">
        <v>45814</v>
      </c>
      <c r="H30" s="3">
        <v>45814</v>
      </c>
      <c r="I30">
        <v>5266.2116535149999</v>
      </c>
      <c r="J30">
        <v>553.64</v>
      </c>
      <c r="M30" s="3">
        <v>45814</v>
      </c>
      <c r="N30">
        <f t="shared" si="0"/>
        <v>1.0878671490844349</v>
      </c>
      <c r="O30">
        <f t="shared" si="1"/>
        <v>1.0582006536822186</v>
      </c>
      <c r="P30">
        <v>1.0529729627322788</v>
      </c>
    </row>
    <row r="31" spans="1:16" x14ac:dyDescent="0.2">
      <c r="A31" s="3">
        <v>45814</v>
      </c>
      <c r="B31">
        <v>5266.2116535149999</v>
      </c>
      <c r="C31">
        <v>553.64</v>
      </c>
      <c r="G31" s="3">
        <v>45817</v>
      </c>
      <c r="H31" s="3">
        <v>45817</v>
      </c>
      <c r="I31">
        <v>5259.1119456099996</v>
      </c>
      <c r="J31">
        <v>553.24</v>
      </c>
      <c r="M31" s="3">
        <v>45817</v>
      </c>
      <c r="N31">
        <f t="shared" si="0"/>
        <v>1.0864005276293727</v>
      </c>
      <c r="O31">
        <f t="shared" si="1"/>
        <v>1.0574361130755556</v>
      </c>
      <c r="P31">
        <v>1.048953781055334</v>
      </c>
    </row>
    <row r="32" spans="1:16" x14ac:dyDescent="0.2">
      <c r="A32" s="3">
        <v>45817</v>
      </c>
      <c r="B32">
        <v>5259.1119456099996</v>
      </c>
      <c r="C32">
        <v>553.24</v>
      </c>
      <c r="G32" s="3">
        <v>45818</v>
      </c>
      <c r="H32" s="3">
        <v>45818</v>
      </c>
      <c r="I32">
        <v>5286.5517614939999</v>
      </c>
      <c r="J32">
        <v>553.12</v>
      </c>
      <c r="M32" s="3">
        <v>45818</v>
      </c>
      <c r="N32">
        <f t="shared" si="0"/>
        <v>1.0920689048692438</v>
      </c>
      <c r="O32">
        <f t="shared" si="1"/>
        <v>1.0572067508935568</v>
      </c>
      <c r="P32">
        <v>1.0297791501053362</v>
      </c>
    </row>
    <row r="33" spans="1:16" x14ac:dyDescent="0.2">
      <c r="A33" s="3">
        <v>45818</v>
      </c>
      <c r="B33">
        <v>5286.5517614939999</v>
      </c>
      <c r="C33">
        <v>553.12</v>
      </c>
      <c r="G33" s="3">
        <v>45819</v>
      </c>
      <c r="H33" s="3">
        <v>45819</v>
      </c>
      <c r="I33">
        <v>5242.6620766599999</v>
      </c>
      <c r="J33">
        <v>551.64</v>
      </c>
      <c r="M33" s="3">
        <v>45819</v>
      </c>
      <c r="N33">
        <f t="shared" si="0"/>
        <v>1.083002397585453</v>
      </c>
      <c r="O33">
        <f t="shared" si="1"/>
        <v>1.0543779506489037</v>
      </c>
      <c r="P33">
        <v>1.0343832402902635</v>
      </c>
    </row>
    <row r="34" spans="1:16" x14ac:dyDescent="0.2">
      <c r="A34" s="3">
        <v>45819</v>
      </c>
      <c r="B34">
        <v>5242.6620766599999</v>
      </c>
      <c r="C34">
        <v>551.64</v>
      </c>
      <c r="G34" s="3">
        <v>45820</v>
      </c>
      <c r="H34" s="3">
        <v>45820</v>
      </c>
      <c r="I34">
        <v>5219.0506034809996</v>
      </c>
      <c r="J34">
        <v>549.84</v>
      </c>
      <c r="M34" s="3">
        <v>45820</v>
      </c>
      <c r="N34">
        <f t="shared" si="0"/>
        <v>1.0781248598594906</v>
      </c>
      <c r="O34">
        <f t="shared" si="1"/>
        <v>1.0509375179189204</v>
      </c>
      <c r="P34">
        <v>1.0370969849702039</v>
      </c>
    </row>
    <row r="35" spans="1:16" x14ac:dyDescent="0.2">
      <c r="A35" s="3">
        <v>45820</v>
      </c>
      <c r="B35">
        <v>5219.0506034809996</v>
      </c>
      <c r="C35">
        <v>549.84</v>
      </c>
      <c r="G35" s="3">
        <v>45821</v>
      </c>
      <c r="H35" s="3">
        <v>45821</v>
      </c>
      <c r="I35">
        <v>5173.9605313350003</v>
      </c>
      <c r="J35">
        <v>544.94000000000005</v>
      </c>
      <c r="M35" s="3">
        <v>45821</v>
      </c>
      <c r="N35">
        <f t="shared" si="0"/>
        <v>1.0688103826859916</v>
      </c>
      <c r="O35">
        <f t="shared" si="1"/>
        <v>1.041571895487299</v>
      </c>
      <c r="P35">
        <v>1.0385286376736331</v>
      </c>
    </row>
    <row r="36" spans="1:16" x14ac:dyDescent="0.2">
      <c r="A36" s="3">
        <v>45821</v>
      </c>
      <c r="B36">
        <v>5173.9605313350003</v>
      </c>
      <c r="C36">
        <v>544.94000000000005</v>
      </c>
      <c r="G36" s="3">
        <v>45824</v>
      </c>
      <c r="H36" s="3">
        <v>45824</v>
      </c>
      <c r="I36">
        <v>5218.5162873740001</v>
      </c>
      <c r="J36">
        <v>546.91</v>
      </c>
      <c r="M36" s="3">
        <v>45824</v>
      </c>
      <c r="N36">
        <f t="shared" si="0"/>
        <v>1.0780144835627756</v>
      </c>
      <c r="O36">
        <f t="shared" si="1"/>
        <v>1.0453372579751141</v>
      </c>
      <c r="P36">
        <v>1.0494637477104549</v>
      </c>
    </row>
    <row r="37" spans="1:16" x14ac:dyDescent="0.2">
      <c r="A37" s="3">
        <v>45824</v>
      </c>
      <c r="B37">
        <v>5218.5162873740001</v>
      </c>
      <c r="C37">
        <v>546.91</v>
      </c>
      <c r="G37" s="3">
        <v>45825</v>
      </c>
      <c r="H37" s="3">
        <v>45825</v>
      </c>
      <c r="I37">
        <v>5211.9037417199997</v>
      </c>
      <c r="J37">
        <v>542.26</v>
      </c>
      <c r="M37" s="3">
        <v>45825</v>
      </c>
      <c r="N37">
        <f t="shared" si="0"/>
        <v>1.07664849760131</v>
      </c>
      <c r="O37">
        <f t="shared" si="1"/>
        <v>1.036449473422657</v>
      </c>
      <c r="P37">
        <v>1.0444562080090145</v>
      </c>
    </row>
    <row r="38" spans="1:16" x14ac:dyDescent="0.2">
      <c r="A38" s="3">
        <v>45825</v>
      </c>
      <c r="B38">
        <v>5211.9037417199997</v>
      </c>
      <c r="C38">
        <v>542.26</v>
      </c>
      <c r="G38" s="3">
        <v>45826</v>
      </c>
      <c r="H38" s="3">
        <v>45826</v>
      </c>
      <c r="I38">
        <v>5210.2907889799999</v>
      </c>
      <c r="J38">
        <v>540.33000000000004</v>
      </c>
      <c r="M38" s="3">
        <v>45826</v>
      </c>
      <c r="N38">
        <f t="shared" si="0"/>
        <v>1.0763153020493044</v>
      </c>
      <c r="O38">
        <f t="shared" si="1"/>
        <v>1.0327605649955083</v>
      </c>
      <c r="P38">
        <v>1.0512980307204283</v>
      </c>
    </row>
    <row r="39" spans="1:16" x14ac:dyDescent="0.2">
      <c r="A39" s="3">
        <v>45826</v>
      </c>
      <c r="B39">
        <v>5210.2907889799999</v>
      </c>
      <c r="C39">
        <v>540.33000000000004</v>
      </c>
      <c r="G39" s="3">
        <v>45827</v>
      </c>
      <c r="H39" s="3">
        <v>45827</v>
      </c>
      <c r="I39">
        <v>5210.2907889799999</v>
      </c>
      <c r="J39">
        <v>540.33000000000004</v>
      </c>
      <c r="M39" s="3">
        <v>45827</v>
      </c>
      <c r="N39">
        <f t="shared" si="0"/>
        <v>1.0763153020493044</v>
      </c>
      <c r="O39">
        <f t="shared" si="1"/>
        <v>1.0327605649955083</v>
      </c>
      <c r="P39">
        <v>1.0460842300332067</v>
      </c>
    </row>
    <row r="40" spans="1:16" x14ac:dyDescent="0.2">
      <c r="A40" s="3">
        <v>45826</v>
      </c>
      <c r="B40">
        <v>5210.2907889799999</v>
      </c>
      <c r="C40" s="2" t="s">
        <v>20</v>
      </c>
      <c r="G40" s="3">
        <v>45828</v>
      </c>
      <c r="H40" s="3">
        <v>45828</v>
      </c>
      <c r="I40">
        <v>5179.4879020500002</v>
      </c>
      <c r="J40">
        <v>536.53</v>
      </c>
      <c r="M40" s="3">
        <v>45828</v>
      </c>
      <c r="N40">
        <f t="shared" si="0"/>
        <v>1.069952198742254</v>
      </c>
      <c r="O40">
        <f t="shared" si="1"/>
        <v>1.0254974292322099</v>
      </c>
      <c r="P40">
        <v>1.0533586660279077</v>
      </c>
    </row>
    <row r="41" spans="1:16" x14ac:dyDescent="0.2">
      <c r="A41" s="3">
        <v>45828</v>
      </c>
      <c r="B41">
        <v>5179.4879020500002</v>
      </c>
      <c r="C41">
        <v>536.53</v>
      </c>
      <c r="G41" s="3">
        <v>45831</v>
      </c>
      <c r="H41" s="3">
        <v>45831</v>
      </c>
      <c r="I41">
        <v>5204.9068116400003</v>
      </c>
      <c r="J41">
        <v>535.03</v>
      </c>
      <c r="M41" s="3">
        <v>45831</v>
      </c>
      <c r="N41">
        <f t="shared" si="0"/>
        <v>1.0752031074652355</v>
      </c>
      <c r="O41">
        <f t="shared" si="1"/>
        <v>1.0226304019572239</v>
      </c>
      <c r="P41">
        <v>1.042317138399091</v>
      </c>
    </row>
    <row r="42" spans="1:16" x14ac:dyDescent="0.2">
      <c r="A42" s="3">
        <v>45831</v>
      </c>
      <c r="B42">
        <v>5204.9068116400003</v>
      </c>
      <c r="C42">
        <v>535.03</v>
      </c>
      <c r="G42" s="3">
        <v>45832</v>
      </c>
      <c r="H42" s="3">
        <v>45832</v>
      </c>
      <c r="I42">
        <v>5248.2312522169996</v>
      </c>
      <c r="J42">
        <v>540.98</v>
      </c>
      <c r="M42" s="3">
        <v>45832</v>
      </c>
      <c r="N42">
        <f t="shared" si="0"/>
        <v>1.0841528494727979</v>
      </c>
      <c r="O42">
        <f t="shared" si="1"/>
        <v>1.0340029434813356</v>
      </c>
      <c r="P42">
        <v>1.0545768989169402</v>
      </c>
    </row>
    <row r="43" spans="1:16" x14ac:dyDescent="0.2">
      <c r="A43" s="3">
        <v>45832</v>
      </c>
      <c r="B43">
        <v>5248.2312522169996</v>
      </c>
      <c r="C43">
        <v>540.98</v>
      </c>
      <c r="G43" s="3">
        <v>45833</v>
      </c>
      <c r="H43" s="3">
        <v>45833</v>
      </c>
      <c r="I43">
        <v>5225.3077543939999</v>
      </c>
      <c r="J43">
        <v>536.98</v>
      </c>
      <c r="M43" s="3">
        <v>45833</v>
      </c>
      <c r="N43">
        <f t="shared" si="0"/>
        <v>1.0794174301876454</v>
      </c>
      <c r="O43">
        <f t="shared" si="1"/>
        <v>1.0263575374147058</v>
      </c>
      <c r="P43">
        <v>1.064414398528335</v>
      </c>
    </row>
    <row r="44" spans="1:16" x14ac:dyDescent="0.2">
      <c r="A44" s="3">
        <v>45833</v>
      </c>
      <c r="B44">
        <v>5225.3077543939999</v>
      </c>
      <c r="C44">
        <v>536.98</v>
      </c>
      <c r="G44" s="3">
        <v>45834</v>
      </c>
      <c r="H44" s="3">
        <v>45834</v>
      </c>
      <c r="I44">
        <v>5249.1590670610003</v>
      </c>
      <c r="J44">
        <v>537.48</v>
      </c>
      <c r="M44" s="3">
        <v>45834</v>
      </c>
      <c r="N44">
        <f t="shared" si="0"/>
        <v>1.0843445127320115</v>
      </c>
      <c r="O44">
        <f t="shared" si="1"/>
        <v>1.0273132131730345</v>
      </c>
      <c r="P44">
        <v>1.0781776087389299</v>
      </c>
    </row>
    <row r="45" spans="1:16" x14ac:dyDescent="0.2">
      <c r="A45" s="3">
        <v>45834</v>
      </c>
      <c r="B45">
        <v>5249.1590670610003</v>
      </c>
      <c r="C45">
        <v>537.48</v>
      </c>
      <c r="G45" s="3">
        <v>45835</v>
      </c>
      <c r="H45" s="3">
        <v>45835</v>
      </c>
      <c r="I45">
        <v>5267.6071643519999</v>
      </c>
      <c r="J45">
        <v>543.63</v>
      </c>
      <c r="M45" s="3">
        <v>45835</v>
      </c>
      <c r="N45">
        <f t="shared" si="0"/>
        <v>1.0881554265969331</v>
      </c>
      <c r="O45">
        <f t="shared" si="1"/>
        <v>1.0390680250004778</v>
      </c>
      <c r="P45">
        <v>1.0800267897420575</v>
      </c>
    </row>
    <row r="46" spans="1:16" x14ac:dyDescent="0.2">
      <c r="A46" s="3">
        <v>45835</v>
      </c>
      <c r="B46">
        <v>5267.6071643519999</v>
      </c>
      <c r="C46">
        <v>543.63</v>
      </c>
      <c r="G46" s="3">
        <v>45838</v>
      </c>
      <c r="H46" s="3">
        <v>45838</v>
      </c>
      <c r="I46">
        <v>5264.6552708400004</v>
      </c>
      <c r="J46">
        <v>541.37</v>
      </c>
      <c r="M46" s="3">
        <v>45838</v>
      </c>
      <c r="N46">
        <f t="shared" si="0"/>
        <v>1.0875456394879861</v>
      </c>
      <c r="O46">
        <f t="shared" si="1"/>
        <v>1.034748370572832</v>
      </c>
      <c r="P46">
        <v>1.094583989825892</v>
      </c>
    </row>
    <row r="47" spans="1:16" x14ac:dyDescent="0.2">
      <c r="A47" s="3">
        <v>45838</v>
      </c>
      <c r="B47">
        <v>5264.6552708400004</v>
      </c>
      <c r="C47">
        <v>541.37</v>
      </c>
      <c r="G47" s="3">
        <v>45839</v>
      </c>
      <c r="H47" s="3">
        <v>45839</v>
      </c>
      <c r="I47">
        <v>5250.3316449900003</v>
      </c>
      <c r="J47">
        <v>540.25</v>
      </c>
      <c r="M47" s="3">
        <v>45839</v>
      </c>
      <c r="N47">
        <f t="shared" si="0"/>
        <v>1.0845867379011895</v>
      </c>
      <c r="O47">
        <f t="shared" si="1"/>
        <v>1.0326076568741756</v>
      </c>
      <c r="P47">
        <v>1.0658502273274044</v>
      </c>
    </row>
    <row r="48" spans="1:16" x14ac:dyDescent="0.2">
      <c r="A48" s="3">
        <v>45839</v>
      </c>
      <c r="B48">
        <v>5250.3316449900003</v>
      </c>
      <c r="C48">
        <v>540.25</v>
      </c>
      <c r="G48" s="3">
        <v>45840</v>
      </c>
      <c r="H48" s="3">
        <v>45840</v>
      </c>
      <c r="I48">
        <v>5278.36093772</v>
      </c>
      <c r="J48">
        <v>541.21</v>
      </c>
      <c r="M48" s="3">
        <v>45840</v>
      </c>
      <c r="N48">
        <f t="shared" si="0"/>
        <v>1.0903768862619538</v>
      </c>
      <c r="O48">
        <f t="shared" si="1"/>
        <v>1.0344425543301667</v>
      </c>
      <c r="P48">
        <v>1.0726144188661297</v>
      </c>
    </row>
    <row r="49" spans="1:16" x14ac:dyDescent="0.2">
      <c r="A49" s="3">
        <v>45840</v>
      </c>
      <c r="B49">
        <v>5278.36093772</v>
      </c>
      <c r="C49">
        <v>541.21</v>
      </c>
      <c r="G49" s="3">
        <v>45841</v>
      </c>
      <c r="H49" s="3">
        <v>45841</v>
      </c>
      <c r="I49">
        <v>5341.4043411299999</v>
      </c>
      <c r="J49">
        <v>543.76</v>
      </c>
      <c r="M49" s="3">
        <v>45841</v>
      </c>
      <c r="N49">
        <f t="shared" si="0"/>
        <v>1.1034000710575063</v>
      </c>
      <c r="O49">
        <f t="shared" si="1"/>
        <v>1.0393165006976433</v>
      </c>
      <c r="P49">
        <v>1.0801060543234036</v>
      </c>
    </row>
    <row r="50" spans="1:16" x14ac:dyDescent="0.2">
      <c r="A50" s="3">
        <v>45841</v>
      </c>
      <c r="B50">
        <v>5341.4043411299999</v>
      </c>
      <c r="C50">
        <v>543.76</v>
      </c>
      <c r="G50" s="3">
        <v>45842</v>
      </c>
      <c r="H50" s="3">
        <v>45842</v>
      </c>
      <c r="I50">
        <v>5341.4043411299999</v>
      </c>
      <c r="J50">
        <v>543.76</v>
      </c>
      <c r="M50" s="3">
        <v>45842</v>
      </c>
      <c r="N50">
        <f t="shared" si="0"/>
        <v>1.1034000710575063</v>
      </c>
      <c r="O50">
        <f t="shared" si="1"/>
        <v>1.0393165006976433</v>
      </c>
      <c r="P50">
        <v>1.0795117500810802</v>
      </c>
    </row>
    <row r="51" spans="1:16" x14ac:dyDescent="0.2">
      <c r="A51" s="3">
        <v>45841</v>
      </c>
      <c r="B51">
        <v>5341.4043411299999</v>
      </c>
      <c r="C51" s="2" t="s">
        <v>20</v>
      </c>
      <c r="G51" s="3">
        <v>45845</v>
      </c>
      <c r="H51" s="3">
        <v>45845</v>
      </c>
      <c r="I51">
        <v>5321.5844807249996</v>
      </c>
      <c r="J51">
        <v>543.5</v>
      </c>
      <c r="M51" s="3">
        <v>45845</v>
      </c>
      <c r="N51">
        <f t="shared" si="0"/>
        <v>1.0993057853636055</v>
      </c>
      <c r="O51">
        <f t="shared" si="1"/>
        <v>1.0388195493033123</v>
      </c>
      <c r="P51">
        <v>1.0912311102788932</v>
      </c>
    </row>
    <row r="52" spans="1:16" x14ac:dyDescent="0.2">
      <c r="A52" s="3">
        <v>45845</v>
      </c>
      <c r="B52">
        <v>5321.5844807249996</v>
      </c>
      <c r="C52">
        <v>543.5</v>
      </c>
      <c r="G52" s="3">
        <v>45846</v>
      </c>
      <c r="H52" s="3">
        <v>45846</v>
      </c>
      <c r="I52">
        <v>5310.0601840299996</v>
      </c>
      <c r="J52">
        <v>545.71</v>
      </c>
      <c r="M52" s="3">
        <v>45846</v>
      </c>
      <c r="N52">
        <f t="shared" si="0"/>
        <v>1.0969251549188674</v>
      </c>
      <c r="O52">
        <f t="shared" si="1"/>
        <v>1.0430436361551252</v>
      </c>
      <c r="P52">
        <v>1.0883109115300456</v>
      </c>
    </row>
    <row r="53" spans="1:16" x14ac:dyDescent="0.2">
      <c r="A53" s="3">
        <v>45846</v>
      </c>
      <c r="B53">
        <v>5310.0601840299996</v>
      </c>
      <c r="C53">
        <v>545.71</v>
      </c>
      <c r="G53" s="3">
        <v>45847</v>
      </c>
      <c r="H53" s="3">
        <v>45847</v>
      </c>
      <c r="I53">
        <v>5344.568777808</v>
      </c>
      <c r="J53">
        <v>549.96</v>
      </c>
      <c r="M53" s="3">
        <v>45847</v>
      </c>
      <c r="N53">
        <f t="shared" si="0"/>
        <v>1.1040537642498518</v>
      </c>
      <c r="O53">
        <f t="shared" si="1"/>
        <v>1.0511668801009193</v>
      </c>
      <c r="P53">
        <v>1.0925397821710607</v>
      </c>
    </row>
    <row r="54" spans="1:16" x14ac:dyDescent="0.2">
      <c r="A54" s="3">
        <v>45847</v>
      </c>
      <c r="B54">
        <v>5344.568777808</v>
      </c>
      <c r="C54">
        <v>549.96</v>
      </c>
      <c r="G54" s="3">
        <v>45848</v>
      </c>
      <c r="H54" s="3">
        <v>45848</v>
      </c>
      <c r="I54">
        <v>5367.90770901</v>
      </c>
      <c r="J54">
        <v>552.92999999999995</v>
      </c>
      <c r="M54" s="3">
        <v>45848</v>
      </c>
      <c r="N54">
        <f t="shared" si="0"/>
        <v>1.1088750016439948</v>
      </c>
      <c r="O54">
        <f t="shared" si="1"/>
        <v>1.0568435941053917</v>
      </c>
      <c r="P54">
        <v>1.086340402394868</v>
      </c>
    </row>
    <row r="55" spans="1:16" x14ac:dyDescent="0.2">
      <c r="A55" s="3">
        <v>45848</v>
      </c>
      <c r="B55">
        <v>5367.90770901</v>
      </c>
      <c r="C55">
        <v>552.92999999999995</v>
      </c>
      <c r="G55" s="3">
        <v>45849</v>
      </c>
      <c r="H55" s="3">
        <v>45849</v>
      </c>
      <c r="I55">
        <v>5355.2756426639999</v>
      </c>
      <c r="J55">
        <v>547.34</v>
      </c>
      <c r="M55" s="3">
        <v>45849</v>
      </c>
      <c r="N55">
        <f t="shared" si="0"/>
        <v>1.1062655337936669</v>
      </c>
      <c r="O55">
        <f t="shared" si="1"/>
        <v>1.0461591391272769</v>
      </c>
      <c r="P55">
        <v>1.0887278214888338</v>
      </c>
    </row>
    <row r="56" spans="1:16" x14ac:dyDescent="0.2">
      <c r="A56" s="3">
        <v>45849</v>
      </c>
      <c r="B56">
        <v>5355.2756426639999</v>
      </c>
      <c r="C56">
        <v>547.34</v>
      </c>
      <c r="G56" s="3">
        <v>45852</v>
      </c>
      <c r="H56" s="3">
        <v>45852</v>
      </c>
      <c r="I56">
        <v>5374.7251721900002</v>
      </c>
      <c r="J56">
        <v>546.99</v>
      </c>
      <c r="M56" s="3">
        <v>45852</v>
      </c>
      <c r="N56">
        <f t="shared" si="0"/>
        <v>1.1102833184230336</v>
      </c>
      <c r="O56">
        <f t="shared" si="1"/>
        <v>1.0454901660964466</v>
      </c>
      <c r="P56">
        <v>1.1031898212635673</v>
      </c>
    </row>
    <row r="57" spans="1:16" x14ac:dyDescent="0.2">
      <c r="A57" s="3">
        <v>45852</v>
      </c>
      <c r="B57">
        <v>5374.7251721900002</v>
      </c>
      <c r="C57">
        <v>546.99</v>
      </c>
      <c r="G57" s="3">
        <v>45853</v>
      </c>
      <c r="H57" s="3">
        <v>45853</v>
      </c>
      <c r="I57">
        <v>5382.9915391980003</v>
      </c>
      <c r="J57">
        <v>544.95000000000005</v>
      </c>
      <c r="M57" s="3">
        <v>45853</v>
      </c>
      <c r="N57">
        <f t="shared" si="0"/>
        <v>1.1119909423663812</v>
      </c>
      <c r="O57">
        <f t="shared" si="1"/>
        <v>1.0415910090024656</v>
      </c>
      <c r="P57">
        <v>1.104143377538904</v>
      </c>
    </row>
    <row r="58" spans="1:16" x14ac:dyDescent="0.2">
      <c r="A58" s="3">
        <v>45853</v>
      </c>
      <c r="B58">
        <v>5382.9915391980003</v>
      </c>
      <c r="C58">
        <v>544.95000000000005</v>
      </c>
      <c r="G58" s="3">
        <v>45854</v>
      </c>
      <c r="H58" s="3">
        <v>45854</v>
      </c>
      <c r="I58">
        <v>5383.9592091599998</v>
      </c>
      <c r="J58">
        <v>541.84</v>
      </c>
      <c r="M58" s="3">
        <v>45854</v>
      </c>
      <c r="N58">
        <f t="shared" si="0"/>
        <v>1.1121908386926354</v>
      </c>
      <c r="O58">
        <f t="shared" si="1"/>
        <v>1.0356467057856611</v>
      </c>
      <c r="P58">
        <v>1.1036038833721722</v>
      </c>
    </row>
    <row r="59" spans="1:16" x14ac:dyDescent="0.2">
      <c r="A59" s="3">
        <v>45854</v>
      </c>
      <c r="B59">
        <v>5383.9592091599998</v>
      </c>
      <c r="C59">
        <v>541.84</v>
      </c>
      <c r="G59" s="3">
        <v>45855</v>
      </c>
      <c r="H59" s="3">
        <v>45855</v>
      </c>
      <c r="I59">
        <v>5431.0967970359998</v>
      </c>
      <c r="J59">
        <v>547.03</v>
      </c>
      <c r="M59" s="3">
        <v>45855</v>
      </c>
      <c r="N59">
        <f t="shared" si="0"/>
        <v>1.1219282812246221</v>
      </c>
      <c r="O59">
        <f t="shared" si="1"/>
        <v>1.045566620157113</v>
      </c>
      <c r="P59">
        <v>1.114557109465363</v>
      </c>
    </row>
    <row r="60" spans="1:16" x14ac:dyDescent="0.2">
      <c r="A60" s="3">
        <v>45855</v>
      </c>
      <c r="B60">
        <v>5431.0967970359998</v>
      </c>
      <c r="C60">
        <v>547.03</v>
      </c>
      <c r="G60" s="3">
        <v>45856</v>
      </c>
      <c r="H60" s="3">
        <v>45856</v>
      </c>
      <c r="I60">
        <v>5416.6238335799999</v>
      </c>
      <c r="J60">
        <v>547</v>
      </c>
      <c r="M60" s="3">
        <v>45856</v>
      </c>
      <c r="N60">
        <f t="shared" si="0"/>
        <v>1.1189385302367041</v>
      </c>
      <c r="O60">
        <f t="shared" si="1"/>
        <v>1.0455092796116132</v>
      </c>
      <c r="P60">
        <v>1.1178500619961969</v>
      </c>
    </row>
    <row r="61" spans="1:16" x14ac:dyDescent="0.2">
      <c r="A61" s="3">
        <v>45856</v>
      </c>
      <c r="B61">
        <v>5416.6238335799999</v>
      </c>
      <c r="C61">
        <v>547</v>
      </c>
      <c r="G61" s="3">
        <v>45859</v>
      </c>
      <c r="H61" s="3">
        <v>45859</v>
      </c>
      <c r="I61">
        <v>5391.7252876639996</v>
      </c>
      <c r="J61">
        <v>546.58000000000004</v>
      </c>
      <c r="M61" s="3">
        <v>45859</v>
      </c>
      <c r="N61">
        <f t="shared" si="0"/>
        <v>1.1137951155879768</v>
      </c>
      <c r="O61">
        <f t="shared" si="1"/>
        <v>1.0447065119746173</v>
      </c>
      <c r="P61">
        <v>1.113369756133995</v>
      </c>
    </row>
    <row r="62" spans="1:16" x14ac:dyDescent="0.2">
      <c r="A62" s="3">
        <v>45859</v>
      </c>
      <c r="B62">
        <v>5391.7252876639996</v>
      </c>
      <c r="C62">
        <v>546.58000000000004</v>
      </c>
      <c r="G62" s="3">
        <v>45860</v>
      </c>
      <c r="H62" s="3">
        <v>45860</v>
      </c>
      <c r="I62">
        <v>5368.5433251450004</v>
      </c>
      <c r="J62">
        <v>544.34</v>
      </c>
      <c r="M62" s="3">
        <v>45860</v>
      </c>
      <c r="N62">
        <f t="shared" si="0"/>
        <v>1.1090063039839289</v>
      </c>
      <c r="O62">
        <f t="shared" si="1"/>
        <v>1.0404250845773046</v>
      </c>
      <c r="P62">
        <v>1.1088914891335122</v>
      </c>
    </row>
    <row r="63" spans="1:16" x14ac:dyDescent="0.2">
      <c r="A63" s="3">
        <v>45860</v>
      </c>
      <c r="B63">
        <v>5368.5433251450004</v>
      </c>
      <c r="C63">
        <v>544.34</v>
      </c>
      <c r="G63" s="3">
        <v>45861</v>
      </c>
      <c r="H63" s="3">
        <v>45861</v>
      </c>
      <c r="I63">
        <v>5402.6603427560003</v>
      </c>
      <c r="J63">
        <v>550.22</v>
      </c>
      <c r="M63" s="3">
        <v>45861</v>
      </c>
      <c r="N63">
        <f t="shared" si="0"/>
        <v>1.1160540235071215</v>
      </c>
      <c r="O63">
        <f t="shared" si="1"/>
        <v>1.0516638314952502</v>
      </c>
      <c r="P63">
        <v>1.1165126367055136</v>
      </c>
    </row>
    <row r="64" spans="1:16" x14ac:dyDescent="0.2">
      <c r="A64" s="3">
        <v>45861</v>
      </c>
      <c r="B64">
        <v>5402.6603427560003</v>
      </c>
      <c r="C64">
        <v>550.22</v>
      </c>
      <c r="G64" s="3">
        <v>45862</v>
      </c>
      <c r="H64" s="3">
        <v>45862</v>
      </c>
      <c r="I64">
        <v>5413.7466839609997</v>
      </c>
      <c r="J64">
        <v>551.54999999999995</v>
      </c>
      <c r="M64" s="3">
        <v>45862</v>
      </c>
      <c r="N64">
        <f t="shared" si="0"/>
        <v>1.1183441833400272</v>
      </c>
      <c r="O64">
        <f t="shared" si="1"/>
        <v>1.0542059290124044</v>
      </c>
      <c r="P64">
        <v>1.1255343093519998</v>
      </c>
    </row>
    <row r="65" spans="1:16" x14ac:dyDescent="0.2">
      <c r="A65" s="3">
        <v>45862</v>
      </c>
      <c r="B65">
        <v>5413.7466839609997</v>
      </c>
      <c r="C65">
        <v>551.54999999999995</v>
      </c>
      <c r="G65" s="3">
        <v>45863</v>
      </c>
      <c r="H65" s="3">
        <v>45863</v>
      </c>
      <c r="I65">
        <v>5441.7834986549997</v>
      </c>
      <c r="J65">
        <v>549.95000000000005</v>
      </c>
      <c r="M65" s="3">
        <v>45863</v>
      </c>
      <c r="N65">
        <f t="shared" si="0"/>
        <v>1.1241358855497574</v>
      </c>
      <c r="O65">
        <f t="shared" si="1"/>
        <v>1.0511477665857527</v>
      </c>
      <c r="P65">
        <v>1.1297235965325305</v>
      </c>
    </row>
    <row r="66" spans="1:16" x14ac:dyDescent="0.2">
      <c r="A66" s="3">
        <v>45863</v>
      </c>
      <c r="B66">
        <v>5441.7834986549997</v>
      </c>
      <c r="C66">
        <v>549.95000000000005</v>
      </c>
      <c r="G66" s="3">
        <v>45866</v>
      </c>
      <c r="H66" s="3">
        <v>45866</v>
      </c>
      <c r="I66">
        <v>5514.1128988399996</v>
      </c>
      <c r="J66">
        <v>548.76</v>
      </c>
      <c r="M66" s="3">
        <v>45866</v>
      </c>
      <c r="N66">
        <f t="shared" si="0"/>
        <v>1.1390773242064669</v>
      </c>
      <c r="O66">
        <f t="shared" si="1"/>
        <v>1.0488732582809304</v>
      </c>
      <c r="P66">
        <v>1.1335428277224167</v>
      </c>
    </row>
    <row r="67" spans="1:16" x14ac:dyDescent="0.2">
      <c r="A67" s="3">
        <v>45866</v>
      </c>
      <c r="B67">
        <v>5514.1128988399996</v>
      </c>
      <c r="C67">
        <v>548.76</v>
      </c>
      <c r="G67" s="3">
        <v>45867</v>
      </c>
      <c r="H67" s="3">
        <v>45867</v>
      </c>
      <c r="I67">
        <v>5518.3126408340004</v>
      </c>
      <c r="J67">
        <v>550.36</v>
      </c>
      <c r="M67" s="3">
        <v>45867</v>
      </c>
      <c r="N67">
        <f t="shared" si="0"/>
        <v>1.1399448854915994</v>
      </c>
      <c r="O67">
        <f t="shared" si="1"/>
        <v>1.0519314207075823</v>
      </c>
      <c r="P67">
        <v>1.1448186922896917</v>
      </c>
    </row>
    <row r="68" spans="1:16" x14ac:dyDescent="0.2">
      <c r="A68" s="3">
        <v>45867</v>
      </c>
      <c r="B68">
        <v>5518.3126408340004</v>
      </c>
      <c r="C68">
        <v>550.36</v>
      </c>
      <c r="G68" s="3">
        <v>45868</v>
      </c>
      <c r="H68" s="3">
        <v>45868</v>
      </c>
      <c r="I68">
        <v>5579.5623287320004</v>
      </c>
      <c r="J68">
        <v>550.24</v>
      </c>
      <c r="M68" s="3">
        <v>45868</v>
      </c>
      <c r="N68">
        <f t="shared" ref="N68:N131" si="2">I68/$I$2</f>
        <v>1.1525975336834804</v>
      </c>
      <c r="O68">
        <f t="shared" ref="O68:O131" si="3">J68/$J$2</f>
        <v>1.0517020585255834</v>
      </c>
      <c r="P68">
        <v>1.1557305926427872</v>
      </c>
    </row>
    <row r="69" spans="1:16" x14ac:dyDescent="0.2">
      <c r="A69" s="3">
        <v>45868</v>
      </c>
      <c r="B69">
        <v>5579.5623287320004</v>
      </c>
      <c r="C69">
        <v>550.24</v>
      </c>
      <c r="G69" s="3">
        <v>45869</v>
      </c>
      <c r="H69" s="3">
        <v>45869</v>
      </c>
      <c r="I69">
        <v>5553.5632453839999</v>
      </c>
      <c r="J69">
        <v>546.11</v>
      </c>
      <c r="M69" s="3">
        <v>45869</v>
      </c>
      <c r="N69">
        <f t="shared" si="2"/>
        <v>1.147226775624085</v>
      </c>
      <c r="O69">
        <f t="shared" si="3"/>
        <v>1.0438081767617882</v>
      </c>
      <c r="P69">
        <v>1.152030994041962</v>
      </c>
    </row>
    <row r="70" spans="1:16" x14ac:dyDescent="0.2">
      <c r="A70" s="3">
        <v>45869</v>
      </c>
      <c r="B70">
        <v>5553.5632453839999</v>
      </c>
      <c r="C70">
        <v>546.11</v>
      </c>
      <c r="G70" s="3">
        <v>45870</v>
      </c>
      <c r="H70" s="3">
        <v>45870</v>
      </c>
      <c r="I70">
        <v>5385.0215775160004</v>
      </c>
      <c r="J70">
        <v>535.79</v>
      </c>
      <c r="M70" s="3">
        <v>45870</v>
      </c>
      <c r="N70">
        <f t="shared" si="2"/>
        <v>1.1124102973302215</v>
      </c>
      <c r="O70">
        <f t="shared" si="3"/>
        <v>1.0240830291098835</v>
      </c>
      <c r="P70">
        <v>1.148991818736987</v>
      </c>
    </row>
    <row r="71" spans="1:16" x14ac:dyDescent="0.2">
      <c r="A71" s="3">
        <v>45870</v>
      </c>
      <c r="B71">
        <v>5385.0215775160004</v>
      </c>
      <c r="C71">
        <v>535.79</v>
      </c>
      <c r="G71" s="3">
        <v>45873</v>
      </c>
      <c r="H71" s="3">
        <v>45873</v>
      </c>
      <c r="I71">
        <v>5470.9667098500004</v>
      </c>
      <c r="J71">
        <v>540.6</v>
      </c>
      <c r="M71" s="3">
        <v>45873</v>
      </c>
      <c r="N71">
        <f t="shared" si="2"/>
        <v>1.1301644045027783</v>
      </c>
      <c r="O71">
        <f t="shared" si="3"/>
        <v>1.0332766299050058</v>
      </c>
      <c r="P71">
        <v>1.143205327636879</v>
      </c>
    </row>
    <row r="72" spans="1:16" x14ac:dyDescent="0.2">
      <c r="A72" s="3">
        <v>45873</v>
      </c>
      <c r="B72">
        <v>5470.9667098500004</v>
      </c>
      <c r="C72">
        <v>540.6</v>
      </c>
      <c r="G72" s="3">
        <v>45874</v>
      </c>
      <c r="H72" s="3">
        <v>45874</v>
      </c>
      <c r="I72">
        <v>5442.5666079399998</v>
      </c>
      <c r="J72">
        <v>541.4</v>
      </c>
      <c r="M72" s="3">
        <v>45874</v>
      </c>
      <c r="N72">
        <f t="shared" si="2"/>
        <v>1.1242976562724982</v>
      </c>
      <c r="O72">
        <f t="shared" si="3"/>
        <v>1.0348057111183315</v>
      </c>
      <c r="P72">
        <v>1.1371469358048858</v>
      </c>
    </row>
    <row r="73" spans="1:16" x14ac:dyDescent="0.2">
      <c r="A73" s="3">
        <v>45874</v>
      </c>
      <c r="B73">
        <v>5442.5666079399998</v>
      </c>
      <c r="C73">
        <v>541.4</v>
      </c>
      <c r="G73" s="3">
        <v>45875</v>
      </c>
      <c r="H73" s="3">
        <v>45875</v>
      </c>
      <c r="I73">
        <v>5442.220983745</v>
      </c>
      <c r="J73">
        <v>541.07000000000005</v>
      </c>
      <c r="M73" s="3">
        <v>45875</v>
      </c>
      <c r="N73">
        <f t="shared" si="2"/>
        <v>1.1242262589887566</v>
      </c>
      <c r="O73">
        <f t="shared" si="3"/>
        <v>1.0341749651178349</v>
      </c>
      <c r="P73">
        <v>1.1444730094935465</v>
      </c>
    </row>
    <row r="74" spans="1:16" x14ac:dyDescent="0.2">
      <c r="A74" s="3">
        <v>45875</v>
      </c>
      <c r="B74">
        <v>5442.220983745</v>
      </c>
      <c r="C74">
        <v>541.07000000000005</v>
      </c>
      <c r="G74" s="3">
        <v>45876</v>
      </c>
      <c r="H74" s="3">
        <v>45876</v>
      </c>
      <c r="I74">
        <v>5435.0898282790004</v>
      </c>
      <c r="J74">
        <v>546.04999999999995</v>
      </c>
      <c r="M74" s="3">
        <v>45876</v>
      </c>
      <c r="N74">
        <f t="shared" si="2"/>
        <v>1.1227531412569054</v>
      </c>
      <c r="O74">
        <f t="shared" si="3"/>
        <v>1.0436934956707886</v>
      </c>
      <c r="P74">
        <v>1.1457390867440567</v>
      </c>
    </row>
    <row r="75" spans="1:16" x14ac:dyDescent="0.2">
      <c r="A75" s="3">
        <v>45876</v>
      </c>
      <c r="B75">
        <v>5435.0898282790004</v>
      </c>
      <c r="C75">
        <v>546.04999999999995</v>
      </c>
      <c r="G75" s="3">
        <v>45877</v>
      </c>
      <c r="H75" s="3">
        <v>45877</v>
      </c>
      <c r="I75">
        <v>5489.6836128539999</v>
      </c>
      <c r="J75">
        <v>547.08000000000004</v>
      </c>
      <c r="M75" s="3">
        <v>45877</v>
      </c>
      <c r="N75">
        <f t="shared" si="2"/>
        <v>1.1340308468811549</v>
      </c>
      <c r="O75">
        <f t="shared" si="3"/>
        <v>1.0456621877329459</v>
      </c>
      <c r="P75">
        <v>1.1424374708569685</v>
      </c>
    </row>
    <row r="76" spans="1:16" x14ac:dyDescent="0.2">
      <c r="A76" s="3">
        <v>45877</v>
      </c>
      <c r="B76">
        <v>5489.6836128539999</v>
      </c>
      <c r="C76">
        <v>547.08000000000004</v>
      </c>
      <c r="G76" s="3">
        <v>45880</v>
      </c>
      <c r="H76" s="3">
        <v>45880</v>
      </c>
      <c r="I76">
        <v>5487.7345810019997</v>
      </c>
      <c r="J76">
        <v>546.76</v>
      </c>
      <c r="M76" s="3">
        <v>45880</v>
      </c>
      <c r="N76">
        <f t="shared" si="2"/>
        <v>1.1336282258199799</v>
      </c>
      <c r="O76">
        <f t="shared" si="3"/>
        <v>1.0450505552476155</v>
      </c>
      <c r="P76">
        <v>1.1631212147994205</v>
      </c>
    </row>
    <row r="77" spans="1:16" x14ac:dyDescent="0.2">
      <c r="A77" s="3">
        <v>45880</v>
      </c>
      <c r="B77">
        <v>5487.7345810019997</v>
      </c>
      <c r="C77">
        <v>546.76</v>
      </c>
      <c r="G77" s="3">
        <v>45881</v>
      </c>
      <c r="H77" s="3">
        <v>45881</v>
      </c>
      <c r="I77">
        <v>5521.955561496</v>
      </c>
      <c r="J77">
        <v>547.89</v>
      </c>
      <c r="M77" s="3">
        <v>45881</v>
      </c>
      <c r="N77">
        <f t="shared" si="2"/>
        <v>1.1406974214653987</v>
      </c>
      <c r="O77">
        <f t="shared" si="3"/>
        <v>1.0472103824614383</v>
      </c>
      <c r="P77">
        <v>1.1734838705176813</v>
      </c>
    </row>
    <row r="78" spans="1:16" x14ac:dyDescent="0.2">
      <c r="A78" s="3">
        <v>45881</v>
      </c>
      <c r="B78">
        <v>5521.955561496</v>
      </c>
      <c r="C78">
        <v>547.89</v>
      </c>
      <c r="G78" s="3">
        <v>45882</v>
      </c>
      <c r="H78" s="3">
        <v>45882</v>
      </c>
      <c r="I78">
        <v>5525.1146335269996</v>
      </c>
      <c r="J78">
        <v>550.85</v>
      </c>
      <c r="M78" s="3">
        <v>45882</v>
      </c>
      <c r="N78">
        <f t="shared" si="2"/>
        <v>1.1413500064563233</v>
      </c>
      <c r="O78">
        <f t="shared" si="3"/>
        <v>1.0528679829507444</v>
      </c>
      <c r="P78">
        <v>1.1622811629603484</v>
      </c>
    </row>
    <row r="79" spans="1:16" x14ac:dyDescent="0.2">
      <c r="A79" s="3">
        <v>45882</v>
      </c>
      <c r="B79">
        <v>5525.1146335269996</v>
      </c>
      <c r="C79">
        <v>550.85</v>
      </c>
      <c r="G79" s="3">
        <v>45883</v>
      </c>
      <c r="H79" s="3">
        <v>45883</v>
      </c>
      <c r="I79">
        <v>5554.2724348319998</v>
      </c>
      <c r="J79">
        <v>553.87</v>
      </c>
      <c r="M79" s="3">
        <v>45883</v>
      </c>
      <c r="N79">
        <f t="shared" si="2"/>
        <v>1.147373276363842</v>
      </c>
      <c r="O79">
        <f t="shared" si="3"/>
        <v>1.0586402645310498</v>
      </c>
      <c r="P79">
        <v>1.1707898040032008</v>
      </c>
    </row>
    <row r="80" spans="1:16" x14ac:dyDescent="0.2">
      <c r="A80" s="3">
        <v>45883</v>
      </c>
      <c r="B80">
        <v>5554.2724348319998</v>
      </c>
      <c r="C80">
        <v>553.87</v>
      </c>
      <c r="G80" s="3">
        <v>45884</v>
      </c>
      <c r="H80" s="3">
        <v>45884</v>
      </c>
      <c r="I80">
        <v>5514.0601092719999</v>
      </c>
      <c r="J80">
        <v>553.55999999999995</v>
      </c>
      <c r="M80" s="3">
        <v>45884</v>
      </c>
      <c r="N80">
        <f t="shared" si="2"/>
        <v>1.1390664192067024</v>
      </c>
      <c r="O80">
        <f t="shared" si="3"/>
        <v>1.0580477455608859</v>
      </c>
      <c r="P80">
        <v>1.1684210852403156</v>
      </c>
    </row>
    <row r="81" spans="1:16" x14ac:dyDescent="0.2">
      <c r="A81" s="3">
        <v>45884</v>
      </c>
      <c r="B81">
        <v>5514.0601092719999</v>
      </c>
      <c r="C81">
        <v>553.55999999999995</v>
      </c>
      <c r="G81" s="3">
        <v>45887</v>
      </c>
      <c r="H81" s="3">
        <v>45887</v>
      </c>
      <c r="I81">
        <v>5530.9838283959998</v>
      </c>
      <c r="J81">
        <v>554.01</v>
      </c>
      <c r="M81" s="3">
        <v>45887</v>
      </c>
      <c r="N81">
        <f t="shared" si="2"/>
        <v>1.1425624348032353</v>
      </c>
      <c r="O81">
        <f t="shared" si="3"/>
        <v>1.0589078537433818</v>
      </c>
      <c r="P81">
        <v>1.1771976012125787</v>
      </c>
    </row>
    <row r="82" spans="1:16" x14ac:dyDescent="0.2">
      <c r="A82" s="3">
        <v>45887</v>
      </c>
      <c r="B82">
        <v>5530.9838283959998</v>
      </c>
      <c r="C82">
        <v>554.01</v>
      </c>
      <c r="G82" s="3">
        <v>45888</v>
      </c>
      <c r="H82" s="3">
        <v>45888</v>
      </c>
      <c r="I82">
        <v>5505.1909140360003</v>
      </c>
      <c r="J82">
        <v>557.80999999999995</v>
      </c>
      <c r="M82" s="3">
        <v>45888</v>
      </c>
      <c r="N82">
        <f t="shared" si="2"/>
        <v>1.1372342660820516</v>
      </c>
      <c r="O82">
        <f t="shared" si="3"/>
        <v>1.06617098950668</v>
      </c>
      <c r="P82">
        <v>1.1640630139934169</v>
      </c>
    </row>
    <row r="83" spans="1:16" x14ac:dyDescent="0.2">
      <c r="A83" s="3">
        <v>45888</v>
      </c>
      <c r="B83">
        <v>5505.1909140360003</v>
      </c>
      <c r="C83">
        <v>557.80999999999995</v>
      </c>
      <c r="G83" s="3">
        <v>45889</v>
      </c>
      <c r="H83" s="3">
        <v>45889</v>
      </c>
      <c r="I83">
        <v>5489.4990039599998</v>
      </c>
      <c r="J83">
        <v>559.09</v>
      </c>
      <c r="M83" s="3">
        <v>45889</v>
      </c>
      <c r="N83">
        <f t="shared" si="2"/>
        <v>1.1339927113172192</v>
      </c>
      <c r="O83">
        <f t="shared" si="3"/>
        <v>1.0686175194480017</v>
      </c>
      <c r="P83">
        <v>1.1552917574917136</v>
      </c>
    </row>
    <row r="84" spans="1:16" x14ac:dyDescent="0.2">
      <c r="A84" s="3">
        <v>45889</v>
      </c>
      <c r="B84">
        <v>5489.4990039599998</v>
      </c>
      <c r="C84">
        <v>559.09</v>
      </c>
      <c r="G84" s="3">
        <v>45890</v>
      </c>
      <c r="H84" s="3">
        <v>45890</v>
      </c>
      <c r="I84">
        <v>5489.1778155900001</v>
      </c>
      <c r="J84">
        <v>559.07000000000005</v>
      </c>
      <c r="M84" s="3">
        <v>45890</v>
      </c>
      <c r="N84">
        <f t="shared" si="2"/>
        <v>1.1339263618615991</v>
      </c>
      <c r="O84">
        <f t="shared" si="3"/>
        <v>1.0685792924176685</v>
      </c>
      <c r="P84">
        <v>1.1626725710177721</v>
      </c>
    </row>
    <row r="85" spans="1:16" x14ac:dyDescent="0.2">
      <c r="A85" s="3">
        <v>45890</v>
      </c>
      <c r="B85">
        <v>5489.1778155900001</v>
      </c>
      <c r="C85">
        <v>559.07000000000005</v>
      </c>
      <c r="G85" s="3">
        <v>45891</v>
      </c>
      <c r="H85" s="3">
        <v>45891</v>
      </c>
      <c r="I85">
        <v>5520.2216059299999</v>
      </c>
      <c r="J85">
        <v>561.29999999999995</v>
      </c>
      <c r="M85" s="3">
        <v>45891</v>
      </c>
      <c r="N85">
        <f t="shared" si="2"/>
        <v>1.1403392297666346</v>
      </c>
      <c r="O85">
        <f t="shared" si="3"/>
        <v>1.0728416062998145</v>
      </c>
      <c r="P85">
        <v>1.1565764627088324</v>
      </c>
    </row>
    <row r="86" spans="1:16" x14ac:dyDescent="0.2">
      <c r="A86" s="3">
        <v>45891</v>
      </c>
      <c r="B86">
        <v>5520.2216059299999</v>
      </c>
      <c r="C86">
        <v>561.29999999999995</v>
      </c>
      <c r="G86" s="3">
        <v>45894</v>
      </c>
      <c r="H86" s="3">
        <v>45894</v>
      </c>
      <c r="I86">
        <v>5542.5158175269999</v>
      </c>
      <c r="J86">
        <v>558.82000000000005</v>
      </c>
      <c r="M86" s="3">
        <v>45894</v>
      </c>
      <c r="N86">
        <f t="shared" si="2"/>
        <v>1.144944654312176</v>
      </c>
      <c r="O86">
        <f t="shared" si="3"/>
        <v>1.0681014545385041</v>
      </c>
      <c r="P86">
        <v>1.1601045125714526</v>
      </c>
    </row>
    <row r="87" spans="1:16" x14ac:dyDescent="0.2">
      <c r="A87" s="3">
        <v>45894</v>
      </c>
      <c r="B87">
        <v>5542.5158175269999</v>
      </c>
      <c r="C87">
        <v>558.82000000000005</v>
      </c>
      <c r="G87" s="3">
        <v>45895</v>
      </c>
      <c r="H87" s="3">
        <v>45895</v>
      </c>
      <c r="I87">
        <v>5553.9797852880001</v>
      </c>
      <c r="J87">
        <v>554.20000000000005</v>
      </c>
      <c r="M87" s="3">
        <v>45895</v>
      </c>
      <c r="N87">
        <f t="shared" si="2"/>
        <v>1.1473128223133673</v>
      </c>
      <c r="O87">
        <f t="shared" si="3"/>
        <v>1.0592710105315468</v>
      </c>
      <c r="P87">
        <v>1.1727379777303188</v>
      </c>
    </row>
    <row r="88" spans="1:16" x14ac:dyDescent="0.2">
      <c r="A88" s="3">
        <v>45895</v>
      </c>
      <c r="B88">
        <v>5553.9797852880001</v>
      </c>
      <c r="C88">
        <v>554.20000000000005</v>
      </c>
      <c r="G88" s="3">
        <v>45896</v>
      </c>
      <c r="H88" s="3">
        <v>45896</v>
      </c>
      <c r="I88">
        <v>5569.6642118560003</v>
      </c>
      <c r="J88">
        <v>554.76</v>
      </c>
      <c r="M88" s="3">
        <v>45896</v>
      </c>
      <c r="N88">
        <f t="shared" si="2"/>
        <v>1.1505528311732782</v>
      </c>
      <c r="O88">
        <f t="shared" si="3"/>
        <v>1.0603413673808748</v>
      </c>
      <c r="P88">
        <v>1.1616207716462719</v>
      </c>
    </row>
    <row r="89" spans="1:16" x14ac:dyDescent="0.2">
      <c r="A89" s="3">
        <v>45896</v>
      </c>
      <c r="B89">
        <v>5569.6642118560003</v>
      </c>
      <c r="C89">
        <v>554.76</v>
      </c>
      <c r="G89" s="3">
        <v>45897</v>
      </c>
      <c r="H89" s="3">
        <v>45897</v>
      </c>
      <c r="I89">
        <v>5565.7216835879999</v>
      </c>
      <c r="J89">
        <v>553.66999999999996</v>
      </c>
      <c r="M89" s="3">
        <v>45897</v>
      </c>
      <c r="N89">
        <f t="shared" si="2"/>
        <v>1.1497384037880378</v>
      </c>
      <c r="O89">
        <f t="shared" si="3"/>
        <v>1.0582579942277182</v>
      </c>
      <c r="P89">
        <v>1.164603500088971</v>
      </c>
    </row>
    <row r="90" spans="1:16" x14ac:dyDescent="0.2">
      <c r="A90" s="3">
        <v>45897</v>
      </c>
      <c r="B90">
        <v>5565.7216835879999</v>
      </c>
      <c r="C90">
        <v>553.66999999999996</v>
      </c>
      <c r="G90" s="3">
        <v>45898</v>
      </c>
      <c r="H90" s="3">
        <v>45898</v>
      </c>
      <c r="I90">
        <v>5529.1450370490002</v>
      </c>
      <c r="J90">
        <v>550.14</v>
      </c>
      <c r="M90" s="3">
        <v>45898</v>
      </c>
      <c r="N90">
        <f t="shared" si="2"/>
        <v>1.1421825866634276</v>
      </c>
      <c r="O90">
        <f t="shared" si="3"/>
        <v>1.0515109233739175</v>
      </c>
      <c r="P90">
        <v>1.1657744024739611</v>
      </c>
    </row>
    <row r="91" spans="1:16" x14ac:dyDescent="0.2">
      <c r="A91" s="3">
        <v>45898</v>
      </c>
      <c r="B91">
        <v>5529.1450370490002</v>
      </c>
      <c r="C91">
        <v>550.14</v>
      </c>
      <c r="G91" s="3">
        <v>45901</v>
      </c>
      <c r="H91" s="3">
        <v>45901</v>
      </c>
      <c r="I91">
        <v>5529.1450370490002</v>
      </c>
      <c r="J91">
        <v>550.14</v>
      </c>
      <c r="M91" s="3">
        <v>45901</v>
      </c>
      <c r="N91">
        <f t="shared" si="2"/>
        <v>1.1421825866634276</v>
      </c>
      <c r="O91">
        <f t="shared" si="3"/>
        <v>1.0515109233739175</v>
      </c>
      <c r="P91">
        <v>1.171701396286069</v>
      </c>
    </row>
    <row r="92" spans="1:16" x14ac:dyDescent="0.2">
      <c r="A92" s="3">
        <v>45898</v>
      </c>
      <c r="B92">
        <v>5529.1450370490002</v>
      </c>
      <c r="C92" s="2" t="s">
        <v>20</v>
      </c>
      <c r="G92" s="3">
        <v>45902</v>
      </c>
      <c r="H92" s="3">
        <v>45902</v>
      </c>
      <c r="I92">
        <v>5512.5538620249999</v>
      </c>
      <c r="J92">
        <v>543.16999999999996</v>
      </c>
      <c r="M92" s="3">
        <v>45902</v>
      </c>
      <c r="N92">
        <f t="shared" si="2"/>
        <v>1.1387552663313112</v>
      </c>
      <c r="O92">
        <f t="shared" si="3"/>
        <v>1.0381888033028153</v>
      </c>
      <c r="P92">
        <v>1.1681163263285812</v>
      </c>
    </row>
    <row r="93" spans="1:16" x14ac:dyDescent="0.2">
      <c r="A93" s="3">
        <v>45902</v>
      </c>
      <c r="B93">
        <v>5512.5538620249999</v>
      </c>
      <c r="C93">
        <v>543.16999999999996</v>
      </c>
      <c r="G93" s="3">
        <v>45903</v>
      </c>
      <c r="H93" s="3">
        <v>45903</v>
      </c>
      <c r="I93">
        <v>5529.7706174040004</v>
      </c>
      <c r="J93">
        <v>546.78</v>
      </c>
      <c r="M93" s="3">
        <v>45903</v>
      </c>
      <c r="N93">
        <f t="shared" si="2"/>
        <v>1.1423118158631054</v>
      </c>
      <c r="O93">
        <f t="shared" si="3"/>
        <v>1.0450887822779487</v>
      </c>
      <c r="P93">
        <v>1.1693314039012277</v>
      </c>
    </row>
    <row r="94" spans="1:16" x14ac:dyDescent="0.2">
      <c r="A94" s="3">
        <v>45903</v>
      </c>
      <c r="B94">
        <v>5529.7706174040004</v>
      </c>
      <c r="C94">
        <v>546.78</v>
      </c>
      <c r="G94" s="3">
        <v>45904</v>
      </c>
      <c r="H94" s="3">
        <v>45904</v>
      </c>
      <c r="I94">
        <v>5581.6480446759997</v>
      </c>
      <c r="J94">
        <v>550.09</v>
      </c>
      <c r="M94" s="3">
        <v>45904</v>
      </c>
      <c r="N94">
        <f t="shared" si="2"/>
        <v>1.1530283902473795</v>
      </c>
      <c r="O94">
        <f t="shared" si="3"/>
        <v>1.0514153557980848</v>
      </c>
      <c r="P94">
        <v>1.1701453637036126</v>
      </c>
    </row>
    <row r="95" spans="1:16" x14ac:dyDescent="0.2">
      <c r="A95" s="3">
        <v>45904</v>
      </c>
      <c r="B95">
        <v>5581.6480446759997</v>
      </c>
      <c r="C95">
        <v>550.09</v>
      </c>
      <c r="G95" s="3">
        <v>45905</v>
      </c>
      <c r="H95" s="3">
        <v>45905</v>
      </c>
      <c r="I95">
        <v>5531.6971494299996</v>
      </c>
      <c r="J95">
        <v>549.21</v>
      </c>
      <c r="M95" s="3">
        <v>45905</v>
      </c>
      <c r="N95">
        <f t="shared" si="2"/>
        <v>1.1427097890249596</v>
      </c>
      <c r="O95">
        <f t="shared" si="3"/>
        <v>1.0497333664634263</v>
      </c>
      <c r="P95">
        <v>1.1599885637262839</v>
      </c>
    </row>
    <row r="96" spans="1:16" x14ac:dyDescent="0.2">
      <c r="A96" s="3">
        <v>45905</v>
      </c>
      <c r="B96">
        <v>5531.6971494299996</v>
      </c>
      <c r="C96">
        <v>549.21</v>
      </c>
      <c r="G96" s="3">
        <v>45908</v>
      </c>
      <c r="H96" s="3">
        <v>45908</v>
      </c>
      <c r="I96">
        <v>5522.1806109600002</v>
      </c>
      <c r="J96">
        <v>552.04</v>
      </c>
      <c r="M96" s="3">
        <v>45908</v>
      </c>
      <c r="N96">
        <f t="shared" si="2"/>
        <v>1.140743911036064</v>
      </c>
      <c r="O96">
        <f t="shared" si="3"/>
        <v>1.0551424912555667</v>
      </c>
      <c r="P96">
        <v>1.1636531146614904</v>
      </c>
    </row>
    <row r="97" spans="1:16" x14ac:dyDescent="0.2">
      <c r="A97" s="3">
        <v>45908</v>
      </c>
      <c r="B97">
        <v>5522.1806109600002</v>
      </c>
      <c r="C97">
        <v>552.04</v>
      </c>
      <c r="G97" s="3">
        <v>45909</v>
      </c>
      <c r="H97" s="3">
        <v>45909</v>
      </c>
      <c r="I97">
        <v>5563.4628165820004</v>
      </c>
      <c r="J97">
        <v>552.39</v>
      </c>
      <c r="M97" s="3">
        <v>45909</v>
      </c>
      <c r="N97">
        <f t="shared" si="2"/>
        <v>1.1492717785607101</v>
      </c>
      <c r="O97">
        <f t="shared" si="3"/>
        <v>1.0558114642863967</v>
      </c>
      <c r="P97">
        <v>1.170827660761151</v>
      </c>
    </row>
    <row r="98" spans="1:16" x14ac:dyDescent="0.2">
      <c r="A98" s="3">
        <v>45909</v>
      </c>
      <c r="B98">
        <v>5563.4628165820004</v>
      </c>
      <c r="C98">
        <v>552.39</v>
      </c>
      <c r="G98" s="3">
        <v>45910</v>
      </c>
      <c r="H98" s="3">
        <v>45910</v>
      </c>
      <c r="I98">
        <v>5586.2687505929998</v>
      </c>
      <c r="J98">
        <v>552.29</v>
      </c>
      <c r="M98" s="3">
        <v>45910</v>
      </c>
      <c r="N98">
        <f t="shared" si="2"/>
        <v>1.1539829121130796</v>
      </c>
      <c r="O98">
        <f t="shared" si="3"/>
        <v>1.055620329134731</v>
      </c>
      <c r="P98">
        <v>1.2011363940627398</v>
      </c>
    </row>
    <row r="99" spans="1:16" x14ac:dyDescent="0.2">
      <c r="A99" s="3">
        <v>45910</v>
      </c>
      <c r="B99">
        <v>5586.2687505929998</v>
      </c>
      <c r="C99">
        <v>552.29</v>
      </c>
      <c r="G99" s="3">
        <v>45911</v>
      </c>
      <c r="H99" s="3">
        <v>45911</v>
      </c>
      <c r="I99">
        <v>5614.5014480700002</v>
      </c>
      <c r="J99">
        <v>555.33000000000004</v>
      </c>
      <c r="M99" s="3">
        <v>45911</v>
      </c>
      <c r="N99">
        <f t="shared" si="2"/>
        <v>1.1598150787892456</v>
      </c>
      <c r="O99">
        <f t="shared" si="3"/>
        <v>1.0614308377453696</v>
      </c>
      <c r="P99">
        <v>1.2031763321273561</v>
      </c>
    </row>
    <row r="100" spans="1:16" x14ac:dyDescent="0.2">
      <c r="A100" s="3">
        <v>45911</v>
      </c>
      <c r="B100">
        <v>5614.5014480700002</v>
      </c>
      <c r="C100">
        <v>555.33000000000004</v>
      </c>
      <c r="G100" s="3">
        <v>45912</v>
      </c>
      <c r="H100" s="3">
        <v>45912</v>
      </c>
      <c r="I100">
        <v>5611.7861055000003</v>
      </c>
      <c r="J100">
        <v>554.84</v>
      </c>
      <c r="M100" s="3">
        <v>45912</v>
      </c>
      <c r="N100">
        <f t="shared" si="2"/>
        <v>1.1592541571676389</v>
      </c>
      <c r="O100">
        <f t="shared" si="3"/>
        <v>1.0604942755022075</v>
      </c>
      <c r="P100">
        <v>1.2095577432796758</v>
      </c>
    </row>
    <row r="101" spans="1:16" x14ac:dyDescent="0.2">
      <c r="A101" s="3">
        <v>45912</v>
      </c>
      <c r="B101">
        <v>5611.7861055000003</v>
      </c>
      <c r="C101">
        <v>554.84</v>
      </c>
      <c r="G101" s="3">
        <v>45915</v>
      </c>
      <c r="H101" s="3">
        <v>45915</v>
      </c>
      <c r="I101">
        <v>5625.2344741119996</v>
      </c>
      <c r="J101">
        <v>557.16</v>
      </c>
      <c r="M101" s="3">
        <v>45915</v>
      </c>
      <c r="N101">
        <f t="shared" si="2"/>
        <v>1.1620322525774593</v>
      </c>
      <c r="O101">
        <f t="shared" si="3"/>
        <v>1.0649286110208527</v>
      </c>
      <c r="P101">
        <v>1.2150529424827838</v>
      </c>
    </row>
    <row r="102" spans="1:16" x14ac:dyDescent="0.2">
      <c r="A102" s="3">
        <v>45915</v>
      </c>
      <c r="B102">
        <v>5625.2344741119996</v>
      </c>
      <c r="C102">
        <v>557.16</v>
      </c>
      <c r="G102" s="3">
        <v>45916</v>
      </c>
      <c r="H102" s="3">
        <v>45916</v>
      </c>
      <c r="I102">
        <v>5567.777467166</v>
      </c>
      <c r="J102">
        <v>550.79</v>
      </c>
      <c r="M102" s="3">
        <v>45916</v>
      </c>
      <c r="N102">
        <f t="shared" si="2"/>
        <v>1.1501630770764046</v>
      </c>
      <c r="O102">
        <f t="shared" si="3"/>
        <v>1.0527533018597448</v>
      </c>
      <c r="P102">
        <v>1.2016557274466273</v>
      </c>
    </row>
    <row r="103" spans="1:16" x14ac:dyDescent="0.2">
      <c r="A103" s="3">
        <v>45916</v>
      </c>
      <c r="B103">
        <v>5567.777467166</v>
      </c>
      <c r="C103">
        <v>550.79</v>
      </c>
      <c r="G103" s="3">
        <v>45917</v>
      </c>
      <c r="H103" s="3">
        <v>45917</v>
      </c>
      <c r="I103">
        <v>5587.85385486</v>
      </c>
      <c r="J103">
        <v>550.63</v>
      </c>
      <c r="M103" s="3">
        <v>45917</v>
      </c>
      <c r="N103">
        <f t="shared" si="2"/>
        <v>1.1543103548695421</v>
      </c>
      <c r="O103">
        <f t="shared" si="3"/>
        <v>1.0524474856170798</v>
      </c>
      <c r="P103">
        <v>1.1900241015059276</v>
      </c>
    </row>
    <row r="104" spans="1:16" x14ac:dyDescent="0.2">
      <c r="A104" s="3">
        <v>45917</v>
      </c>
      <c r="B104">
        <v>5587.85385486</v>
      </c>
      <c r="C104">
        <v>550.63</v>
      </c>
      <c r="G104" s="3">
        <v>45918</v>
      </c>
      <c r="H104" s="3">
        <v>45918</v>
      </c>
      <c r="I104">
        <v>5626.9552421340004</v>
      </c>
      <c r="J104">
        <v>555.01</v>
      </c>
      <c r="M104" s="3">
        <v>45918</v>
      </c>
      <c r="N104">
        <f t="shared" si="2"/>
        <v>1.1623877200606321</v>
      </c>
      <c r="O104">
        <f t="shared" si="3"/>
        <v>1.0608192052600391</v>
      </c>
      <c r="P104">
        <v>1.1891542855753545</v>
      </c>
    </row>
    <row r="105" spans="1:16" x14ac:dyDescent="0.2">
      <c r="A105" s="3">
        <v>45918</v>
      </c>
      <c r="B105">
        <v>5626.9552421340004</v>
      </c>
      <c r="C105">
        <v>555.01</v>
      </c>
      <c r="G105" s="3">
        <v>45919</v>
      </c>
      <c r="H105" s="3">
        <v>45919</v>
      </c>
      <c r="I105">
        <v>5674.7066272000002</v>
      </c>
      <c r="J105">
        <v>554.12</v>
      </c>
      <c r="M105" s="3">
        <v>45919</v>
      </c>
      <c r="N105">
        <f t="shared" si="2"/>
        <v>1.1722519576861572</v>
      </c>
      <c r="O105">
        <f t="shared" si="3"/>
        <v>1.0591181024102141</v>
      </c>
      <c r="P105">
        <v>1.197067487640074</v>
      </c>
    </row>
    <row r="106" spans="1:16" x14ac:dyDescent="0.2">
      <c r="A106" s="3">
        <v>45919</v>
      </c>
      <c r="B106">
        <v>5674.7066272000002</v>
      </c>
      <c r="C106">
        <v>554.12</v>
      </c>
      <c r="G106" s="3">
        <v>45922</v>
      </c>
      <c r="H106" s="3">
        <v>45922</v>
      </c>
      <c r="I106">
        <v>5671.6841086229997</v>
      </c>
      <c r="J106">
        <v>553.4</v>
      </c>
      <c r="M106" s="3">
        <v>45922</v>
      </c>
      <c r="N106">
        <f t="shared" si="2"/>
        <v>1.171627581211425</v>
      </c>
      <c r="O106">
        <f t="shared" si="3"/>
        <v>1.0577419293182209</v>
      </c>
      <c r="P106">
        <v>1.1976570767732653</v>
      </c>
    </row>
    <row r="107" spans="1:16" x14ac:dyDescent="0.2">
      <c r="A107" s="3">
        <v>45922</v>
      </c>
      <c r="B107">
        <v>5671.6841086229997</v>
      </c>
      <c r="C107">
        <v>553.4</v>
      </c>
      <c r="G107" s="3">
        <v>45923</v>
      </c>
      <c r="H107" s="3">
        <v>45923</v>
      </c>
      <c r="I107">
        <v>5634.2838649619998</v>
      </c>
      <c r="J107">
        <v>554.95000000000005</v>
      </c>
      <c r="M107" s="3">
        <v>45923</v>
      </c>
      <c r="N107">
        <f t="shared" si="2"/>
        <v>1.1639016295931683</v>
      </c>
      <c r="O107">
        <f t="shared" si="3"/>
        <v>1.0607045241690398</v>
      </c>
      <c r="P107">
        <v>1.1986686053725015</v>
      </c>
    </row>
    <row r="108" spans="1:16" x14ac:dyDescent="0.2">
      <c r="A108" s="3">
        <v>45923</v>
      </c>
      <c r="B108">
        <v>5634.2838649619998</v>
      </c>
      <c r="C108">
        <v>554.95000000000005</v>
      </c>
      <c r="G108" s="3">
        <v>45924</v>
      </c>
      <c r="H108" s="3">
        <v>45924</v>
      </c>
      <c r="I108">
        <v>5655.6199721370003</v>
      </c>
      <c r="J108">
        <v>553.88</v>
      </c>
      <c r="M108" s="3">
        <v>45924</v>
      </c>
      <c r="N108">
        <f t="shared" si="2"/>
        <v>1.1683091338129306</v>
      </c>
      <c r="O108">
        <f t="shared" si="3"/>
        <v>1.0586593780462163</v>
      </c>
      <c r="P108">
        <v>1.2092418186213367</v>
      </c>
    </row>
    <row r="109" spans="1:16" x14ac:dyDescent="0.2">
      <c r="A109" s="3">
        <v>45924</v>
      </c>
      <c r="B109">
        <v>5655.6199721370003</v>
      </c>
      <c r="C109">
        <v>553.88</v>
      </c>
      <c r="G109" s="3">
        <v>45925</v>
      </c>
      <c r="H109" s="3">
        <v>45925</v>
      </c>
      <c r="I109">
        <v>5662.0259140440003</v>
      </c>
      <c r="J109">
        <v>550.22</v>
      </c>
      <c r="M109" s="3">
        <v>45925</v>
      </c>
      <c r="N109">
        <f t="shared" si="2"/>
        <v>1.1696324406258873</v>
      </c>
      <c r="O109">
        <f t="shared" si="3"/>
        <v>1.0516638314952502</v>
      </c>
      <c r="P109">
        <v>1.2060944513157608</v>
      </c>
    </row>
    <row r="110" spans="1:16" x14ac:dyDescent="0.2">
      <c r="A110" s="3">
        <v>45925</v>
      </c>
      <c r="B110">
        <v>5662.0259140440003</v>
      </c>
      <c r="C110">
        <v>550.22</v>
      </c>
      <c r="G110" s="3">
        <v>45926</v>
      </c>
      <c r="H110" s="3">
        <v>45926</v>
      </c>
      <c r="I110">
        <v>5677.903194425</v>
      </c>
      <c r="J110">
        <v>554.52</v>
      </c>
      <c r="M110" s="3">
        <v>45926</v>
      </c>
      <c r="N110">
        <f t="shared" si="2"/>
        <v>1.1729122882430569</v>
      </c>
      <c r="O110">
        <f t="shared" si="3"/>
        <v>1.0598826430168771</v>
      </c>
      <c r="P110">
        <v>1.2152309984281873</v>
      </c>
    </row>
    <row r="111" spans="1:16" x14ac:dyDescent="0.2">
      <c r="A111" s="3">
        <v>45926</v>
      </c>
      <c r="B111">
        <v>5677.903194425</v>
      </c>
      <c r="C111">
        <v>554.52</v>
      </c>
      <c r="G111" s="3">
        <v>45929</v>
      </c>
      <c r="H111" s="3">
        <v>45929</v>
      </c>
      <c r="I111">
        <v>5681.2104820240002</v>
      </c>
      <c r="J111">
        <v>555.53</v>
      </c>
      <c r="M111" s="3">
        <v>45929</v>
      </c>
      <c r="N111">
        <f t="shared" si="2"/>
        <v>1.1735954908502149</v>
      </c>
      <c r="O111">
        <f t="shared" si="3"/>
        <v>1.061813108048701</v>
      </c>
      <c r="P111">
        <v>1.2059696679118412</v>
      </c>
    </row>
    <row r="112" spans="1:16" x14ac:dyDescent="0.2">
      <c r="A112" s="3">
        <v>45929</v>
      </c>
      <c r="B112">
        <v>5681.2104820240002</v>
      </c>
      <c r="C112">
        <v>555.53</v>
      </c>
      <c r="G112" s="3">
        <v>45930</v>
      </c>
      <c r="H112" s="3">
        <v>45930</v>
      </c>
      <c r="I112">
        <v>5700.5736057000004</v>
      </c>
      <c r="J112">
        <v>558.17999999999995</v>
      </c>
      <c r="M112" s="3">
        <v>45930</v>
      </c>
      <c r="N112">
        <f t="shared" si="2"/>
        <v>1.1775954261997028</v>
      </c>
      <c r="O112">
        <f t="shared" si="3"/>
        <v>1.0668781895678432</v>
      </c>
      <c r="P112">
        <v>1.2083433230080454</v>
      </c>
    </row>
    <row r="113" spans="1:16" x14ac:dyDescent="0.2">
      <c r="A113" s="3">
        <v>45930</v>
      </c>
      <c r="B113">
        <v>5700.5736057000004</v>
      </c>
      <c r="C113">
        <v>558.17999999999995</v>
      </c>
      <c r="G113" s="3">
        <v>45931</v>
      </c>
      <c r="H113" s="3">
        <v>45931</v>
      </c>
      <c r="I113">
        <v>5721.905333101</v>
      </c>
      <c r="J113">
        <v>564.62</v>
      </c>
      <c r="M113" s="3">
        <v>45931</v>
      </c>
      <c r="N113">
        <f t="shared" si="2"/>
        <v>1.1820020256680857</v>
      </c>
      <c r="O113">
        <f t="shared" si="3"/>
        <v>1.0791872933351172</v>
      </c>
      <c r="P113">
        <v>1.214353156028571</v>
      </c>
    </row>
    <row r="114" spans="1:16" x14ac:dyDescent="0.2">
      <c r="A114" s="3">
        <v>45931</v>
      </c>
      <c r="B114">
        <v>5721.905333101</v>
      </c>
      <c r="C114">
        <v>564.62</v>
      </c>
      <c r="G114" s="3">
        <v>45932</v>
      </c>
      <c r="H114" s="3">
        <v>45932</v>
      </c>
      <c r="I114">
        <v>5732.7568293840004</v>
      </c>
      <c r="J114">
        <v>567.6</v>
      </c>
      <c r="M114" s="3">
        <v>45932</v>
      </c>
      <c r="N114">
        <f t="shared" si="2"/>
        <v>1.1842436724345633</v>
      </c>
      <c r="O114">
        <f t="shared" si="3"/>
        <v>1.0848831208547562</v>
      </c>
      <c r="P114">
        <v>1.2169672330673862</v>
      </c>
    </row>
    <row r="115" spans="1:16" x14ac:dyDescent="0.2">
      <c r="A115" s="3">
        <v>45932</v>
      </c>
      <c r="B115">
        <v>5732.7568293840004</v>
      </c>
      <c r="C115">
        <v>567.6</v>
      </c>
      <c r="G115" s="3">
        <v>45933</v>
      </c>
      <c r="H115" s="3">
        <v>45933</v>
      </c>
      <c r="I115">
        <v>5719.9720625959999</v>
      </c>
      <c r="J115">
        <v>570.45000000000005</v>
      </c>
      <c r="M115" s="3">
        <v>45933</v>
      </c>
      <c r="N115">
        <f t="shared" si="2"/>
        <v>1.1816026605056014</v>
      </c>
      <c r="O115">
        <f t="shared" si="3"/>
        <v>1.09033047267723</v>
      </c>
      <c r="P115">
        <v>1.2129223554733461</v>
      </c>
    </row>
    <row r="116" spans="1:16" x14ac:dyDescent="0.2">
      <c r="A116" s="3">
        <v>45933</v>
      </c>
      <c r="B116">
        <v>5719.9720625959999</v>
      </c>
      <c r="C116">
        <v>570.45000000000005</v>
      </c>
      <c r="G116" s="3">
        <v>45936</v>
      </c>
      <c r="H116" s="3">
        <v>45936</v>
      </c>
      <c r="I116">
        <v>5756.4699268559998</v>
      </c>
      <c r="J116">
        <v>570.24</v>
      </c>
      <c r="M116" s="3">
        <v>45936</v>
      </c>
      <c r="N116">
        <f t="shared" si="2"/>
        <v>1.1891422031887549</v>
      </c>
      <c r="O116">
        <f t="shared" si="3"/>
        <v>1.0899290888587319</v>
      </c>
      <c r="P116">
        <v>1.2182004824813584</v>
      </c>
    </row>
    <row r="117" spans="1:16" x14ac:dyDescent="0.2">
      <c r="A117" s="3">
        <v>45936</v>
      </c>
      <c r="B117">
        <v>5756.4699268559998</v>
      </c>
      <c r="C117">
        <v>570.24</v>
      </c>
      <c r="G117" s="3">
        <v>45937</v>
      </c>
      <c r="H117" s="3">
        <v>45937</v>
      </c>
      <c r="I117">
        <v>5761.1164182000002</v>
      </c>
      <c r="J117">
        <v>569.27</v>
      </c>
      <c r="M117" s="3">
        <v>45937</v>
      </c>
      <c r="N117">
        <f t="shared" si="2"/>
        <v>1.1901020516764755</v>
      </c>
      <c r="O117">
        <f t="shared" si="3"/>
        <v>1.0880750778875741</v>
      </c>
      <c r="P117">
        <v>1.212034023641664</v>
      </c>
    </row>
    <row r="118" spans="1:16" x14ac:dyDescent="0.2">
      <c r="A118" s="3">
        <v>45937</v>
      </c>
      <c r="B118">
        <v>5761.1164182000002</v>
      </c>
      <c r="C118">
        <v>569.27</v>
      </c>
      <c r="G118" s="3">
        <v>45938</v>
      </c>
      <c r="H118" s="3">
        <v>45938</v>
      </c>
      <c r="I118">
        <v>5809.1422263940003</v>
      </c>
      <c r="J118">
        <v>573.79</v>
      </c>
      <c r="M118" s="3">
        <v>45938</v>
      </c>
      <c r="N118">
        <f t="shared" si="2"/>
        <v>1.2000229782324012</v>
      </c>
      <c r="O118">
        <f t="shared" si="3"/>
        <v>1.0967143867428657</v>
      </c>
      <c r="P118">
        <v>1.2189372030457846</v>
      </c>
    </row>
    <row r="119" spans="1:16" x14ac:dyDescent="0.2">
      <c r="A119" s="3">
        <v>45938</v>
      </c>
      <c r="B119">
        <v>5809.1422263940003</v>
      </c>
      <c r="C119">
        <v>573.79</v>
      </c>
      <c r="G119" s="3">
        <v>45939</v>
      </c>
      <c r="H119" s="3">
        <v>45939</v>
      </c>
      <c r="I119">
        <v>5824.7258731640004</v>
      </c>
      <c r="J119">
        <v>571.30999999999995</v>
      </c>
      <c r="M119" s="3">
        <v>45939</v>
      </c>
      <c r="N119">
        <f t="shared" si="2"/>
        <v>1.2032421685155537</v>
      </c>
      <c r="O119">
        <f t="shared" si="3"/>
        <v>1.0919742349815553</v>
      </c>
      <c r="P119">
        <v>1.2225317451441637</v>
      </c>
    </row>
    <row r="120" spans="1:16" x14ac:dyDescent="0.2">
      <c r="A120" s="3">
        <v>45939</v>
      </c>
      <c r="B120">
        <v>5824.7258731640004</v>
      </c>
      <c r="C120">
        <v>571.30999999999995</v>
      </c>
      <c r="G120" s="3">
        <v>45940</v>
      </c>
      <c r="H120" s="3">
        <v>45940</v>
      </c>
      <c r="I120">
        <v>5639.9446866360004</v>
      </c>
      <c r="J120">
        <v>564.16</v>
      </c>
      <c r="M120" s="3">
        <v>45940</v>
      </c>
      <c r="N120">
        <f t="shared" si="2"/>
        <v>1.1650710132680271</v>
      </c>
      <c r="O120">
        <f t="shared" si="3"/>
        <v>1.0783080716374547</v>
      </c>
      <c r="P120">
        <v>1.2143898836005791</v>
      </c>
    </row>
    <row r="121" spans="1:16" x14ac:dyDescent="0.2">
      <c r="A121" s="3">
        <v>45940</v>
      </c>
      <c r="B121">
        <v>5639.9446866360004</v>
      </c>
      <c r="C121">
        <v>564.16</v>
      </c>
      <c r="G121" s="3">
        <v>45943</v>
      </c>
      <c r="H121" s="3">
        <v>45943</v>
      </c>
      <c r="I121">
        <v>5752.6719259949996</v>
      </c>
      <c r="J121">
        <v>566.63</v>
      </c>
      <c r="M121" s="3">
        <v>45943</v>
      </c>
      <c r="N121">
        <f t="shared" si="2"/>
        <v>1.1883576315382556</v>
      </c>
      <c r="O121">
        <f t="shared" si="3"/>
        <v>1.0830291098835985</v>
      </c>
      <c r="P121">
        <v>1.2151235611886169</v>
      </c>
    </row>
    <row r="122" spans="1:16" x14ac:dyDescent="0.2">
      <c r="A122" s="3">
        <v>45943</v>
      </c>
      <c r="B122">
        <v>5752.6719259949996</v>
      </c>
      <c r="C122">
        <v>566.63</v>
      </c>
      <c r="G122" s="3">
        <v>45944</v>
      </c>
      <c r="H122" s="3">
        <v>45944</v>
      </c>
      <c r="I122">
        <v>5725.4005482800003</v>
      </c>
      <c r="J122">
        <v>564.54</v>
      </c>
      <c r="M122" s="3">
        <v>45944</v>
      </c>
      <c r="N122">
        <f t="shared" si="2"/>
        <v>1.18272404939641</v>
      </c>
      <c r="O122">
        <f t="shared" si="3"/>
        <v>1.0790343852137845</v>
      </c>
      <c r="P122">
        <v>1.2178052088568434</v>
      </c>
    </row>
    <row r="123" spans="1:16" x14ac:dyDescent="0.2">
      <c r="A123" s="3">
        <v>45944</v>
      </c>
      <c r="B123">
        <v>5725.4005482800003</v>
      </c>
      <c r="C123">
        <v>564.54</v>
      </c>
      <c r="G123" s="3">
        <v>45945</v>
      </c>
      <c r="H123" s="3">
        <v>45945</v>
      </c>
      <c r="I123">
        <v>5728.1709198779999</v>
      </c>
      <c r="J123">
        <v>567.77</v>
      </c>
      <c r="M123" s="3">
        <v>45945</v>
      </c>
      <c r="N123">
        <f t="shared" si="2"/>
        <v>1.1832963386340081</v>
      </c>
      <c r="O123">
        <f t="shared" si="3"/>
        <v>1.0852080506125881</v>
      </c>
      <c r="P123">
        <v>1.2093668723648616</v>
      </c>
    </row>
    <row r="124" spans="1:16" x14ac:dyDescent="0.2">
      <c r="A124" s="3">
        <v>45945</v>
      </c>
      <c r="B124">
        <v>5728.1709198779999</v>
      </c>
      <c r="C124">
        <v>567.77</v>
      </c>
      <c r="G124" s="3">
        <v>45946</v>
      </c>
      <c r="H124" s="3">
        <v>45946</v>
      </c>
      <c r="I124">
        <v>5672.1673392299999</v>
      </c>
      <c r="J124">
        <v>571.66</v>
      </c>
      <c r="M124" s="3">
        <v>45946</v>
      </c>
      <c r="N124">
        <f t="shared" si="2"/>
        <v>1.1717274045260531</v>
      </c>
      <c r="O124">
        <f t="shared" si="3"/>
        <v>1.0926432080123853</v>
      </c>
      <c r="P124">
        <v>1.1988524727126599</v>
      </c>
    </row>
    <row r="125" spans="1:16" x14ac:dyDescent="0.2">
      <c r="A125" s="3">
        <v>45946</v>
      </c>
      <c r="B125">
        <v>5672.1673392299999</v>
      </c>
      <c r="C125">
        <v>571.66</v>
      </c>
      <c r="G125" s="3">
        <v>45947</v>
      </c>
      <c r="H125" s="3">
        <v>45947</v>
      </c>
      <c r="I125">
        <v>5719.7206413000004</v>
      </c>
      <c r="J125">
        <v>566.24</v>
      </c>
      <c r="M125" s="3">
        <v>45947</v>
      </c>
      <c r="N125">
        <f t="shared" si="2"/>
        <v>1.1815507231763609</v>
      </c>
      <c r="O125">
        <f t="shared" si="3"/>
        <v>1.0822836827921023</v>
      </c>
      <c r="P125">
        <v>1.1776102001015509</v>
      </c>
    </row>
    <row r="126" spans="1:16" x14ac:dyDescent="0.2">
      <c r="A126" s="3">
        <v>45947</v>
      </c>
      <c r="B126">
        <v>5719.7206413000004</v>
      </c>
      <c r="C126">
        <v>566.24</v>
      </c>
      <c r="G126" s="3">
        <v>45950</v>
      </c>
      <c r="H126" s="3">
        <v>45950</v>
      </c>
      <c r="I126">
        <v>5786.2145274149998</v>
      </c>
      <c r="J126">
        <v>572.1</v>
      </c>
      <c r="M126" s="3">
        <v>45950</v>
      </c>
      <c r="N126">
        <f t="shared" si="2"/>
        <v>1.1952866910938653</v>
      </c>
      <c r="O126">
        <f t="shared" si="3"/>
        <v>1.0934842026797147</v>
      </c>
      <c r="P126">
        <v>1.1965560630315906</v>
      </c>
    </row>
    <row r="127" spans="1:16" x14ac:dyDescent="0.2">
      <c r="A127" s="3">
        <v>45950</v>
      </c>
      <c r="B127">
        <v>5786.2145274149998</v>
      </c>
      <c r="C127">
        <v>572.1</v>
      </c>
      <c r="G127" s="3">
        <v>45951</v>
      </c>
      <c r="H127" s="3">
        <v>45951</v>
      </c>
      <c r="I127">
        <v>5807.3547703300001</v>
      </c>
      <c r="J127">
        <v>573.29999999999995</v>
      </c>
      <c r="M127" s="3">
        <v>45951</v>
      </c>
      <c r="N127">
        <f t="shared" si="2"/>
        <v>1.1996537346735785</v>
      </c>
      <c r="O127">
        <f t="shared" si="3"/>
        <v>1.0957778244997036</v>
      </c>
      <c r="P127">
        <v>1.1892051948010853</v>
      </c>
    </row>
    <row r="128" spans="1:16" x14ac:dyDescent="0.2">
      <c r="A128" s="3">
        <v>45951</v>
      </c>
      <c r="B128">
        <v>5807.3547703300001</v>
      </c>
      <c r="C128">
        <v>573.29999999999995</v>
      </c>
      <c r="G128" s="3">
        <v>45952</v>
      </c>
      <c r="H128" s="3">
        <v>45952</v>
      </c>
      <c r="I128">
        <v>5770.3962691919996</v>
      </c>
      <c r="J128">
        <v>572.29</v>
      </c>
      <c r="M128" s="3">
        <v>45952</v>
      </c>
      <c r="N128">
        <f t="shared" si="2"/>
        <v>1.19201903597312</v>
      </c>
      <c r="O128">
        <f t="shared" si="3"/>
        <v>1.0938473594678795</v>
      </c>
      <c r="P128">
        <v>1.1762231797959759</v>
      </c>
    </row>
    <row r="129" spans="1:16" x14ac:dyDescent="0.2">
      <c r="A129" s="3">
        <v>45952</v>
      </c>
      <c r="B129">
        <v>5770.3962691919996</v>
      </c>
      <c r="C129">
        <v>572.29</v>
      </c>
      <c r="G129" s="3">
        <v>45953</v>
      </c>
      <c r="H129" s="3">
        <v>45953</v>
      </c>
      <c r="I129">
        <v>5800.5145565370003</v>
      </c>
      <c r="J129">
        <v>574.42999999999995</v>
      </c>
      <c r="M129" s="3">
        <v>45953</v>
      </c>
      <c r="N129">
        <f t="shared" si="2"/>
        <v>1.1982407181889199</v>
      </c>
      <c r="O129">
        <f t="shared" si="3"/>
        <v>1.0979376517135264</v>
      </c>
      <c r="P129">
        <v>1.1687652887822815</v>
      </c>
    </row>
    <row r="130" spans="1:16" x14ac:dyDescent="0.2">
      <c r="A130" s="3">
        <v>45953</v>
      </c>
      <c r="B130">
        <v>5800.5145565370003</v>
      </c>
      <c r="C130">
        <v>574.42999999999995</v>
      </c>
      <c r="G130" s="3">
        <v>45954</v>
      </c>
      <c r="H130" s="3">
        <v>45954</v>
      </c>
      <c r="I130">
        <v>5842.3508406359997</v>
      </c>
      <c r="J130">
        <v>575.76</v>
      </c>
      <c r="M130" s="3">
        <v>45954</v>
      </c>
      <c r="N130">
        <f t="shared" si="2"/>
        <v>1.2068830444198997</v>
      </c>
      <c r="O130">
        <f t="shared" si="3"/>
        <v>1.1004797492306808</v>
      </c>
      <c r="P130">
        <v>1.172543133089673</v>
      </c>
    </row>
    <row r="131" spans="1:16" x14ac:dyDescent="0.2">
      <c r="A131" s="3">
        <v>45954</v>
      </c>
      <c r="B131">
        <v>5842.3508406359997</v>
      </c>
      <c r="C131">
        <v>575.76</v>
      </c>
      <c r="G131" s="3">
        <v>45957</v>
      </c>
      <c r="H131" s="3">
        <v>45957</v>
      </c>
      <c r="I131">
        <v>5905.0035098409999</v>
      </c>
      <c r="J131">
        <v>577.03</v>
      </c>
      <c r="M131" s="3">
        <v>45957</v>
      </c>
      <c r="N131">
        <f t="shared" si="2"/>
        <v>1.2198255133358766</v>
      </c>
      <c r="O131">
        <f t="shared" si="3"/>
        <v>1.1029071656568359</v>
      </c>
      <c r="P131">
        <v>1.1820542128829798</v>
      </c>
    </row>
    <row r="132" spans="1:16" x14ac:dyDescent="0.2">
      <c r="A132" s="3">
        <v>45957</v>
      </c>
      <c r="B132">
        <v>5905.0035098409999</v>
      </c>
      <c r="C132">
        <v>577.03</v>
      </c>
      <c r="G132" s="3">
        <v>45958</v>
      </c>
      <c r="H132" s="3">
        <v>45958</v>
      </c>
      <c r="I132">
        <v>5914.9318759079997</v>
      </c>
      <c r="J132">
        <v>575.76</v>
      </c>
      <c r="M132" s="3">
        <v>45958</v>
      </c>
      <c r="N132">
        <f t="shared" ref="N132:N150" si="4">I132/$I$2</f>
        <v>1.2218764645697042</v>
      </c>
      <c r="O132">
        <f t="shared" ref="O132:O150" si="5">J132/$J$2</f>
        <v>1.1004797492306808</v>
      </c>
      <c r="P132">
        <v>1.1787661064433979</v>
      </c>
    </row>
    <row r="133" spans="1:16" x14ac:dyDescent="0.2">
      <c r="A133" s="3">
        <v>45958</v>
      </c>
      <c r="B133">
        <v>5914.9318759079997</v>
      </c>
      <c r="C133">
        <v>575.76</v>
      </c>
      <c r="G133" s="3">
        <v>45959</v>
      </c>
      <c r="H133" s="3">
        <v>45959</v>
      </c>
      <c r="I133">
        <v>5940.6506761800001</v>
      </c>
      <c r="J133">
        <v>575.4</v>
      </c>
      <c r="M133" s="3">
        <v>45959</v>
      </c>
      <c r="N133">
        <f t="shared" si="4"/>
        <v>1.2271893231805233</v>
      </c>
      <c r="O133">
        <f t="shared" si="5"/>
        <v>1.0997916626846842</v>
      </c>
      <c r="P133">
        <v>1.1941530814579482</v>
      </c>
    </row>
    <row r="134" spans="1:16" x14ac:dyDescent="0.2">
      <c r="A134" s="3">
        <v>45959</v>
      </c>
      <c r="B134">
        <v>5940.6506761800001</v>
      </c>
      <c r="C134">
        <v>575.4</v>
      </c>
      <c r="G134" s="3">
        <v>45960</v>
      </c>
      <c r="H134" s="3">
        <v>45960</v>
      </c>
      <c r="I134">
        <v>5899.1412106039998</v>
      </c>
      <c r="J134">
        <v>574.83000000000004</v>
      </c>
      <c r="M134" s="3">
        <v>45960</v>
      </c>
      <c r="N134">
        <f t="shared" si="4"/>
        <v>1.2186145094534599</v>
      </c>
      <c r="O134">
        <f t="shared" si="5"/>
        <v>1.0987021923201896</v>
      </c>
      <c r="P134">
        <v>1.2027460211917782</v>
      </c>
    </row>
    <row r="135" spans="1:16" x14ac:dyDescent="0.2">
      <c r="A135" s="3">
        <v>45960</v>
      </c>
      <c r="B135">
        <v>5899.1412106039998</v>
      </c>
      <c r="C135">
        <v>574.83000000000004</v>
      </c>
      <c r="G135" s="3">
        <v>45961</v>
      </c>
      <c r="H135" s="3">
        <v>45961</v>
      </c>
      <c r="I135">
        <v>5930.4522729</v>
      </c>
      <c r="J135">
        <v>571.89</v>
      </c>
      <c r="M135" s="3">
        <v>45961</v>
      </c>
      <c r="N135">
        <f t="shared" si="4"/>
        <v>1.2250825890362507</v>
      </c>
      <c r="O135">
        <f t="shared" si="5"/>
        <v>1.0930828188612167</v>
      </c>
      <c r="P135">
        <v>1.2171877066856496</v>
      </c>
    </row>
    <row r="136" spans="1:16" x14ac:dyDescent="0.2">
      <c r="A136" s="3">
        <v>45961</v>
      </c>
      <c r="B136">
        <v>5930.4522729</v>
      </c>
      <c r="C136">
        <v>571.89</v>
      </c>
      <c r="G136" s="3">
        <v>45964</v>
      </c>
      <c r="H136" s="3">
        <v>45964</v>
      </c>
      <c r="I136">
        <v>5948.9460086070003</v>
      </c>
      <c r="J136">
        <v>572.28</v>
      </c>
      <c r="M136" s="3">
        <v>45964</v>
      </c>
      <c r="N136">
        <f t="shared" si="4"/>
        <v>1.2289029306524231</v>
      </c>
      <c r="O136">
        <f t="shared" si="5"/>
        <v>1.0938282459527131</v>
      </c>
      <c r="P136">
        <v>1.2302417702412078</v>
      </c>
    </row>
    <row r="137" spans="1:16" x14ac:dyDescent="0.2">
      <c r="A137" s="3">
        <v>45964</v>
      </c>
      <c r="B137">
        <v>5948.9460086070003</v>
      </c>
      <c r="C137">
        <v>572.28</v>
      </c>
      <c r="G137" s="3">
        <v>45965</v>
      </c>
      <c r="H137" s="3">
        <v>45965</v>
      </c>
      <c r="I137">
        <v>5897.5438641749997</v>
      </c>
      <c r="J137">
        <v>570.58000000000004</v>
      </c>
      <c r="M137" s="3">
        <v>45965</v>
      </c>
      <c r="N137">
        <f t="shared" si="4"/>
        <v>1.2182845377735985</v>
      </c>
      <c r="O137">
        <f t="shared" si="5"/>
        <v>1.0905789483743955</v>
      </c>
      <c r="P137">
        <v>1.209189401861259</v>
      </c>
    </row>
    <row r="138" spans="1:16" x14ac:dyDescent="0.2">
      <c r="A138" s="3">
        <v>45965</v>
      </c>
      <c r="B138">
        <v>5897.5438641749997</v>
      </c>
      <c r="C138">
        <v>570.58000000000004</v>
      </c>
      <c r="G138" s="3">
        <v>45966</v>
      </c>
      <c r="H138" s="3">
        <v>45966</v>
      </c>
      <c r="I138">
        <v>5914.4708503499996</v>
      </c>
      <c r="J138">
        <v>571.9</v>
      </c>
      <c r="M138" s="3">
        <v>45966</v>
      </c>
      <c r="N138">
        <f t="shared" si="4"/>
        <v>1.2217812282608671</v>
      </c>
      <c r="O138">
        <f t="shared" si="5"/>
        <v>1.0931019323763831</v>
      </c>
      <c r="P138">
        <v>1.201541311753124</v>
      </c>
    </row>
    <row r="139" spans="1:16" x14ac:dyDescent="0.2">
      <c r="A139" s="3">
        <v>45966</v>
      </c>
      <c r="B139">
        <v>5914.4708503499996</v>
      </c>
      <c r="C139">
        <v>571.9</v>
      </c>
      <c r="G139" s="3">
        <v>45967</v>
      </c>
      <c r="H139" s="3">
        <v>45967</v>
      </c>
      <c r="I139">
        <v>5819.9988162030004</v>
      </c>
      <c r="J139">
        <v>567.9</v>
      </c>
      <c r="M139" s="3">
        <v>45967</v>
      </c>
      <c r="N139">
        <f t="shared" si="4"/>
        <v>1.2022656771935061</v>
      </c>
      <c r="O139">
        <f t="shared" si="5"/>
        <v>1.0854565263097535</v>
      </c>
      <c r="P139">
        <v>1.2089774535328499</v>
      </c>
    </row>
    <row r="140" spans="1:16" x14ac:dyDescent="0.2">
      <c r="A140" s="3">
        <v>45967</v>
      </c>
      <c r="B140">
        <v>5819.9988162030004</v>
      </c>
      <c r="C140">
        <v>567.9</v>
      </c>
      <c r="G140" s="3">
        <v>45968</v>
      </c>
      <c r="H140" s="3">
        <v>45968</v>
      </c>
      <c r="I140">
        <v>5818.2597351479999</v>
      </c>
      <c r="J140">
        <v>564.79</v>
      </c>
      <c r="M140" s="3">
        <v>45968</v>
      </c>
      <c r="N140">
        <f t="shared" si="4"/>
        <v>1.2019064266973609</v>
      </c>
      <c r="O140">
        <f t="shared" si="5"/>
        <v>1.0795122230929488</v>
      </c>
      <c r="P140">
        <v>1.2113870375271625</v>
      </c>
    </row>
    <row r="141" spans="1:16" x14ac:dyDescent="0.2">
      <c r="A141" s="3">
        <v>45968</v>
      </c>
      <c r="B141">
        <v>5818.2597351479999</v>
      </c>
      <c r="C141">
        <v>564.79</v>
      </c>
      <c r="G141" s="3">
        <v>45971</v>
      </c>
      <c r="H141" s="3">
        <v>45971</v>
      </c>
      <c r="I141">
        <v>5912.4434735699997</v>
      </c>
      <c r="J141">
        <v>572.82000000000005</v>
      </c>
      <c r="M141" s="3">
        <v>45971</v>
      </c>
      <c r="N141">
        <f t="shared" si="4"/>
        <v>1.2213624231039748</v>
      </c>
      <c r="O141">
        <f t="shared" si="5"/>
        <v>1.0948603757717081</v>
      </c>
      <c r="P141">
        <v>1.2260109506998436</v>
      </c>
    </row>
    <row r="142" spans="1:16" x14ac:dyDescent="0.2">
      <c r="A142" s="3">
        <v>45971</v>
      </c>
      <c r="B142">
        <v>5912.4434735699997</v>
      </c>
      <c r="C142">
        <v>572.82000000000005</v>
      </c>
      <c r="G142" s="3">
        <v>45972</v>
      </c>
      <c r="H142" s="3">
        <v>45972</v>
      </c>
      <c r="I142">
        <v>5912.4621585519999</v>
      </c>
      <c r="J142">
        <v>580.13</v>
      </c>
      <c r="M142" s="3">
        <v>45972</v>
      </c>
      <c r="N142">
        <f t="shared" si="4"/>
        <v>1.2213662829522749</v>
      </c>
      <c r="O142">
        <f t="shared" si="5"/>
        <v>1.1088323553584738</v>
      </c>
      <c r="P142">
        <v>1.2245067044887066</v>
      </c>
    </row>
    <row r="143" spans="1:16" x14ac:dyDescent="0.2">
      <c r="A143" s="3">
        <v>45972</v>
      </c>
      <c r="B143">
        <v>5912.4621585519999</v>
      </c>
      <c r="C143">
        <v>580.13</v>
      </c>
      <c r="G143" s="3">
        <v>45973</v>
      </c>
      <c r="H143" s="3">
        <v>45973</v>
      </c>
      <c r="I143">
        <v>5910.0116278900005</v>
      </c>
      <c r="J143">
        <v>584.23</v>
      </c>
      <c r="M143" s="3">
        <v>45973</v>
      </c>
      <c r="N143">
        <f t="shared" si="4"/>
        <v>1.2208600648242522</v>
      </c>
      <c r="O143">
        <f t="shared" si="5"/>
        <v>1.1166688965767693</v>
      </c>
      <c r="P143">
        <v>1.225636632865901</v>
      </c>
    </row>
    <row r="144" spans="1:16" x14ac:dyDescent="0.2">
      <c r="A144" s="3">
        <v>45973</v>
      </c>
      <c r="B144">
        <v>5910.0116278900005</v>
      </c>
      <c r="C144">
        <v>584.23</v>
      </c>
      <c r="G144" s="3">
        <v>45974</v>
      </c>
      <c r="H144" s="3">
        <v>45974</v>
      </c>
      <c r="I144">
        <v>5792.6906595990004</v>
      </c>
      <c r="J144">
        <v>580.66999999999996</v>
      </c>
      <c r="M144" s="3">
        <v>45974</v>
      </c>
      <c r="N144">
        <f t="shared" si="4"/>
        <v>1.1966244974563194</v>
      </c>
      <c r="O144">
        <f t="shared" si="5"/>
        <v>1.1098644851774688</v>
      </c>
      <c r="P144">
        <v>1.2090697491997999</v>
      </c>
    </row>
    <row r="145" spans="1:16" x14ac:dyDescent="0.2">
      <c r="A145" s="3">
        <v>45974</v>
      </c>
      <c r="B145">
        <v>5792.6906595990004</v>
      </c>
      <c r="C145">
        <v>580.66999999999996</v>
      </c>
      <c r="G145" s="3">
        <v>45975</v>
      </c>
      <c r="H145" s="3">
        <v>45975</v>
      </c>
      <c r="I145">
        <v>5795.3083273129996</v>
      </c>
      <c r="J145">
        <v>574.80999999999995</v>
      </c>
      <c r="M145" s="3">
        <v>45975</v>
      </c>
      <c r="N145">
        <f t="shared" si="4"/>
        <v>1.1971652419042524</v>
      </c>
      <c r="O145">
        <f t="shared" si="5"/>
        <v>1.0986639652898562</v>
      </c>
      <c r="P145">
        <v>1.220080611480471</v>
      </c>
    </row>
    <row r="146" spans="1:16" x14ac:dyDescent="0.2">
      <c r="A146" s="3">
        <v>45975</v>
      </c>
      <c r="B146">
        <v>5795.3083273129996</v>
      </c>
      <c r="C146">
        <v>574.80999999999995</v>
      </c>
      <c r="G146" s="3">
        <v>45978</v>
      </c>
      <c r="H146" s="3">
        <v>45978</v>
      </c>
      <c r="I146">
        <v>5757.0234525960004</v>
      </c>
      <c r="J146">
        <v>571.67999999999995</v>
      </c>
      <c r="M146" s="3">
        <v>45978</v>
      </c>
      <c r="N146">
        <f t="shared" si="4"/>
        <v>1.1892565477134982</v>
      </c>
      <c r="O146">
        <f t="shared" si="5"/>
        <v>1.0926814350427185</v>
      </c>
      <c r="P146">
        <v>1.2210829961346137</v>
      </c>
    </row>
    <row r="147" spans="1:16" x14ac:dyDescent="0.2">
      <c r="A147" s="3">
        <v>45978</v>
      </c>
      <c r="B147">
        <v>5757.0234525960004</v>
      </c>
      <c r="C147">
        <v>571.67999999999995</v>
      </c>
      <c r="G147" s="3">
        <v>45979</v>
      </c>
      <c r="H147" s="3">
        <v>45979</v>
      </c>
      <c r="I147">
        <v>5714.9161579629999</v>
      </c>
      <c r="J147">
        <v>561.86</v>
      </c>
      <c r="M147" s="3">
        <v>45979</v>
      </c>
      <c r="N147">
        <f t="shared" si="4"/>
        <v>1.1805582375083841</v>
      </c>
      <c r="O147">
        <f t="shared" si="5"/>
        <v>1.0739119631491427</v>
      </c>
      <c r="P147">
        <v>1.2171876305177147</v>
      </c>
    </row>
    <row r="148" spans="1:16" x14ac:dyDescent="0.2">
      <c r="A148" s="3">
        <v>45979</v>
      </c>
      <c r="B148">
        <v>5714.9161579629999</v>
      </c>
      <c r="C148">
        <v>561.86</v>
      </c>
      <c r="G148" s="3">
        <v>45980</v>
      </c>
      <c r="H148" s="3">
        <v>45980</v>
      </c>
      <c r="I148">
        <v>5757.7550957249996</v>
      </c>
      <c r="J148">
        <v>561.71</v>
      </c>
      <c r="M148" s="3">
        <v>45980</v>
      </c>
      <c r="N148">
        <f t="shared" si="4"/>
        <v>1.1894076868201766</v>
      </c>
      <c r="O148">
        <f t="shared" si="5"/>
        <v>1.0736252604216441</v>
      </c>
      <c r="P148">
        <v>1.2277489068064049</v>
      </c>
    </row>
    <row r="149" spans="1:16" x14ac:dyDescent="0.2">
      <c r="A149" s="3">
        <v>45980</v>
      </c>
      <c r="B149">
        <v>5757.7550957249996</v>
      </c>
      <c r="C149">
        <v>561.71</v>
      </c>
      <c r="G149" s="3">
        <v>45981</v>
      </c>
      <c r="H149" s="3">
        <v>45981</v>
      </c>
      <c r="I149">
        <v>5672.5728051309998</v>
      </c>
      <c r="J149">
        <v>563.94000000000005</v>
      </c>
      <c r="M149" s="3">
        <v>45981</v>
      </c>
      <c r="N149">
        <f t="shared" si="4"/>
        <v>1.1718111636042658</v>
      </c>
      <c r="O149">
        <f t="shared" si="5"/>
        <v>1.0778875743037901</v>
      </c>
      <c r="P149">
        <v>1.2158425355356564</v>
      </c>
    </row>
    <row r="150" spans="1:16" x14ac:dyDescent="0.2">
      <c r="A150" s="3">
        <v>45981</v>
      </c>
      <c r="B150">
        <v>5672.5728051309998</v>
      </c>
      <c r="C150">
        <v>563.94000000000005</v>
      </c>
      <c r="G150" s="3">
        <v>45982</v>
      </c>
      <c r="H150" s="3">
        <v>45982</v>
      </c>
      <c r="I150">
        <v>5672.5728051309998</v>
      </c>
      <c r="J150">
        <v>562.1</v>
      </c>
      <c r="M150" s="3">
        <v>45982</v>
      </c>
      <c r="N150">
        <f t="shared" si="4"/>
        <v>1.1718111636042658</v>
      </c>
      <c r="O150">
        <f t="shared" si="5"/>
        <v>1.0743706875131405</v>
      </c>
      <c r="P150">
        <v>1.1942726804327675</v>
      </c>
    </row>
    <row r="151" spans="1:16" x14ac:dyDescent="0.2">
      <c r="A151" s="3">
        <v>45981</v>
      </c>
      <c r="B151">
        <v>5672.5728051309998</v>
      </c>
      <c r="C151" s="2" t="s">
        <v>20</v>
      </c>
    </row>
    <row r="152" spans="1:16" x14ac:dyDescent="0.2">
      <c r="A152" s="3">
        <v>45981</v>
      </c>
      <c r="B152" s="2">
        <v>5672.5728051309998</v>
      </c>
      <c r="C152" s="2" t="s">
        <v>20</v>
      </c>
    </row>
    <row r="153" spans="1:16" x14ac:dyDescent="0.2">
      <c r="A153" s="3">
        <v>45803</v>
      </c>
      <c r="B153" s="2" t="s">
        <v>20</v>
      </c>
      <c r="C153">
        <v>550.5</v>
      </c>
    </row>
    <row r="154" spans="1:16" x14ac:dyDescent="0.2">
      <c r="A154" s="3">
        <v>45827</v>
      </c>
      <c r="B154" s="2" t="s">
        <v>20</v>
      </c>
      <c r="C154">
        <v>535.86</v>
      </c>
    </row>
    <row r="155" spans="1:16" x14ac:dyDescent="0.2">
      <c r="A155" s="3">
        <v>45842</v>
      </c>
      <c r="B155" s="2" t="s">
        <v>20</v>
      </c>
      <c r="C155">
        <v>541.13</v>
      </c>
    </row>
    <row r="156" spans="1:16" x14ac:dyDescent="0.2">
      <c r="A156" s="3">
        <v>45901</v>
      </c>
      <c r="B156" s="2" t="s">
        <v>20</v>
      </c>
      <c r="C156">
        <v>551.42999999999995</v>
      </c>
    </row>
    <row r="157" spans="1:16" x14ac:dyDescent="0.2">
      <c r="A157" s="3">
        <v>45982</v>
      </c>
      <c r="B157" s="2" t="s">
        <v>20</v>
      </c>
      <c r="C157">
        <v>562.1</v>
      </c>
    </row>
    <row r="158" spans="1:16" x14ac:dyDescent="0.2">
      <c r="A158" s="3">
        <v>45982</v>
      </c>
      <c r="B158" s="2" t="s">
        <v>20</v>
      </c>
      <c r="C158">
        <v>562.1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3B4D-45CD-436D-BC69-91CBB2D30EFF}">
  <dimension ref="A1:AX170"/>
  <sheetViews>
    <sheetView zoomScale="85" zoomScaleNormal="85" workbookViewId="0">
      <selection activeCell="AE173" sqref="AE173"/>
    </sheetView>
  </sheetViews>
  <sheetFormatPr baseColWidth="10" defaultColWidth="8.83203125" defaultRowHeight="15" x14ac:dyDescent="0.2"/>
  <cols>
    <col min="1" max="1" width="31.1640625" customWidth="1"/>
    <col min="23" max="23" width="25.83203125" customWidth="1"/>
    <col min="43" max="43" width="12.1640625" customWidth="1"/>
    <col min="44" max="44" width="24" customWidth="1"/>
    <col min="45" max="45" width="30.83203125" customWidth="1"/>
    <col min="46" max="46" width="36.1640625" customWidth="1"/>
    <col min="47" max="47" width="45.5" customWidth="1"/>
    <col min="48" max="48" width="30.1640625" customWidth="1"/>
    <col min="49" max="49" width="22.1640625" customWidth="1"/>
    <col min="50" max="50" width="11.6640625" customWidth="1"/>
    <col min="51" max="51" width="14.83203125" customWidth="1"/>
  </cols>
  <sheetData>
    <row r="1" spans="1:50" x14ac:dyDescent="0.2">
      <c r="A1" s="4" t="s">
        <v>21</v>
      </c>
      <c r="B1" s="4">
        <v>50000</v>
      </c>
    </row>
    <row r="8" spans="1:50" x14ac:dyDescent="0.2">
      <c r="A8" t="s">
        <v>22</v>
      </c>
      <c r="B8">
        <v>4.999E-2</v>
      </c>
      <c r="C8">
        <v>4.999E-2</v>
      </c>
      <c r="D8">
        <v>4.9950000000000001E-2</v>
      </c>
      <c r="E8">
        <v>2.7959999999999999E-2</v>
      </c>
      <c r="F8">
        <v>2.1440000000000001E-2</v>
      </c>
      <c r="G8">
        <v>2.0449999999999999E-2</v>
      </c>
      <c r="H8">
        <v>2.0070000000000001E-2</v>
      </c>
      <c r="I8">
        <v>2.0060000000000001E-2</v>
      </c>
      <c r="J8">
        <v>2.002E-2</v>
      </c>
      <c r="K8">
        <v>2.002E-2</v>
      </c>
      <c r="L8">
        <v>2.001E-2</v>
      </c>
      <c r="M8">
        <v>2.001E-2</v>
      </c>
      <c r="N8">
        <v>2.001E-2</v>
      </c>
      <c r="O8">
        <v>2.001E-2</v>
      </c>
      <c r="P8">
        <v>2.001E-2</v>
      </c>
      <c r="Q8">
        <v>2.001E-2</v>
      </c>
      <c r="R8">
        <v>2.001E-2</v>
      </c>
      <c r="S8">
        <v>0.02</v>
      </c>
      <c r="T8">
        <v>0.02</v>
      </c>
      <c r="U8">
        <v>0.02</v>
      </c>
      <c r="V8" s="6"/>
      <c r="W8" t="s">
        <v>22</v>
      </c>
      <c r="X8">
        <v>4.9689999999999998E-2</v>
      </c>
      <c r="Y8">
        <v>4.9029999999999997E-2</v>
      </c>
      <c r="Z8">
        <v>4.8570000000000002E-2</v>
      </c>
      <c r="AA8">
        <v>2.8479999999999998E-2</v>
      </c>
      <c r="AB8">
        <v>2.2890000000000001E-2</v>
      </c>
      <c r="AC8">
        <v>2.0500000000000001E-2</v>
      </c>
      <c r="AD8">
        <v>2.027E-2</v>
      </c>
      <c r="AE8">
        <v>2.017E-2</v>
      </c>
      <c r="AF8">
        <v>2.0109999999999999E-2</v>
      </c>
      <c r="AG8">
        <v>2.0070000000000001E-2</v>
      </c>
      <c r="AH8">
        <v>2.0039999999999999E-2</v>
      </c>
      <c r="AI8">
        <v>2.0029999999999999E-2</v>
      </c>
      <c r="AJ8">
        <v>2.0029999999999999E-2</v>
      </c>
      <c r="AK8">
        <v>2.002E-2</v>
      </c>
      <c r="AL8">
        <v>2.002E-2</v>
      </c>
      <c r="AM8">
        <v>2.002E-2</v>
      </c>
      <c r="AN8">
        <v>2.001E-2</v>
      </c>
      <c r="AO8">
        <v>2.001E-2</v>
      </c>
      <c r="AP8">
        <v>2.001E-2</v>
      </c>
      <c r="AQ8">
        <v>2.001E-2</v>
      </c>
    </row>
    <row r="9" spans="1:50" x14ac:dyDescent="0.2">
      <c r="V9" s="6"/>
    </row>
    <row r="10" spans="1:50" x14ac:dyDescent="0.2">
      <c r="A10" s="2" t="s">
        <v>23</v>
      </c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8</v>
      </c>
      <c r="K10" s="2" t="s">
        <v>9</v>
      </c>
      <c r="L10" s="2" t="s">
        <v>10</v>
      </c>
      <c r="M10" s="2" t="s">
        <v>11</v>
      </c>
      <c r="N10" s="2" t="s">
        <v>12</v>
      </c>
      <c r="O10" s="2" t="s">
        <v>13</v>
      </c>
      <c r="P10" s="2" t="s">
        <v>14</v>
      </c>
      <c r="Q10" s="2" t="s">
        <v>15</v>
      </c>
      <c r="R10" s="2" t="s">
        <v>16</v>
      </c>
      <c r="S10" s="2" t="s">
        <v>17</v>
      </c>
      <c r="T10" s="2" t="s">
        <v>18</v>
      </c>
      <c r="U10" s="2" t="s">
        <v>19</v>
      </c>
      <c r="V10" s="6"/>
      <c r="W10" s="2"/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t="s">
        <v>92</v>
      </c>
      <c r="AS10" t="s">
        <v>94</v>
      </c>
      <c r="AT10" t="s">
        <v>93</v>
      </c>
      <c r="AU10" t="s">
        <v>99</v>
      </c>
      <c r="AV10" t="s">
        <v>95</v>
      </c>
      <c r="AW10" t="s">
        <v>96</v>
      </c>
      <c r="AX10" t="s">
        <v>706</v>
      </c>
    </row>
    <row r="11" spans="1:50" x14ac:dyDescent="0.2">
      <c r="A11" s="3">
        <v>45775</v>
      </c>
      <c r="B11">
        <v>754.4</v>
      </c>
      <c r="C11">
        <v>68.239999999999995</v>
      </c>
      <c r="D11">
        <v>2.657</v>
      </c>
      <c r="E11">
        <v>9.8800000000000008</v>
      </c>
      <c r="F11">
        <v>75.819999999999993</v>
      </c>
      <c r="G11">
        <v>7.1619999999999999</v>
      </c>
      <c r="H11">
        <v>31.26</v>
      </c>
      <c r="I11">
        <v>43.52</v>
      </c>
      <c r="J11">
        <v>36.07</v>
      </c>
      <c r="K11">
        <v>376.6</v>
      </c>
      <c r="L11">
        <v>93.12</v>
      </c>
      <c r="M11">
        <v>73.94</v>
      </c>
      <c r="N11">
        <v>5.8449999999999998</v>
      </c>
      <c r="O11">
        <v>158.69999999999999</v>
      </c>
      <c r="P11">
        <v>14.23</v>
      </c>
      <c r="Q11">
        <v>15695</v>
      </c>
      <c r="R11">
        <v>0.34129999999999999</v>
      </c>
      <c r="S11">
        <v>125.25</v>
      </c>
      <c r="T11">
        <v>12.95</v>
      </c>
      <c r="U11">
        <v>13.45</v>
      </c>
      <c r="V11" s="6"/>
      <c r="W11" s="3">
        <v>45775</v>
      </c>
      <c r="X11">
        <v>2964</v>
      </c>
      <c r="Y11">
        <v>601.5</v>
      </c>
      <c r="Z11">
        <v>97.26</v>
      </c>
      <c r="AA11">
        <v>4.9720000000000004</v>
      </c>
      <c r="AB11">
        <v>580.6</v>
      </c>
      <c r="AC11">
        <v>158.30000000000001</v>
      </c>
      <c r="AD11">
        <v>151.94999999999999</v>
      </c>
      <c r="AE11">
        <v>3870</v>
      </c>
      <c r="AF11">
        <v>186</v>
      </c>
      <c r="AG11">
        <v>4090</v>
      </c>
      <c r="AH11">
        <v>2728</v>
      </c>
      <c r="AI11">
        <v>265.10000000000002</v>
      </c>
      <c r="AJ11">
        <v>65.431564800000004</v>
      </c>
      <c r="AK11">
        <v>40.119999999999997</v>
      </c>
      <c r="AL11">
        <v>71.599999999999994</v>
      </c>
      <c r="AM11">
        <v>949</v>
      </c>
      <c r="AN11">
        <v>487.2</v>
      </c>
      <c r="AO11">
        <v>5870</v>
      </c>
      <c r="AP11">
        <v>76.92</v>
      </c>
      <c r="AQ11">
        <v>140.89555350000001</v>
      </c>
      <c r="AR11" cm="1">
        <f t="array" ref="AR11">SUMPRODUCT($B$162:$U$162,(B11:U11)/($B$11:$U$11))</f>
        <v>25001</v>
      </c>
      <c r="AS11">
        <v>25001</v>
      </c>
      <c r="AT11">
        <v>1</v>
      </c>
      <c r="AU11" cm="1">
        <f t="array" ref="AU11">SUMPRODUCT($X$162:$AQ$162,(X11:AQ11)/($X$11:$AQ$11))</f>
        <v>24999</v>
      </c>
      <c r="AV11">
        <v>24999</v>
      </c>
      <c r="AW11">
        <v>0</v>
      </c>
      <c r="AX11">
        <v>0</v>
      </c>
    </row>
    <row r="12" spans="1:50" x14ac:dyDescent="0.2">
      <c r="A12" s="3">
        <v>45776</v>
      </c>
      <c r="B12">
        <v>752.8</v>
      </c>
      <c r="C12">
        <v>69.760000000000005</v>
      </c>
      <c r="D12">
        <v>2.617</v>
      </c>
      <c r="E12">
        <v>9.98</v>
      </c>
      <c r="F12">
        <v>75.84</v>
      </c>
      <c r="G12">
        <v>7.2619999999999996</v>
      </c>
      <c r="H12">
        <v>31.32</v>
      </c>
      <c r="I12">
        <v>43.48</v>
      </c>
      <c r="J12">
        <v>36.68</v>
      </c>
      <c r="K12">
        <v>377.4</v>
      </c>
      <c r="L12">
        <v>94.58</v>
      </c>
      <c r="M12">
        <v>73.58</v>
      </c>
      <c r="N12">
        <v>5.96</v>
      </c>
      <c r="O12">
        <v>159.5</v>
      </c>
      <c r="P12">
        <v>14.83</v>
      </c>
      <c r="Q12">
        <v>15600</v>
      </c>
      <c r="R12">
        <v>0.3483</v>
      </c>
      <c r="S12">
        <v>124.5</v>
      </c>
      <c r="T12">
        <v>13.16</v>
      </c>
      <c r="U12">
        <v>13.33</v>
      </c>
      <c r="V12" s="6"/>
      <c r="W12" s="3">
        <v>45776</v>
      </c>
      <c r="X12">
        <v>3012</v>
      </c>
      <c r="Y12">
        <v>609</v>
      </c>
      <c r="Z12">
        <v>100.75</v>
      </c>
      <c r="AA12">
        <v>5.0179999999999998</v>
      </c>
      <c r="AB12">
        <v>586.79999999999995</v>
      </c>
      <c r="AC12">
        <v>155.9</v>
      </c>
      <c r="AD12">
        <v>153.6</v>
      </c>
      <c r="AE12">
        <v>3917</v>
      </c>
      <c r="AF12">
        <v>179.4</v>
      </c>
      <c r="AG12">
        <v>3993</v>
      </c>
      <c r="AH12">
        <v>2740</v>
      </c>
      <c r="AI12">
        <v>268.89999999999998</v>
      </c>
      <c r="AJ12">
        <v>60.952618399999999</v>
      </c>
      <c r="AK12">
        <v>39.89</v>
      </c>
      <c r="AL12">
        <v>71.25</v>
      </c>
      <c r="AM12">
        <v>950.2</v>
      </c>
      <c r="AN12">
        <v>493.2</v>
      </c>
      <c r="AO12">
        <v>5775</v>
      </c>
      <c r="AP12">
        <v>77.16</v>
      </c>
      <c r="AQ12">
        <v>143.2854978</v>
      </c>
      <c r="AR12" cm="1">
        <f t="array" ref="AR12">SUMPRODUCT($B$162:$U$162,(B12:U12)/($B$11:$U$11))</f>
        <v>25156.042603137488</v>
      </c>
      <c r="AS12">
        <f t="shared" ref="AS12:AS75" si="0">AR12-AR11</f>
        <v>155.04260313748819</v>
      </c>
      <c r="AT12">
        <f>AR12/AR11-1</f>
        <v>6.2014560672567498E-3</v>
      </c>
      <c r="AU12" cm="1">
        <f t="array" ref="AU12">SUMPRODUCT($X$162:$AQ$162,(X12:AQ12)/($X$11:$AQ$11))</f>
        <v>25087.639955804854</v>
      </c>
      <c r="AV12">
        <f>AU12-AU11</f>
        <v>88.639955804854253</v>
      </c>
      <c r="AW12">
        <f>IF(AV12&gt;0, -AV12, ABS(AV12))</f>
        <v>-88.639955804854253</v>
      </c>
      <c r="AX12">
        <f>AS12+AW12</f>
        <v>66.402647332633933</v>
      </c>
    </row>
    <row r="13" spans="1:50" x14ac:dyDescent="0.2">
      <c r="A13" s="3">
        <v>45777</v>
      </c>
      <c r="B13">
        <v>754.2</v>
      </c>
      <c r="C13">
        <v>67.540000000000006</v>
      </c>
      <c r="D13">
        <v>2.5640000000000001</v>
      </c>
      <c r="E13">
        <v>9.7940000000000005</v>
      </c>
      <c r="F13">
        <v>72.38</v>
      </c>
      <c r="G13">
        <v>7.1379999999999999</v>
      </c>
      <c r="H13">
        <v>32.24</v>
      </c>
      <c r="I13">
        <v>44.14</v>
      </c>
      <c r="J13">
        <v>35.78</v>
      </c>
      <c r="K13">
        <v>376.4</v>
      </c>
      <c r="L13">
        <v>95.32</v>
      </c>
      <c r="M13">
        <v>74.52</v>
      </c>
      <c r="N13">
        <v>5.915</v>
      </c>
      <c r="O13">
        <v>160.15</v>
      </c>
      <c r="P13">
        <v>14.8</v>
      </c>
      <c r="Q13">
        <v>15400</v>
      </c>
      <c r="R13">
        <v>0.34799999999999998</v>
      </c>
      <c r="S13">
        <v>119.55</v>
      </c>
      <c r="T13">
        <v>13.47</v>
      </c>
      <c r="U13">
        <v>13.64</v>
      </c>
      <c r="V13" s="6"/>
      <c r="W13" s="3">
        <v>45777</v>
      </c>
      <c r="X13">
        <v>2951</v>
      </c>
      <c r="Y13">
        <v>607.5</v>
      </c>
      <c r="Z13">
        <v>101.55</v>
      </c>
      <c r="AA13">
        <v>5.0599999999999996</v>
      </c>
      <c r="AB13">
        <v>588.6</v>
      </c>
      <c r="AC13">
        <v>162.5</v>
      </c>
      <c r="AD13">
        <v>155.44999999999999</v>
      </c>
      <c r="AE13">
        <v>3982</v>
      </c>
      <c r="AF13">
        <v>181.8</v>
      </c>
      <c r="AG13">
        <v>3990</v>
      </c>
      <c r="AH13">
        <v>2756</v>
      </c>
      <c r="AI13">
        <v>269.3</v>
      </c>
      <c r="AJ13">
        <v>61.926302399999997</v>
      </c>
      <c r="AK13">
        <v>40.78</v>
      </c>
      <c r="AL13">
        <v>72.5</v>
      </c>
      <c r="AM13">
        <v>939.2</v>
      </c>
      <c r="AN13">
        <v>501</v>
      </c>
      <c r="AO13">
        <v>5875</v>
      </c>
      <c r="AP13">
        <v>77.08</v>
      </c>
      <c r="AQ13">
        <v>145.50870180000001</v>
      </c>
      <c r="AR13" cm="1">
        <f t="array" ref="AR13">SUMPRODUCT($B$162:$U$162,(B13:U13)/($B$11:$U$11))</f>
        <v>24962.509400963059</v>
      </c>
      <c r="AS13">
        <f t="shared" si="0"/>
        <v>-193.53320217442888</v>
      </c>
      <c r="AT13">
        <f t="shared" ref="AT13:AT76" si="1">AR13/AR12-1</f>
        <v>-7.6933087301375158E-3</v>
      </c>
      <c r="AU13" cm="1">
        <f t="array" ref="AU13">SUMPRODUCT($X$162:$AQ$162,(X13:AQ13)/($X$11:$AQ$11))</f>
        <v>25248.377005245609</v>
      </c>
      <c r="AV13">
        <f t="shared" ref="AV13:AV76" si="2">AU13-AU12</f>
        <v>160.73704944075507</v>
      </c>
      <c r="AW13">
        <f t="shared" ref="AW13:AW76" si="3">IF(AV13&gt;0, -AV13, ABS(AV13))</f>
        <v>-160.73704944075507</v>
      </c>
      <c r="AX13">
        <f t="shared" ref="AX13:AX76" si="4">AS13+AW13</f>
        <v>-354.27025161518395</v>
      </c>
    </row>
    <row r="14" spans="1:50" x14ac:dyDescent="0.2">
      <c r="A14" s="3">
        <v>45778</v>
      </c>
      <c r="B14">
        <v>754.2</v>
      </c>
      <c r="C14">
        <v>67.540000000000006</v>
      </c>
      <c r="D14">
        <v>2.5640000000000001</v>
      </c>
      <c r="E14">
        <v>9.7940000000000005</v>
      </c>
      <c r="F14">
        <v>72.38</v>
      </c>
      <c r="G14">
        <v>7.1379999999999999</v>
      </c>
      <c r="H14">
        <v>32.24</v>
      </c>
      <c r="I14">
        <v>44.14</v>
      </c>
      <c r="J14">
        <v>35.78</v>
      </c>
      <c r="K14">
        <v>388.7</v>
      </c>
      <c r="L14">
        <v>95.32</v>
      </c>
      <c r="M14">
        <v>74.52</v>
      </c>
      <c r="N14">
        <v>5.915</v>
      </c>
      <c r="O14">
        <v>160.15</v>
      </c>
      <c r="P14">
        <v>14.8</v>
      </c>
      <c r="Q14">
        <v>15400</v>
      </c>
      <c r="R14">
        <v>0.34799999999999998</v>
      </c>
      <c r="S14">
        <v>119.55</v>
      </c>
      <c r="T14">
        <v>13.47</v>
      </c>
      <c r="U14">
        <v>13.64</v>
      </c>
      <c r="V14" s="6"/>
      <c r="W14" s="3">
        <v>45778</v>
      </c>
      <c r="X14">
        <v>2951</v>
      </c>
      <c r="Y14">
        <v>607.5</v>
      </c>
      <c r="Z14">
        <v>101.55</v>
      </c>
      <c r="AA14">
        <v>5.0599999999999996</v>
      </c>
      <c r="AB14">
        <v>588.6</v>
      </c>
      <c r="AC14">
        <v>162.5</v>
      </c>
      <c r="AD14">
        <v>155.44999999999999</v>
      </c>
      <c r="AE14">
        <v>3982</v>
      </c>
      <c r="AF14">
        <v>181.8</v>
      </c>
      <c r="AG14">
        <v>4031</v>
      </c>
      <c r="AH14">
        <v>2778</v>
      </c>
      <c r="AI14">
        <v>269.3</v>
      </c>
      <c r="AJ14">
        <v>61.926302399999997</v>
      </c>
      <c r="AK14">
        <v>40.78</v>
      </c>
      <c r="AL14">
        <v>72.5</v>
      </c>
      <c r="AM14">
        <v>1003</v>
      </c>
      <c r="AN14">
        <v>502.5</v>
      </c>
      <c r="AO14">
        <v>5925</v>
      </c>
      <c r="AP14" s="2">
        <v>77.08</v>
      </c>
      <c r="AQ14">
        <v>148.7323476</v>
      </c>
      <c r="AR14" cm="1">
        <f t="array" ref="AR14">SUMPRODUCT($B$162:$U$162,(B14:U14)/($B$11:$U$11))</f>
        <v>24995.202709513247</v>
      </c>
      <c r="AS14">
        <f t="shared" si="0"/>
        <v>32.693308550187794</v>
      </c>
      <c r="AT14">
        <f t="shared" si="1"/>
        <v>1.3096963941023887E-3</v>
      </c>
      <c r="AU14" cm="1">
        <f t="array" ref="AU14">SUMPRODUCT($X$162:$AQ$162,(X14:AQ14)/($X$11:$AQ$11))</f>
        <v>25368.306704181054</v>
      </c>
      <c r="AV14">
        <f t="shared" si="2"/>
        <v>119.92969893544432</v>
      </c>
      <c r="AW14">
        <f t="shared" si="3"/>
        <v>-119.92969893544432</v>
      </c>
      <c r="AX14">
        <f t="shared" si="4"/>
        <v>-87.236390385256527</v>
      </c>
    </row>
    <row r="15" spans="1:50" x14ac:dyDescent="0.2">
      <c r="A15" s="3">
        <v>45779</v>
      </c>
      <c r="B15">
        <v>784</v>
      </c>
      <c r="C15">
        <v>72.599999999999994</v>
      </c>
      <c r="D15">
        <v>2.5299999999999998</v>
      </c>
      <c r="E15">
        <v>9.9939999999999998</v>
      </c>
      <c r="F15">
        <v>75</v>
      </c>
      <c r="G15">
        <v>7.3140000000000001</v>
      </c>
      <c r="H15">
        <v>32.68</v>
      </c>
      <c r="I15">
        <v>45.66</v>
      </c>
      <c r="J15">
        <v>36.71</v>
      </c>
      <c r="K15">
        <v>398.4</v>
      </c>
      <c r="L15">
        <v>95.02</v>
      </c>
      <c r="M15">
        <v>76.2</v>
      </c>
      <c r="N15">
        <v>5.99</v>
      </c>
      <c r="O15">
        <v>157.9</v>
      </c>
      <c r="P15">
        <v>15.17</v>
      </c>
      <c r="Q15">
        <v>15730</v>
      </c>
      <c r="R15">
        <v>0.35370000000000001</v>
      </c>
      <c r="S15">
        <v>123.05</v>
      </c>
      <c r="T15">
        <v>13.32</v>
      </c>
      <c r="U15">
        <v>13.67</v>
      </c>
      <c r="V15" s="6"/>
      <c r="W15" s="3">
        <v>45779</v>
      </c>
      <c r="X15">
        <v>3038</v>
      </c>
      <c r="Y15">
        <v>614.5</v>
      </c>
      <c r="Z15">
        <v>103.5</v>
      </c>
      <c r="AA15">
        <v>5.0220000000000002</v>
      </c>
      <c r="AB15">
        <v>599.79999999999995</v>
      </c>
      <c r="AC15">
        <v>166.9</v>
      </c>
      <c r="AD15">
        <v>156.19999999999999</v>
      </c>
      <c r="AE15">
        <v>4032</v>
      </c>
      <c r="AF15">
        <v>182</v>
      </c>
      <c r="AG15">
        <v>4079</v>
      </c>
      <c r="AH15">
        <v>2838</v>
      </c>
      <c r="AI15">
        <v>272.39999999999998</v>
      </c>
      <c r="AJ15">
        <v>62.510512800000001</v>
      </c>
      <c r="AK15">
        <v>42.68</v>
      </c>
      <c r="AL15">
        <v>71.400000000000006</v>
      </c>
      <c r="AM15">
        <v>1013.5</v>
      </c>
      <c r="AN15">
        <v>499.4</v>
      </c>
      <c r="AO15">
        <v>6115</v>
      </c>
      <c r="AP15">
        <v>77.900000000000006</v>
      </c>
      <c r="AQ15">
        <v>148.7323476</v>
      </c>
      <c r="AR15" cm="1">
        <f t="array" ref="AR15">SUMPRODUCT($B$162:$U$162,(B15:U15)/($B$11:$U$11))</f>
        <v>25539.047575444813</v>
      </c>
      <c r="AS15">
        <f t="shared" si="0"/>
        <v>543.84486593156544</v>
      </c>
      <c r="AT15">
        <f t="shared" si="1"/>
        <v>2.1757969809325761E-2</v>
      </c>
      <c r="AU15" cm="1">
        <f t="array" ref="AU15">SUMPRODUCT($X$162:$AQ$162,(X15:AQ15)/($X$11:$AQ$11))</f>
        <v>25711.504074201825</v>
      </c>
      <c r="AV15">
        <f t="shared" si="2"/>
        <v>343.1973700207709</v>
      </c>
      <c r="AW15">
        <f t="shared" si="3"/>
        <v>-343.1973700207709</v>
      </c>
      <c r="AX15">
        <f t="shared" si="4"/>
        <v>200.64749591079453</v>
      </c>
    </row>
    <row r="16" spans="1:50" x14ac:dyDescent="0.2">
      <c r="A16" s="3">
        <v>45783</v>
      </c>
      <c r="B16">
        <v>781.2</v>
      </c>
      <c r="C16">
        <v>72.92</v>
      </c>
      <c r="D16">
        <v>2.5150000000000001</v>
      </c>
      <c r="E16">
        <v>9.8460000000000001</v>
      </c>
      <c r="F16">
        <v>73.099999999999994</v>
      </c>
      <c r="G16">
        <v>7.3959999999999999</v>
      </c>
      <c r="H16">
        <v>33.08</v>
      </c>
      <c r="I16">
        <v>45.42</v>
      </c>
      <c r="J16">
        <v>36.89</v>
      </c>
      <c r="K16">
        <v>400.5</v>
      </c>
      <c r="L16">
        <v>95.46</v>
      </c>
      <c r="M16">
        <v>76.900000000000006</v>
      </c>
      <c r="N16">
        <v>6.06</v>
      </c>
      <c r="O16">
        <v>159.15</v>
      </c>
      <c r="P16">
        <v>15.24</v>
      </c>
      <c r="Q16">
        <v>15370</v>
      </c>
      <c r="R16">
        <v>0.35859999999999997</v>
      </c>
      <c r="S16">
        <v>123.45</v>
      </c>
      <c r="T16">
        <v>11.16</v>
      </c>
      <c r="U16">
        <v>13.67</v>
      </c>
      <c r="V16" s="6"/>
      <c r="W16" s="3">
        <v>45783</v>
      </c>
      <c r="X16">
        <v>3038</v>
      </c>
      <c r="Y16">
        <v>609</v>
      </c>
      <c r="Z16">
        <v>104.55</v>
      </c>
      <c r="AA16">
        <v>5.05</v>
      </c>
      <c r="AB16">
        <v>592.6</v>
      </c>
      <c r="AC16">
        <v>164.3</v>
      </c>
      <c r="AD16">
        <v>156.25</v>
      </c>
      <c r="AE16">
        <v>4032</v>
      </c>
      <c r="AF16">
        <v>184.6</v>
      </c>
      <c r="AG16">
        <v>4030</v>
      </c>
      <c r="AH16">
        <v>2842</v>
      </c>
      <c r="AI16">
        <v>271.39999999999998</v>
      </c>
      <c r="AJ16">
        <v>63.192091599999998</v>
      </c>
      <c r="AK16">
        <v>42.41</v>
      </c>
      <c r="AL16">
        <v>71.650000000000006</v>
      </c>
      <c r="AM16">
        <v>1011</v>
      </c>
      <c r="AN16">
        <v>507</v>
      </c>
      <c r="AO16">
        <v>6025</v>
      </c>
      <c r="AP16">
        <v>76.02</v>
      </c>
      <c r="AQ16">
        <v>148.8435078</v>
      </c>
      <c r="AR16" cm="1">
        <f t="array" ref="AR16">SUMPRODUCT($B$162:$U$162,(B16:U16)/($B$11:$U$11))</f>
        <v>25375.977101536373</v>
      </c>
      <c r="AS16">
        <f t="shared" si="0"/>
        <v>-163.07047390843945</v>
      </c>
      <c r="AT16">
        <f t="shared" si="1"/>
        <v>-6.3851431196372266E-3</v>
      </c>
      <c r="AU16" cm="1">
        <f t="array" ref="AU16">SUMPRODUCT($X$162:$AQ$162,(X16:AQ16)/($X$11:$AQ$11))</f>
        <v>25673.512122544194</v>
      </c>
      <c r="AV16">
        <f t="shared" si="2"/>
        <v>-37.991951657630125</v>
      </c>
      <c r="AW16">
        <f t="shared" si="3"/>
        <v>37.991951657630125</v>
      </c>
      <c r="AX16">
        <f t="shared" si="4"/>
        <v>-125.07852225080933</v>
      </c>
    </row>
    <row r="17" spans="1:50" x14ac:dyDescent="0.2">
      <c r="A17" s="3">
        <v>45784</v>
      </c>
      <c r="B17">
        <v>766</v>
      </c>
      <c r="C17">
        <v>70.98</v>
      </c>
      <c r="D17">
        <v>2.5529999999999999</v>
      </c>
      <c r="E17">
        <v>9.7579999999999991</v>
      </c>
      <c r="F17">
        <v>73.959999999999994</v>
      </c>
      <c r="G17">
        <v>7.3440000000000003</v>
      </c>
      <c r="H17">
        <v>32.94</v>
      </c>
      <c r="I17">
        <v>45.94</v>
      </c>
      <c r="J17">
        <v>36.68</v>
      </c>
      <c r="K17">
        <v>403.2</v>
      </c>
      <c r="L17">
        <v>94.4</v>
      </c>
      <c r="M17">
        <v>76.44</v>
      </c>
      <c r="N17">
        <v>6.2</v>
      </c>
      <c r="O17">
        <v>159.1</v>
      </c>
      <c r="P17">
        <v>15.2</v>
      </c>
      <c r="Q17">
        <v>15520</v>
      </c>
      <c r="R17">
        <v>0.35639999999999999</v>
      </c>
      <c r="S17">
        <v>124</v>
      </c>
      <c r="T17">
        <v>11.05</v>
      </c>
      <c r="U17">
        <v>13.53</v>
      </c>
      <c r="V17" s="6"/>
      <c r="W17" s="3">
        <v>45784</v>
      </c>
      <c r="X17">
        <v>3063</v>
      </c>
      <c r="Y17">
        <v>606</v>
      </c>
      <c r="Z17">
        <v>102.85</v>
      </c>
      <c r="AA17">
        <v>5.0620000000000003</v>
      </c>
      <c r="AB17">
        <v>577.79999999999995</v>
      </c>
      <c r="AC17">
        <v>149.69999999999999</v>
      </c>
      <c r="AD17">
        <v>157.94999999999999</v>
      </c>
      <c r="AE17">
        <v>3985</v>
      </c>
      <c r="AF17">
        <v>185.2</v>
      </c>
      <c r="AG17">
        <v>4019</v>
      </c>
      <c r="AH17">
        <v>2830</v>
      </c>
      <c r="AI17">
        <v>266.2</v>
      </c>
      <c r="AJ17">
        <v>62.802618000000002</v>
      </c>
      <c r="AK17">
        <v>42.3</v>
      </c>
      <c r="AL17">
        <v>72.349999999999994</v>
      </c>
      <c r="AM17">
        <v>1005.5</v>
      </c>
      <c r="AN17">
        <v>518.5</v>
      </c>
      <c r="AO17">
        <v>5985</v>
      </c>
      <c r="AP17">
        <v>75.040000000000006</v>
      </c>
      <c r="AQ17">
        <v>144.06361920000001</v>
      </c>
      <c r="AR17" cm="1">
        <f t="array" ref="AR17">SUMPRODUCT($B$162:$U$162,(B17:U17)/($B$11:$U$11))</f>
        <v>25283.223029475812</v>
      </c>
      <c r="AS17">
        <f t="shared" si="0"/>
        <v>-92.754072060561157</v>
      </c>
      <c r="AT17">
        <f t="shared" si="1"/>
        <v>-3.6551921405597598E-3</v>
      </c>
      <c r="AU17" cm="1">
        <f t="array" ref="AU17">SUMPRODUCT($X$162:$AQ$162,(X17:AQ17)/($X$11:$AQ$11))</f>
        <v>25460.492048683882</v>
      </c>
      <c r="AV17">
        <f t="shared" si="2"/>
        <v>-213.02007386031255</v>
      </c>
      <c r="AW17">
        <f t="shared" si="3"/>
        <v>213.02007386031255</v>
      </c>
      <c r="AX17">
        <f t="shared" si="4"/>
        <v>120.26600179975139</v>
      </c>
    </row>
    <row r="18" spans="1:50" x14ac:dyDescent="0.2">
      <c r="A18" s="3">
        <v>45785</v>
      </c>
      <c r="B18">
        <v>794</v>
      </c>
      <c r="C18">
        <v>73.34</v>
      </c>
      <c r="D18">
        <v>2.6459999999999999</v>
      </c>
      <c r="E18">
        <v>9.8539999999999992</v>
      </c>
      <c r="F18">
        <v>74.56</v>
      </c>
      <c r="G18">
        <v>7.5960000000000001</v>
      </c>
      <c r="H18">
        <v>32.86</v>
      </c>
      <c r="I18">
        <v>46.68</v>
      </c>
      <c r="J18">
        <v>37.26</v>
      </c>
      <c r="K18">
        <v>399.2</v>
      </c>
      <c r="L18">
        <v>93.76</v>
      </c>
      <c r="M18">
        <v>72.8</v>
      </c>
      <c r="N18">
        <v>6.2450000000000001</v>
      </c>
      <c r="O18">
        <v>147.05000000000001</v>
      </c>
      <c r="P18">
        <v>15.45</v>
      </c>
      <c r="Q18">
        <v>15660</v>
      </c>
      <c r="R18">
        <v>0.35899999999999999</v>
      </c>
      <c r="S18">
        <v>124</v>
      </c>
      <c r="T18">
        <v>10.9</v>
      </c>
      <c r="U18">
        <v>13.83</v>
      </c>
      <c r="V18" s="6"/>
      <c r="W18" s="3">
        <v>45785</v>
      </c>
      <c r="X18">
        <v>3091</v>
      </c>
      <c r="Y18">
        <v>609.5</v>
      </c>
      <c r="Z18">
        <v>102.9</v>
      </c>
      <c r="AA18">
        <v>5.12</v>
      </c>
      <c r="AB18">
        <v>571.20000000000005</v>
      </c>
      <c r="AC18">
        <v>149.9</v>
      </c>
      <c r="AD18">
        <v>158.9</v>
      </c>
      <c r="AE18">
        <v>3999</v>
      </c>
      <c r="AF18">
        <v>184</v>
      </c>
      <c r="AG18">
        <v>4096</v>
      </c>
      <c r="AH18">
        <v>2876</v>
      </c>
      <c r="AI18">
        <v>259.89999999999998</v>
      </c>
      <c r="AJ18">
        <v>62.023670799999998</v>
      </c>
      <c r="AK18">
        <v>43.76</v>
      </c>
      <c r="AL18">
        <v>72.75</v>
      </c>
      <c r="AM18">
        <v>1024</v>
      </c>
      <c r="AN18">
        <v>506</v>
      </c>
      <c r="AO18">
        <v>6150</v>
      </c>
      <c r="AP18">
        <v>76.92</v>
      </c>
      <c r="AQ18">
        <v>139.17257040000001</v>
      </c>
      <c r="AR18" cm="1">
        <f t="array" ref="AR18">SUMPRODUCT($B$162:$U$162,(B18:U18)/($B$11:$U$11))</f>
        <v>25548.298544671849</v>
      </c>
      <c r="AS18">
        <f t="shared" si="0"/>
        <v>265.07551519603658</v>
      </c>
      <c r="AT18">
        <f t="shared" si="1"/>
        <v>1.0484245417880622E-2</v>
      </c>
      <c r="AU18" cm="1">
        <f t="array" ref="AU18">SUMPRODUCT($X$162:$AQ$162,(X18:AQ18)/($X$11:$AQ$11))</f>
        <v>25561.64320930955</v>
      </c>
      <c r="AV18">
        <f t="shared" si="2"/>
        <v>101.15116062566813</v>
      </c>
      <c r="AW18">
        <f t="shared" si="3"/>
        <v>-101.15116062566813</v>
      </c>
      <c r="AX18">
        <f t="shared" si="4"/>
        <v>163.92435457036845</v>
      </c>
    </row>
    <row r="19" spans="1:50" x14ac:dyDescent="0.2">
      <c r="A19" s="3">
        <v>45786</v>
      </c>
      <c r="B19">
        <v>791.6</v>
      </c>
      <c r="C19">
        <v>74.760000000000005</v>
      </c>
      <c r="D19">
        <v>2.6259999999999999</v>
      </c>
      <c r="E19">
        <v>10.045</v>
      </c>
      <c r="F19">
        <v>78.28</v>
      </c>
      <c r="G19">
        <v>7.8419999999999996</v>
      </c>
      <c r="H19">
        <v>32.94</v>
      </c>
      <c r="I19">
        <v>46.3</v>
      </c>
      <c r="J19">
        <v>38.03</v>
      </c>
      <c r="K19">
        <v>406.8</v>
      </c>
      <c r="L19">
        <v>94.92</v>
      </c>
      <c r="M19">
        <v>73.5</v>
      </c>
      <c r="N19">
        <v>6.2450000000000001</v>
      </c>
      <c r="O19">
        <v>147.69999999999999</v>
      </c>
      <c r="P19">
        <v>15.86</v>
      </c>
      <c r="Q19">
        <v>16400</v>
      </c>
      <c r="R19">
        <v>0.3679</v>
      </c>
      <c r="S19">
        <v>126.25</v>
      </c>
      <c r="T19">
        <v>11.04</v>
      </c>
      <c r="U19">
        <v>13.92</v>
      </c>
      <c r="V19" s="6"/>
      <c r="W19" s="3">
        <v>45786</v>
      </c>
      <c r="X19">
        <v>3108</v>
      </c>
      <c r="Y19">
        <v>587</v>
      </c>
      <c r="Z19">
        <v>103.75</v>
      </c>
      <c r="AA19">
        <v>5.1059999999999999</v>
      </c>
      <c r="AB19">
        <v>584.79999999999995</v>
      </c>
      <c r="AC19">
        <v>145.1</v>
      </c>
      <c r="AD19">
        <v>156.30000000000001</v>
      </c>
      <c r="AE19">
        <v>4026</v>
      </c>
      <c r="AF19">
        <v>184</v>
      </c>
      <c r="AG19">
        <v>4108</v>
      </c>
      <c r="AH19">
        <v>2896</v>
      </c>
      <c r="AI19">
        <v>257.60000000000002</v>
      </c>
      <c r="AJ19">
        <v>62.218407599999999</v>
      </c>
      <c r="AK19">
        <v>44.38</v>
      </c>
      <c r="AL19">
        <v>69.900000000000006</v>
      </c>
      <c r="AM19">
        <v>1024.5</v>
      </c>
      <c r="AN19">
        <v>503.5</v>
      </c>
      <c r="AO19">
        <v>6160</v>
      </c>
      <c r="AP19">
        <v>76.180000000000007</v>
      </c>
      <c r="AQ19">
        <v>140.3397525</v>
      </c>
      <c r="AR19" cm="1">
        <f t="array" ref="AR19">SUMPRODUCT($B$162:$U$162,(B19:U19)/($B$11:$U$11))</f>
        <v>25887.270328949267</v>
      </c>
      <c r="AS19">
        <f t="shared" si="0"/>
        <v>338.97178427741892</v>
      </c>
      <c r="AT19">
        <f t="shared" si="1"/>
        <v>1.3267880977855251E-2</v>
      </c>
      <c r="AU19" cm="1">
        <f t="array" ref="AU19">SUMPRODUCT($X$162:$AQ$162,(X19:AQ19)/($X$11:$AQ$11))</f>
        <v>25462.7955743891</v>
      </c>
      <c r="AV19">
        <f t="shared" si="2"/>
        <v>-98.847634920450218</v>
      </c>
      <c r="AW19">
        <f t="shared" si="3"/>
        <v>98.847634920450218</v>
      </c>
      <c r="AX19">
        <f t="shared" si="4"/>
        <v>437.81941919786914</v>
      </c>
    </row>
    <row r="20" spans="1:50" x14ac:dyDescent="0.2">
      <c r="A20" s="3">
        <v>45789</v>
      </c>
      <c r="B20">
        <v>785</v>
      </c>
      <c r="C20">
        <v>75.62</v>
      </c>
      <c r="D20">
        <v>2.681</v>
      </c>
      <c r="E20">
        <v>10.375</v>
      </c>
      <c r="F20">
        <v>78.02</v>
      </c>
      <c r="G20">
        <v>7.8479999999999999</v>
      </c>
      <c r="H20">
        <v>32.92</v>
      </c>
      <c r="I20">
        <v>47.72</v>
      </c>
      <c r="J20">
        <v>37.799999999999997</v>
      </c>
      <c r="K20">
        <v>404</v>
      </c>
      <c r="L20">
        <v>94.52</v>
      </c>
      <c r="M20">
        <v>75.12</v>
      </c>
      <c r="N20">
        <v>6.56</v>
      </c>
      <c r="O20">
        <v>148.05000000000001</v>
      </c>
      <c r="P20">
        <v>16.02</v>
      </c>
      <c r="Q20">
        <v>16260</v>
      </c>
      <c r="R20">
        <v>0.36159999999999998</v>
      </c>
      <c r="S20">
        <v>129.69999999999999</v>
      </c>
      <c r="T20">
        <v>11.02</v>
      </c>
      <c r="U20">
        <v>14.74</v>
      </c>
      <c r="V20" s="6"/>
      <c r="W20" s="3">
        <v>45789</v>
      </c>
      <c r="X20">
        <v>3166</v>
      </c>
      <c r="Y20">
        <v>602</v>
      </c>
      <c r="Z20">
        <v>101.2</v>
      </c>
      <c r="AA20">
        <v>4.9989999999999997</v>
      </c>
      <c r="AB20">
        <v>575.79999999999995</v>
      </c>
      <c r="AC20">
        <v>148.5</v>
      </c>
      <c r="AD20">
        <v>155.25</v>
      </c>
      <c r="AE20">
        <v>3977</v>
      </c>
      <c r="AF20">
        <v>182</v>
      </c>
      <c r="AG20">
        <v>4311</v>
      </c>
      <c r="AH20">
        <v>2934</v>
      </c>
      <c r="AI20">
        <v>261.89999999999998</v>
      </c>
      <c r="AJ20">
        <v>61.536828800000002</v>
      </c>
      <c r="AK20">
        <v>46.15</v>
      </c>
      <c r="AL20">
        <v>71.3</v>
      </c>
      <c r="AM20">
        <v>1063.5</v>
      </c>
      <c r="AN20">
        <v>489.4</v>
      </c>
      <c r="AO20">
        <v>6435</v>
      </c>
      <c r="AP20">
        <v>81.36</v>
      </c>
      <c r="AQ20">
        <v>144.50826000000001</v>
      </c>
      <c r="AR20" cm="1">
        <f t="array" ref="AR20">SUMPRODUCT($B$162:$U$162,(B20:U20)/($B$11:$U$11))</f>
        <v>26155.308228312908</v>
      </c>
      <c r="AS20">
        <f t="shared" si="0"/>
        <v>268.03789936364046</v>
      </c>
      <c r="AT20">
        <f t="shared" si="1"/>
        <v>1.0354042583775147E-2</v>
      </c>
      <c r="AU20" cm="1">
        <f t="array" ref="AU20">SUMPRODUCT($X$162:$AQ$162,(X20:AQ20)/($X$11:$AQ$11))</f>
        <v>25741.26193929568</v>
      </c>
      <c r="AV20">
        <f t="shared" si="2"/>
        <v>278.46636490658057</v>
      </c>
      <c r="AW20">
        <f t="shared" si="3"/>
        <v>-278.46636490658057</v>
      </c>
      <c r="AX20">
        <f t="shared" si="4"/>
        <v>-10.428465542940103</v>
      </c>
    </row>
    <row r="21" spans="1:50" x14ac:dyDescent="0.2">
      <c r="A21" s="3">
        <v>45790</v>
      </c>
      <c r="B21">
        <v>801</v>
      </c>
      <c r="C21">
        <v>75.040000000000006</v>
      </c>
      <c r="D21">
        <v>2.6989999999999998</v>
      </c>
      <c r="E21">
        <v>10.31</v>
      </c>
      <c r="F21">
        <v>78.2</v>
      </c>
      <c r="G21">
        <v>7.9480000000000004</v>
      </c>
      <c r="H21">
        <v>32.74</v>
      </c>
      <c r="I21">
        <v>48.36</v>
      </c>
      <c r="J21">
        <v>37.82</v>
      </c>
      <c r="K21">
        <v>396</v>
      </c>
      <c r="L21">
        <v>95.52</v>
      </c>
      <c r="M21">
        <v>75.48</v>
      </c>
      <c r="N21">
        <v>6.49</v>
      </c>
      <c r="O21">
        <v>145.85</v>
      </c>
      <c r="P21">
        <v>16.03</v>
      </c>
      <c r="Q21">
        <v>16560</v>
      </c>
      <c r="R21">
        <v>0.36380000000000001</v>
      </c>
      <c r="S21">
        <v>129.44999999999999</v>
      </c>
      <c r="T21">
        <v>11.14</v>
      </c>
      <c r="U21">
        <v>14.99</v>
      </c>
      <c r="V21" s="6"/>
      <c r="W21" s="3">
        <v>45790</v>
      </c>
      <c r="X21">
        <v>3166</v>
      </c>
      <c r="Y21">
        <v>608.5</v>
      </c>
      <c r="Z21">
        <v>100.7</v>
      </c>
      <c r="AA21">
        <v>4.9909999999999997</v>
      </c>
      <c r="AB21">
        <v>573.79999999999995</v>
      </c>
      <c r="AC21">
        <v>146.9</v>
      </c>
      <c r="AD21">
        <v>157.05000000000001</v>
      </c>
      <c r="AE21">
        <v>3957</v>
      </c>
      <c r="AF21">
        <v>180.2</v>
      </c>
      <c r="AG21">
        <v>4452</v>
      </c>
      <c r="AH21">
        <v>2990</v>
      </c>
      <c r="AI21">
        <v>259</v>
      </c>
      <c r="AJ21">
        <v>61.634197200000003</v>
      </c>
      <c r="AK21">
        <v>47.12</v>
      </c>
      <c r="AL21">
        <v>71.599999999999994</v>
      </c>
      <c r="AM21">
        <v>1095.5</v>
      </c>
      <c r="AN21">
        <v>478.4</v>
      </c>
      <c r="AO21">
        <v>6585</v>
      </c>
      <c r="AP21">
        <v>83.26</v>
      </c>
      <c r="AQ21">
        <v>142.9520172</v>
      </c>
      <c r="AR21" cm="1">
        <f t="array" ref="AR21">SUMPRODUCT($B$162:$U$162,(B21:U21)/($B$11:$U$11))</f>
        <v>26241.779982205902</v>
      </c>
      <c r="AS21">
        <f t="shared" si="0"/>
        <v>86.471753892994457</v>
      </c>
      <c r="AT21">
        <f t="shared" si="1"/>
        <v>3.3060881232280792E-3</v>
      </c>
      <c r="AU21" cm="1">
        <f t="array" ref="AU21">SUMPRODUCT($X$162:$AQ$162,(X21:AQ21)/($X$11:$AQ$11))</f>
        <v>25860.22602243314</v>
      </c>
      <c r="AV21">
        <f t="shared" si="2"/>
        <v>118.96408313745997</v>
      </c>
      <c r="AW21">
        <f t="shared" si="3"/>
        <v>-118.96408313745997</v>
      </c>
      <c r="AX21">
        <f t="shared" si="4"/>
        <v>-32.492329244465509</v>
      </c>
    </row>
    <row r="22" spans="1:50" x14ac:dyDescent="0.2">
      <c r="A22" s="3">
        <v>45791</v>
      </c>
      <c r="B22">
        <v>797</v>
      </c>
      <c r="C22">
        <v>73.86</v>
      </c>
      <c r="D22">
        <v>2.738</v>
      </c>
      <c r="E22">
        <v>10.305</v>
      </c>
      <c r="F22">
        <v>78.959999999999994</v>
      </c>
      <c r="G22">
        <v>7.9660000000000002</v>
      </c>
      <c r="H22">
        <v>32.68</v>
      </c>
      <c r="I22">
        <v>48.6</v>
      </c>
      <c r="J22">
        <v>37.99</v>
      </c>
      <c r="K22">
        <v>394.4</v>
      </c>
      <c r="L22">
        <v>96.64</v>
      </c>
      <c r="M22">
        <v>75.819999999999993</v>
      </c>
      <c r="N22">
        <v>6.64</v>
      </c>
      <c r="O22">
        <v>146.55000000000001</v>
      </c>
      <c r="P22">
        <v>15.36</v>
      </c>
      <c r="Q22">
        <v>16385</v>
      </c>
      <c r="R22">
        <v>0.36599999999999999</v>
      </c>
      <c r="S22">
        <v>127.15</v>
      </c>
      <c r="T22">
        <v>10.86</v>
      </c>
      <c r="U22">
        <v>14.84</v>
      </c>
      <c r="V22" s="6"/>
      <c r="W22" s="3">
        <v>45791</v>
      </c>
      <c r="X22">
        <v>3113</v>
      </c>
      <c r="Y22">
        <v>616</v>
      </c>
      <c r="Z22">
        <v>101.05</v>
      </c>
      <c r="AA22">
        <v>5.0220000000000002</v>
      </c>
      <c r="AB22">
        <v>570.6</v>
      </c>
      <c r="AC22">
        <v>148.5</v>
      </c>
      <c r="AD22">
        <v>156.85</v>
      </c>
      <c r="AE22">
        <v>3994</v>
      </c>
      <c r="AF22">
        <v>180.6</v>
      </c>
      <c r="AG22">
        <v>4395</v>
      </c>
      <c r="AH22">
        <v>2968</v>
      </c>
      <c r="AI22">
        <v>254.5</v>
      </c>
      <c r="AJ22">
        <v>61.731565600000003</v>
      </c>
      <c r="AK22">
        <v>46.69</v>
      </c>
      <c r="AL22">
        <v>71.650000000000006</v>
      </c>
      <c r="AM22">
        <v>1096.5</v>
      </c>
      <c r="AN22">
        <v>480.2</v>
      </c>
      <c r="AO22">
        <v>6190</v>
      </c>
      <c r="AP22">
        <v>82.3</v>
      </c>
      <c r="AQ22">
        <v>138.50560920000001</v>
      </c>
      <c r="AR22" cm="1">
        <f t="array" ref="AR22">SUMPRODUCT($B$162:$U$162,(B22:U22)/($B$11:$U$11))</f>
        <v>26182.414687239947</v>
      </c>
      <c r="AS22">
        <f t="shared" si="0"/>
        <v>-59.3652949659554</v>
      </c>
      <c r="AT22">
        <f t="shared" si="1"/>
        <v>-2.262243453234114E-3</v>
      </c>
      <c r="AU22" cm="1">
        <f t="array" ref="AU22">SUMPRODUCT($X$162:$AQ$162,(X22:AQ22)/($X$11:$AQ$11))</f>
        <v>25724.267921212417</v>
      </c>
      <c r="AV22">
        <f t="shared" si="2"/>
        <v>-135.95810122072362</v>
      </c>
      <c r="AW22">
        <f t="shared" si="3"/>
        <v>135.95810122072362</v>
      </c>
      <c r="AX22">
        <f t="shared" si="4"/>
        <v>76.59280625476822</v>
      </c>
    </row>
    <row r="23" spans="1:50" x14ac:dyDescent="0.2">
      <c r="A23" s="3">
        <v>45792</v>
      </c>
      <c r="B23">
        <v>816</v>
      </c>
      <c r="C23">
        <v>76.02</v>
      </c>
      <c r="D23">
        <v>2.7080000000000002</v>
      </c>
      <c r="E23">
        <v>10.199999999999999</v>
      </c>
      <c r="F23">
        <v>77.62</v>
      </c>
      <c r="G23">
        <v>7.8739999999999997</v>
      </c>
      <c r="H23">
        <v>33.1</v>
      </c>
      <c r="I23">
        <v>49.08</v>
      </c>
      <c r="J23">
        <v>38.4</v>
      </c>
      <c r="K23">
        <v>401.6</v>
      </c>
      <c r="L23">
        <v>97</v>
      </c>
      <c r="M23">
        <v>78.02</v>
      </c>
      <c r="N23">
        <v>6.56</v>
      </c>
      <c r="O23">
        <v>149.25</v>
      </c>
      <c r="P23">
        <v>15.26</v>
      </c>
      <c r="Q23">
        <v>16450</v>
      </c>
      <c r="R23">
        <v>0.37280000000000002</v>
      </c>
      <c r="S23">
        <v>123.75</v>
      </c>
      <c r="T23">
        <v>10.79</v>
      </c>
      <c r="U23">
        <v>14.66</v>
      </c>
      <c r="V23" s="6"/>
      <c r="W23" s="3">
        <v>45792</v>
      </c>
      <c r="X23">
        <v>3148</v>
      </c>
      <c r="Y23">
        <v>616</v>
      </c>
      <c r="Z23">
        <v>102.6</v>
      </c>
      <c r="AA23">
        <v>5.0880000000000001</v>
      </c>
      <c r="AB23">
        <v>566.4</v>
      </c>
      <c r="AC23">
        <v>149.69999999999999</v>
      </c>
      <c r="AD23">
        <v>159.1</v>
      </c>
      <c r="AE23">
        <v>4095</v>
      </c>
      <c r="AF23">
        <v>183.6</v>
      </c>
      <c r="AG23">
        <v>4374</v>
      </c>
      <c r="AH23">
        <v>2998</v>
      </c>
      <c r="AI23">
        <v>257</v>
      </c>
      <c r="AJ23">
        <v>62.2</v>
      </c>
      <c r="AK23">
        <v>44</v>
      </c>
      <c r="AL23">
        <v>72.099999999999994</v>
      </c>
      <c r="AM23">
        <v>1071</v>
      </c>
      <c r="AN23">
        <v>489.4</v>
      </c>
      <c r="AO23">
        <v>6100</v>
      </c>
      <c r="AP23">
        <v>84.02</v>
      </c>
      <c r="AQ23">
        <v>136.0600848</v>
      </c>
      <c r="AR23" cm="1">
        <f t="array" ref="AR23">SUMPRODUCT($B$162:$U$162,(B23:U23)/($B$11:$U$11))</f>
        <v>26312.483697006704</v>
      </c>
      <c r="AS23">
        <f t="shared" si="0"/>
        <v>130.06900976675752</v>
      </c>
      <c r="AT23">
        <f t="shared" si="1"/>
        <v>4.9678003851243435E-3</v>
      </c>
      <c r="AU23" cm="1">
        <f t="array" ref="AU23">SUMPRODUCT($X$162:$AQ$162,(X23:AQ23)/($X$11:$AQ$11))</f>
        <v>25811.565169651618</v>
      </c>
      <c r="AV23">
        <f t="shared" si="2"/>
        <v>87.297248439201212</v>
      </c>
      <c r="AW23">
        <f t="shared" si="3"/>
        <v>-87.297248439201212</v>
      </c>
      <c r="AX23">
        <f t="shared" si="4"/>
        <v>42.771761327556305</v>
      </c>
    </row>
    <row r="24" spans="1:50" x14ac:dyDescent="0.2">
      <c r="A24" s="3">
        <v>45793</v>
      </c>
      <c r="B24">
        <v>809.6</v>
      </c>
      <c r="C24">
        <v>75.459999999999994</v>
      </c>
      <c r="D24">
        <v>2.7309999999999999</v>
      </c>
      <c r="E24">
        <v>10.225</v>
      </c>
      <c r="F24">
        <v>77.16</v>
      </c>
      <c r="G24">
        <v>7.8520000000000003</v>
      </c>
      <c r="H24">
        <v>33.520000000000003</v>
      </c>
      <c r="I24">
        <v>48.44</v>
      </c>
      <c r="J24">
        <v>39.090000000000003</v>
      </c>
      <c r="K24">
        <v>404</v>
      </c>
      <c r="L24">
        <v>97.16</v>
      </c>
      <c r="M24">
        <v>77.900000000000006</v>
      </c>
      <c r="N24">
        <v>6.54</v>
      </c>
      <c r="O24">
        <v>149.35</v>
      </c>
      <c r="P24">
        <v>15.09</v>
      </c>
      <c r="Q24">
        <v>16150</v>
      </c>
      <c r="R24">
        <v>0.38200000000000001</v>
      </c>
      <c r="S24">
        <v>123.4</v>
      </c>
      <c r="T24">
        <v>10.65</v>
      </c>
      <c r="U24">
        <v>14.88</v>
      </c>
      <c r="V24" s="6"/>
      <c r="W24" s="3">
        <v>45793</v>
      </c>
      <c r="X24">
        <v>3111</v>
      </c>
      <c r="Y24">
        <v>615</v>
      </c>
      <c r="Z24">
        <v>103.7</v>
      </c>
      <c r="AA24">
        <v>5.1719999999999997</v>
      </c>
      <c r="AB24">
        <v>573.6</v>
      </c>
      <c r="AC24">
        <v>153.9</v>
      </c>
      <c r="AD24">
        <v>160.44999999999999</v>
      </c>
      <c r="AE24">
        <v>4090</v>
      </c>
      <c r="AF24">
        <v>186.8</v>
      </c>
      <c r="AG24">
        <v>4371</v>
      </c>
      <c r="AH24">
        <v>3000</v>
      </c>
      <c r="AI24">
        <v>259.7</v>
      </c>
      <c r="AJ24">
        <v>62.8</v>
      </c>
      <c r="AK24">
        <v>42.21</v>
      </c>
      <c r="AL24">
        <v>72.55</v>
      </c>
      <c r="AM24">
        <v>1094</v>
      </c>
      <c r="AN24">
        <v>495.8</v>
      </c>
      <c r="AO24">
        <v>6095</v>
      </c>
      <c r="AP24">
        <v>83.48</v>
      </c>
      <c r="AQ24">
        <v>137.11610669999999</v>
      </c>
      <c r="AR24" cm="1">
        <f t="array" ref="AR24">SUMPRODUCT($B$162:$U$162,(B24:U24)/($B$11:$U$11))</f>
        <v>26306.48658486185</v>
      </c>
      <c r="AS24">
        <f t="shared" si="0"/>
        <v>-5.9971121448543272</v>
      </c>
      <c r="AT24">
        <f t="shared" si="1"/>
        <v>-2.279188925649045E-4</v>
      </c>
      <c r="AU24" cm="1">
        <f t="array" ref="AU24">SUMPRODUCT($X$162:$AQ$162,(X24:AQ24)/($X$11:$AQ$11))</f>
        <v>25912.426349872378</v>
      </c>
      <c r="AV24">
        <f t="shared" si="2"/>
        <v>100.86118022075971</v>
      </c>
      <c r="AW24">
        <f t="shared" si="3"/>
        <v>-100.86118022075971</v>
      </c>
      <c r="AX24">
        <f t="shared" si="4"/>
        <v>-106.85829236561403</v>
      </c>
    </row>
    <row r="25" spans="1:50" x14ac:dyDescent="0.2">
      <c r="A25" s="3">
        <v>45796</v>
      </c>
      <c r="B25">
        <v>819.2</v>
      </c>
      <c r="C25">
        <v>78.14</v>
      </c>
      <c r="D25">
        <v>2.77</v>
      </c>
      <c r="E25">
        <v>9.9120000000000008</v>
      </c>
      <c r="F25">
        <v>75.599999999999994</v>
      </c>
      <c r="G25">
        <v>7.5919999999999996</v>
      </c>
      <c r="H25">
        <v>33.72</v>
      </c>
      <c r="I25">
        <v>49.3</v>
      </c>
      <c r="J25">
        <v>39.18</v>
      </c>
      <c r="K25">
        <v>405.8</v>
      </c>
      <c r="L25">
        <v>97.62</v>
      </c>
      <c r="M25">
        <v>78.260000000000005</v>
      </c>
      <c r="N25">
        <v>6.5</v>
      </c>
      <c r="O25">
        <v>152</v>
      </c>
      <c r="P25">
        <v>15.13</v>
      </c>
      <c r="Q25">
        <v>15980</v>
      </c>
      <c r="R25">
        <v>0.38800000000000001</v>
      </c>
      <c r="S25">
        <v>124.15</v>
      </c>
      <c r="T25">
        <v>10.6</v>
      </c>
      <c r="U25">
        <v>14.84</v>
      </c>
      <c r="V25" s="6"/>
      <c r="W25" s="3">
        <v>45796</v>
      </c>
      <c r="X25">
        <v>3085</v>
      </c>
      <c r="Y25">
        <v>618</v>
      </c>
      <c r="Z25">
        <v>104.3</v>
      </c>
      <c r="AA25">
        <v>5.1559999999999997</v>
      </c>
      <c r="AB25">
        <v>574.20000000000005</v>
      </c>
      <c r="AC25">
        <v>154.30000000000001</v>
      </c>
      <c r="AD25">
        <v>159.65</v>
      </c>
      <c r="AE25">
        <v>4118</v>
      </c>
      <c r="AF25">
        <v>187.2</v>
      </c>
      <c r="AG25">
        <v>4345</v>
      </c>
      <c r="AH25">
        <v>2956</v>
      </c>
      <c r="AI25">
        <v>260</v>
      </c>
      <c r="AJ25">
        <v>63.5</v>
      </c>
      <c r="AK25">
        <v>41.2</v>
      </c>
      <c r="AL25">
        <v>72.400000000000006</v>
      </c>
      <c r="AM25">
        <v>1088</v>
      </c>
      <c r="AN25">
        <v>499.4</v>
      </c>
      <c r="AO25">
        <v>5980</v>
      </c>
      <c r="AP25">
        <v>81.84</v>
      </c>
      <c r="AQ25">
        <v>136.67146589999999</v>
      </c>
      <c r="AR25" cm="1">
        <f t="array" ref="AR25">SUMPRODUCT($B$162:$U$162,(B25:U25)/($B$11:$U$11))</f>
        <v>26431.563884516872</v>
      </c>
      <c r="AS25">
        <f t="shared" si="0"/>
        <v>125.07729965502222</v>
      </c>
      <c r="AT25">
        <f t="shared" si="1"/>
        <v>4.7546181908988405E-3</v>
      </c>
      <c r="AU25" cm="1">
        <f t="array" ref="AU25">SUMPRODUCT($X$162:$AQ$162,(X25:AQ25)/($X$11:$AQ$11))</f>
        <v>25840.138866642195</v>
      </c>
      <c r="AV25">
        <f t="shared" si="2"/>
        <v>-72.287483230182261</v>
      </c>
      <c r="AW25">
        <f t="shared" si="3"/>
        <v>72.287483230182261</v>
      </c>
      <c r="AX25">
        <f t="shared" si="4"/>
        <v>197.36478288520448</v>
      </c>
    </row>
    <row r="26" spans="1:50" x14ac:dyDescent="0.2">
      <c r="A26" s="3">
        <v>45797</v>
      </c>
      <c r="B26">
        <v>817.6</v>
      </c>
      <c r="C26">
        <v>78.739999999999995</v>
      </c>
      <c r="D26">
        <v>2.8250000000000002</v>
      </c>
      <c r="E26">
        <v>9.9719999999999995</v>
      </c>
      <c r="F26">
        <v>76</v>
      </c>
      <c r="G26">
        <v>7.62</v>
      </c>
      <c r="H26">
        <v>33.880000000000003</v>
      </c>
      <c r="I26">
        <v>49.46</v>
      </c>
      <c r="J26">
        <v>40.049999999999997</v>
      </c>
      <c r="K26">
        <v>409</v>
      </c>
      <c r="L26">
        <v>97.4</v>
      </c>
      <c r="M26">
        <v>79.040000000000006</v>
      </c>
      <c r="N26">
        <v>6.71</v>
      </c>
      <c r="O26">
        <v>156.9</v>
      </c>
      <c r="P26">
        <v>14.77</v>
      </c>
      <c r="Q26">
        <v>15830</v>
      </c>
      <c r="R26">
        <v>0.38940000000000002</v>
      </c>
      <c r="S26">
        <v>123.6</v>
      </c>
      <c r="T26">
        <v>10.53</v>
      </c>
      <c r="U26">
        <v>14.88</v>
      </c>
      <c r="V26" s="6"/>
      <c r="W26" s="3">
        <v>45797</v>
      </c>
      <c r="X26">
        <v>3118</v>
      </c>
      <c r="Y26">
        <v>625</v>
      </c>
      <c r="Z26">
        <v>104.95</v>
      </c>
      <c r="AA26">
        <v>5.2240000000000002</v>
      </c>
      <c r="AB26">
        <v>564.20000000000005</v>
      </c>
      <c r="AC26">
        <v>154.69999999999999</v>
      </c>
      <c r="AD26">
        <v>160.5</v>
      </c>
      <c r="AE26">
        <v>4123</v>
      </c>
      <c r="AF26">
        <v>188</v>
      </c>
      <c r="AG26">
        <v>4389</v>
      </c>
      <c r="AH26">
        <v>2954</v>
      </c>
      <c r="AI26">
        <v>263.39999999999998</v>
      </c>
      <c r="AJ26">
        <v>63.7</v>
      </c>
      <c r="AK26">
        <v>42.13</v>
      </c>
      <c r="AL26">
        <v>73.3</v>
      </c>
      <c r="AM26">
        <v>1092</v>
      </c>
      <c r="AN26">
        <v>504</v>
      </c>
      <c r="AO26">
        <v>6020</v>
      </c>
      <c r="AP26">
        <v>83.5</v>
      </c>
      <c r="AQ26">
        <v>156.5135616</v>
      </c>
      <c r="AR26" cm="1">
        <f t="array" ref="AR26">SUMPRODUCT($B$162:$U$162,(B26:U26)/($B$11:$U$11))</f>
        <v>26596.990161648369</v>
      </c>
      <c r="AS26">
        <f t="shared" si="0"/>
        <v>165.42627713149705</v>
      </c>
      <c r="AT26">
        <f t="shared" si="1"/>
        <v>6.258663991819402E-3</v>
      </c>
      <c r="AU26" cm="1">
        <f t="array" ref="AU26">SUMPRODUCT($X$162:$AQ$162,(X26:AQ26)/($X$11:$AQ$11))</f>
        <v>26170.936676455876</v>
      </c>
      <c r="AV26">
        <f t="shared" si="2"/>
        <v>330.79780981368094</v>
      </c>
      <c r="AW26">
        <f t="shared" si="3"/>
        <v>-330.79780981368094</v>
      </c>
      <c r="AX26">
        <f t="shared" si="4"/>
        <v>-165.3715326821839</v>
      </c>
    </row>
    <row r="27" spans="1:50" x14ac:dyDescent="0.2">
      <c r="A27" s="3">
        <v>45798</v>
      </c>
      <c r="B27">
        <v>824.4</v>
      </c>
      <c r="C27">
        <v>79.16</v>
      </c>
      <c r="D27">
        <v>2.786</v>
      </c>
      <c r="E27">
        <v>10.02</v>
      </c>
      <c r="F27">
        <v>75.180000000000007</v>
      </c>
      <c r="G27">
        <v>7.6619999999999999</v>
      </c>
      <c r="H27">
        <v>33.96</v>
      </c>
      <c r="I27">
        <v>48.66</v>
      </c>
      <c r="J27">
        <v>40.340000000000003</v>
      </c>
      <c r="K27">
        <v>413.7</v>
      </c>
      <c r="L27">
        <v>97.02</v>
      </c>
      <c r="M27">
        <v>78.88</v>
      </c>
      <c r="N27">
        <v>6.68</v>
      </c>
      <c r="O27">
        <v>158.80000000000001</v>
      </c>
      <c r="P27">
        <v>14.63</v>
      </c>
      <c r="Q27">
        <v>15600</v>
      </c>
      <c r="R27">
        <v>0.3952</v>
      </c>
      <c r="S27">
        <v>122.35</v>
      </c>
      <c r="T27">
        <v>10.57</v>
      </c>
      <c r="U27">
        <v>14.8</v>
      </c>
      <c r="V27" s="6"/>
      <c r="W27" s="3">
        <v>45798</v>
      </c>
      <c r="X27">
        <v>3108</v>
      </c>
      <c r="Y27">
        <v>622.5</v>
      </c>
      <c r="Z27">
        <v>104.05</v>
      </c>
      <c r="AA27">
        <v>5.21</v>
      </c>
      <c r="AB27">
        <v>564.6</v>
      </c>
      <c r="AC27">
        <v>147.80000000000001</v>
      </c>
      <c r="AD27">
        <v>160.9</v>
      </c>
      <c r="AE27">
        <v>4109</v>
      </c>
      <c r="AF27">
        <v>188.4</v>
      </c>
      <c r="AG27">
        <v>4305</v>
      </c>
      <c r="AH27">
        <v>2974</v>
      </c>
      <c r="AI27">
        <v>262.60000000000002</v>
      </c>
      <c r="AJ27">
        <v>63.6</v>
      </c>
      <c r="AK27">
        <v>40.950000000000003</v>
      </c>
      <c r="AL27">
        <v>73.05</v>
      </c>
      <c r="AM27">
        <v>1091</v>
      </c>
      <c r="AN27">
        <v>515</v>
      </c>
      <c r="AO27">
        <v>5860</v>
      </c>
      <c r="AP27">
        <v>82.92</v>
      </c>
      <c r="AQ27">
        <v>147.67632570000001</v>
      </c>
      <c r="AR27" cm="1">
        <f t="array" ref="AR27">SUMPRODUCT($B$162:$U$162,(B27:U27)/($B$11:$U$11))</f>
        <v>26584.364104552322</v>
      </c>
      <c r="AS27">
        <f t="shared" si="0"/>
        <v>-12.626057096047589</v>
      </c>
      <c r="AT27">
        <f t="shared" si="1"/>
        <v>-4.7471751575312027E-4</v>
      </c>
      <c r="AU27" cm="1">
        <f t="array" ref="AU27">SUMPRODUCT($X$162:$AQ$162,(X27:AQ27)/($X$11:$AQ$11))</f>
        <v>25956.389521071207</v>
      </c>
      <c r="AV27">
        <f t="shared" si="2"/>
        <v>-214.54715538466917</v>
      </c>
      <c r="AW27">
        <f t="shared" si="3"/>
        <v>214.54715538466917</v>
      </c>
      <c r="AX27">
        <f t="shared" si="4"/>
        <v>201.92109828862158</v>
      </c>
    </row>
    <row r="28" spans="1:50" x14ac:dyDescent="0.2">
      <c r="A28" s="3">
        <v>45799</v>
      </c>
      <c r="B28">
        <v>839</v>
      </c>
      <c r="C28">
        <v>81.680000000000007</v>
      </c>
      <c r="D28">
        <v>2.8220000000000001</v>
      </c>
      <c r="E28">
        <v>10.015000000000001</v>
      </c>
      <c r="F28">
        <v>74.900000000000006</v>
      </c>
      <c r="G28">
        <v>7.86</v>
      </c>
      <c r="H28">
        <v>33.9</v>
      </c>
      <c r="I28">
        <v>48.36</v>
      </c>
      <c r="J28">
        <v>40.270000000000003</v>
      </c>
      <c r="K28">
        <v>411.5</v>
      </c>
      <c r="L28">
        <v>95.52</v>
      </c>
      <c r="M28">
        <v>79.36</v>
      </c>
      <c r="N28">
        <v>6.64</v>
      </c>
      <c r="O28">
        <v>159</v>
      </c>
      <c r="P28">
        <v>14.62</v>
      </c>
      <c r="Q28">
        <v>15495</v>
      </c>
      <c r="R28">
        <v>0.38919999999999999</v>
      </c>
      <c r="S28">
        <v>122.1</v>
      </c>
      <c r="T28">
        <v>10.48</v>
      </c>
      <c r="U28">
        <v>14.4</v>
      </c>
      <c r="V28" s="6"/>
      <c r="W28" s="3">
        <v>45799</v>
      </c>
      <c r="X28">
        <v>3092</v>
      </c>
      <c r="Y28">
        <v>617</v>
      </c>
      <c r="Z28">
        <v>103.8</v>
      </c>
      <c r="AA28">
        <v>5.25</v>
      </c>
      <c r="AB28">
        <v>560.6</v>
      </c>
      <c r="AC28">
        <v>146.1</v>
      </c>
      <c r="AD28">
        <v>160.15</v>
      </c>
      <c r="AE28">
        <v>4068</v>
      </c>
      <c r="AF28">
        <v>187.6</v>
      </c>
      <c r="AG28">
        <v>4263</v>
      </c>
      <c r="AH28">
        <v>2906</v>
      </c>
      <c r="AI28">
        <v>259.2</v>
      </c>
      <c r="AJ28">
        <v>63.3</v>
      </c>
      <c r="AK28">
        <v>40.72</v>
      </c>
      <c r="AL28">
        <v>72.099999999999994</v>
      </c>
      <c r="AM28">
        <v>1104</v>
      </c>
      <c r="AN28">
        <v>512</v>
      </c>
      <c r="AO28">
        <v>5785</v>
      </c>
      <c r="AP28">
        <v>80.08</v>
      </c>
      <c r="AQ28">
        <v>145.5642819</v>
      </c>
      <c r="AR28" cm="1">
        <f t="array" ref="AR28">SUMPRODUCT($B$162:$U$162,(B28:U28)/($B$11:$U$11))</f>
        <v>26686.972157532495</v>
      </c>
      <c r="AS28">
        <f t="shared" si="0"/>
        <v>102.60805298017294</v>
      </c>
      <c r="AT28">
        <f t="shared" si="1"/>
        <v>3.8597144011656148E-3</v>
      </c>
      <c r="AU28" cm="1">
        <f t="array" ref="AU28">SUMPRODUCT($X$162:$AQ$162,(X28:AQ28)/($X$11:$AQ$11))</f>
        <v>25757.964672491453</v>
      </c>
      <c r="AV28">
        <f t="shared" si="2"/>
        <v>-198.42484857975433</v>
      </c>
      <c r="AW28">
        <f t="shared" si="3"/>
        <v>198.42484857975433</v>
      </c>
      <c r="AX28">
        <f t="shared" si="4"/>
        <v>301.03290155992727</v>
      </c>
    </row>
    <row r="29" spans="1:50" x14ac:dyDescent="0.2">
      <c r="A29" s="3">
        <v>45800</v>
      </c>
      <c r="B29">
        <v>835.8</v>
      </c>
      <c r="C29">
        <v>81.7</v>
      </c>
      <c r="D29">
        <v>2.7589999999999999</v>
      </c>
      <c r="E29">
        <v>9.8000000000000007</v>
      </c>
      <c r="F29">
        <v>74.12</v>
      </c>
      <c r="G29">
        <v>7.6340000000000003</v>
      </c>
      <c r="H29">
        <v>34.020000000000003</v>
      </c>
      <c r="I29">
        <v>48.26</v>
      </c>
      <c r="J29">
        <v>40.47</v>
      </c>
      <c r="K29">
        <v>411.6</v>
      </c>
      <c r="L29">
        <v>97.44</v>
      </c>
      <c r="M29">
        <v>78.739999999999995</v>
      </c>
      <c r="N29">
        <v>6.5650000000000004</v>
      </c>
      <c r="O29">
        <v>158.6</v>
      </c>
      <c r="P29">
        <v>14.38</v>
      </c>
      <c r="Q29">
        <v>15020</v>
      </c>
      <c r="R29">
        <v>0.38779999999999998</v>
      </c>
      <c r="S29">
        <v>123.6</v>
      </c>
      <c r="T29">
        <v>10.31</v>
      </c>
      <c r="U29">
        <v>14.27</v>
      </c>
      <c r="V29" s="6"/>
      <c r="W29" s="3">
        <v>45800</v>
      </c>
      <c r="X29">
        <v>3052</v>
      </c>
      <c r="Y29">
        <v>618</v>
      </c>
      <c r="Z29">
        <v>104.55</v>
      </c>
      <c r="AA29">
        <v>5.2539999999999996</v>
      </c>
      <c r="AB29">
        <v>560</v>
      </c>
      <c r="AC29">
        <v>146.6</v>
      </c>
      <c r="AD29">
        <v>161.25</v>
      </c>
      <c r="AE29">
        <v>4097</v>
      </c>
      <c r="AF29">
        <v>188</v>
      </c>
      <c r="AG29">
        <v>4217</v>
      </c>
      <c r="AH29">
        <v>2878</v>
      </c>
      <c r="AI29">
        <v>259.89999999999998</v>
      </c>
      <c r="AJ29">
        <v>63.8</v>
      </c>
      <c r="AK29">
        <v>39.72</v>
      </c>
      <c r="AL29">
        <v>71.45</v>
      </c>
      <c r="AM29">
        <v>1087</v>
      </c>
      <c r="AN29">
        <v>514</v>
      </c>
      <c r="AO29">
        <v>5715</v>
      </c>
      <c r="AP29">
        <v>79.319999999999993</v>
      </c>
      <c r="AQ29">
        <v>148.06538639999999</v>
      </c>
      <c r="AR29" cm="1">
        <f t="array" ref="AR29">SUMPRODUCT($B$162:$U$162,(B29:U29)/($B$11:$U$11))</f>
        <v>26486.337500292258</v>
      </c>
      <c r="AS29">
        <f t="shared" si="0"/>
        <v>-200.63465724023627</v>
      </c>
      <c r="AT29">
        <f t="shared" si="1"/>
        <v>-7.518074963914767E-3</v>
      </c>
      <c r="AU29" cm="1">
        <f t="array" ref="AU29">SUMPRODUCT($X$162:$AQ$162,(X29:AQ29)/($X$11:$AQ$11))</f>
        <v>25704.304071672294</v>
      </c>
      <c r="AV29">
        <f t="shared" si="2"/>
        <v>-53.660600819159299</v>
      </c>
      <c r="AW29">
        <f t="shared" si="3"/>
        <v>53.660600819159299</v>
      </c>
      <c r="AX29">
        <f t="shared" si="4"/>
        <v>-146.97405642107697</v>
      </c>
    </row>
    <row r="30" spans="1:50" x14ac:dyDescent="0.2">
      <c r="A30" s="3">
        <v>45804</v>
      </c>
      <c r="B30">
        <v>851.6</v>
      </c>
      <c r="C30">
        <v>85.4</v>
      </c>
      <c r="D30">
        <v>2.8050000000000002</v>
      </c>
      <c r="E30">
        <v>9.8559999999999999</v>
      </c>
      <c r="F30">
        <v>77.08</v>
      </c>
      <c r="G30">
        <v>7.6840000000000002</v>
      </c>
      <c r="H30">
        <v>34.299999999999997</v>
      </c>
      <c r="I30">
        <v>48.76</v>
      </c>
      <c r="J30">
        <v>40.74</v>
      </c>
      <c r="K30">
        <v>413.3</v>
      </c>
      <c r="L30">
        <v>98.86</v>
      </c>
      <c r="M30">
        <v>81.099999999999994</v>
      </c>
      <c r="N30">
        <v>6.7649999999999997</v>
      </c>
      <c r="O30">
        <v>156.15</v>
      </c>
      <c r="P30">
        <v>14.77</v>
      </c>
      <c r="Q30">
        <v>15590</v>
      </c>
      <c r="R30">
        <v>0.38300000000000001</v>
      </c>
      <c r="S30">
        <v>125.85</v>
      </c>
      <c r="T30">
        <v>10.73</v>
      </c>
      <c r="U30">
        <v>14.99</v>
      </c>
      <c r="V30" s="6"/>
      <c r="W30" s="3">
        <v>45804</v>
      </c>
      <c r="X30">
        <v>3076</v>
      </c>
      <c r="Y30">
        <v>625.5</v>
      </c>
      <c r="Z30">
        <v>105.6</v>
      </c>
      <c r="AA30">
        <v>5.2380000000000004</v>
      </c>
      <c r="AB30">
        <v>567.20000000000005</v>
      </c>
      <c r="AC30">
        <v>151</v>
      </c>
      <c r="AD30">
        <v>160.30000000000001</v>
      </c>
      <c r="AE30">
        <v>4167</v>
      </c>
      <c r="AF30">
        <v>187.4</v>
      </c>
      <c r="AG30">
        <v>4348</v>
      </c>
      <c r="AH30">
        <v>2918</v>
      </c>
      <c r="AI30">
        <v>260.89999999999998</v>
      </c>
      <c r="AJ30">
        <v>63.4</v>
      </c>
      <c r="AK30">
        <v>40.54</v>
      </c>
      <c r="AL30">
        <v>72.2</v>
      </c>
      <c r="AM30">
        <v>1109</v>
      </c>
      <c r="AN30">
        <v>510.5</v>
      </c>
      <c r="AO30">
        <v>5830</v>
      </c>
      <c r="AP30">
        <v>81.28</v>
      </c>
      <c r="AQ30">
        <v>149.67720929999999</v>
      </c>
      <c r="AR30" cm="1">
        <f t="array" ref="AR30">SUMPRODUCT($B$162:$U$162,(B30:U30)/($B$11:$U$11))</f>
        <v>27026.477891038026</v>
      </c>
      <c r="AS30">
        <f t="shared" si="0"/>
        <v>540.14039074576795</v>
      </c>
      <c r="AT30">
        <f t="shared" si="1"/>
        <v>2.0393170280330608E-2</v>
      </c>
      <c r="AU30" cm="1">
        <f t="array" ref="AU30">SUMPRODUCT($X$162:$AQ$162,(X30:AQ30)/($X$11:$AQ$11))</f>
        <v>25975.960282876349</v>
      </c>
      <c r="AV30">
        <f t="shared" si="2"/>
        <v>271.65621120405558</v>
      </c>
      <c r="AW30">
        <f t="shared" si="3"/>
        <v>-271.65621120405558</v>
      </c>
      <c r="AX30">
        <f t="shared" si="4"/>
        <v>268.48417954171236</v>
      </c>
    </row>
    <row r="31" spans="1:50" x14ac:dyDescent="0.2">
      <c r="A31" s="3">
        <v>45805</v>
      </c>
      <c r="B31">
        <v>857.8</v>
      </c>
      <c r="C31">
        <v>85.72</v>
      </c>
      <c r="D31">
        <v>2.7719999999999998</v>
      </c>
      <c r="E31">
        <v>10.09</v>
      </c>
      <c r="F31">
        <v>77.8</v>
      </c>
      <c r="G31">
        <v>7.726</v>
      </c>
      <c r="H31">
        <v>34.04</v>
      </c>
      <c r="I31">
        <v>48.32</v>
      </c>
      <c r="J31">
        <v>40.39</v>
      </c>
      <c r="K31">
        <v>415.2</v>
      </c>
      <c r="L31">
        <v>96.9</v>
      </c>
      <c r="M31">
        <v>83.18</v>
      </c>
      <c r="N31">
        <v>6.7</v>
      </c>
      <c r="O31">
        <v>155.94999999999999</v>
      </c>
      <c r="P31">
        <v>14.65</v>
      </c>
      <c r="Q31">
        <v>15350</v>
      </c>
      <c r="R31">
        <v>0.38169999999999998</v>
      </c>
      <c r="S31">
        <v>124.65</v>
      </c>
      <c r="T31">
        <v>10.43</v>
      </c>
      <c r="U31">
        <v>15.24</v>
      </c>
      <c r="V31" s="6"/>
      <c r="W31" s="3">
        <v>45805</v>
      </c>
      <c r="X31">
        <v>3067</v>
      </c>
      <c r="Y31">
        <v>620</v>
      </c>
      <c r="Z31">
        <v>104.15</v>
      </c>
      <c r="AA31">
        <v>5.2519999999999998</v>
      </c>
      <c r="AB31">
        <v>561.20000000000005</v>
      </c>
      <c r="AC31">
        <v>152</v>
      </c>
      <c r="AD31">
        <v>158.4</v>
      </c>
      <c r="AE31">
        <v>4113</v>
      </c>
      <c r="AF31">
        <v>186.8</v>
      </c>
      <c r="AG31">
        <v>4312</v>
      </c>
      <c r="AH31">
        <v>2902</v>
      </c>
      <c r="AI31">
        <v>260.2</v>
      </c>
      <c r="AJ31">
        <v>63.3</v>
      </c>
      <c r="AK31">
        <v>40.71</v>
      </c>
      <c r="AL31">
        <v>71.8</v>
      </c>
      <c r="AM31">
        <v>1100.5</v>
      </c>
      <c r="AN31">
        <v>503</v>
      </c>
      <c r="AO31">
        <v>5810</v>
      </c>
      <c r="AP31">
        <v>81</v>
      </c>
      <c r="AQ31">
        <v>149.12140830000001</v>
      </c>
      <c r="AR31" cm="1">
        <f t="array" ref="AR31">SUMPRODUCT($B$162:$U$162,(B31:U31)/($B$11:$U$11))</f>
        <v>27006.851286478901</v>
      </c>
      <c r="AS31">
        <f t="shared" si="0"/>
        <v>-19.626604559125553</v>
      </c>
      <c r="AT31">
        <f t="shared" si="1"/>
        <v>-7.2619912362437145E-4</v>
      </c>
      <c r="AU31" cm="1">
        <f t="array" ref="AU31">SUMPRODUCT($X$162:$AQ$162,(X31:AQ31)/($X$11:$AQ$11))</f>
        <v>25822.863219561663</v>
      </c>
      <c r="AV31">
        <f t="shared" si="2"/>
        <v>-153.09706331468624</v>
      </c>
      <c r="AW31">
        <f t="shared" si="3"/>
        <v>153.09706331468624</v>
      </c>
      <c r="AX31">
        <f t="shared" si="4"/>
        <v>133.47045875556068</v>
      </c>
    </row>
    <row r="32" spans="1:50" x14ac:dyDescent="0.2">
      <c r="A32" s="3">
        <v>45806</v>
      </c>
      <c r="B32">
        <v>851</v>
      </c>
      <c r="C32">
        <v>84.72</v>
      </c>
      <c r="D32">
        <v>2.7890000000000001</v>
      </c>
      <c r="E32">
        <v>10.119999999999999</v>
      </c>
      <c r="F32">
        <v>76.02</v>
      </c>
      <c r="G32">
        <v>7.7380000000000004</v>
      </c>
      <c r="H32">
        <v>34.4</v>
      </c>
      <c r="I32">
        <v>48.32</v>
      </c>
      <c r="J32">
        <v>40.39</v>
      </c>
      <c r="K32">
        <v>415.2</v>
      </c>
      <c r="L32">
        <v>98.22</v>
      </c>
      <c r="M32">
        <v>83.84</v>
      </c>
      <c r="N32">
        <v>6.88</v>
      </c>
      <c r="O32">
        <v>156.55000000000001</v>
      </c>
      <c r="P32">
        <v>14.7</v>
      </c>
      <c r="Q32">
        <v>14740</v>
      </c>
      <c r="R32">
        <v>0.38290000000000002</v>
      </c>
      <c r="S32">
        <v>123.45</v>
      </c>
      <c r="T32">
        <v>10.31</v>
      </c>
      <c r="U32">
        <v>14.82</v>
      </c>
      <c r="V32" s="6"/>
      <c r="W32" s="3">
        <v>45806</v>
      </c>
      <c r="X32">
        <v>3079</v>
      </c>
      <c r="Y32">
        <v>620</v>
      </c>
      <c r="Z32">
        <v>104</v>
      </c>
      <c r="AA32">
        <v>5.23</v>
      </c>
      <c r="AB32">
        <v>561.20000000000005</v>
      </c>
      <c r="AC32">
        <v>152</v>
      </c>
      <c r="AD32">
        <v>156</v>
      </c>
      <c r="AE32">
        <v>4113</v>
      </c>
      <c r="AF32">
        <v>186.8</v>
      </c>
      <c r="AG32">
        <v>4300</v>
      </c>
      <c r="AH32">
        <v>2904</v>
      </c>
      <c r="AI32">
        <v>260.2</v>
      </c>
      <c r="AJ32">
        <v>63.3</v>
      </c>
      <c r="AK32">
        <v>40.71</v>
      </c>
      <c r="AL32">
        <v>72</v>
      </c>
      <c r="AM32">
        <v>1110</v>
      </c>
      <c r="AN32">
        <v>506.5</v>
      </c>
      <c r="AO32">
        <v>5815</v>
      </c>
      <c r="AP32">
        <v>81</v>
      </c>
      <c r="AQ32">
        <v>149.12140830000001</v>
      </c>
      <c r="AR32" cm="1">
        <f t="array" ref="AR32">SUMPRODUCT($B$162:$U$162,(B32:U32)/($B$11:$U$11))</f>
        <v>26931.800917466921</v>
      </c>
      <c r="AS32">
        <f t="shared" si="0"/>
        <v>-75.050369011980365</v>
      </c>
      <c r="AT32">
        <f t="shared" si="1"/>
        <v>-2.778938137433129E-3</v>
      </c>
      <c r="AU32" cm="1">
        <f t="array" ref="AU32">SUMPRODUCT($X$162:$AQ$162,(X32:AQ32)/($X$11:$AQ$11))</f>
        <v>25825.514470306589</v>
      </c>
      <c r="AV32">
        <f t="shared" si="2"/>
        <v>2.6512507449260738</v>
      </c>
      <c r="AW32">
        <f t="shared" si="3"/>
        <v>-2.6512507449260738</v>
      </c>
      <c r="AX32">
        <f t="shared" si="4"/>
        <v>-77.701619756906439</v>
      </c>
    </row>
    <row r="33" spans="1:50" x14ac:dyDescent="0.2">
      <c r="A33" s="3">
        <v>45807</v>
      </c>
      <c r="B33">
        <v>866.2</v>
      </c>
      <c r="C33">
        <v>85.5</v>
      </c>
      <c r="D33">
        <v>2.8050000000000002</v>
      </c>
      <c r="E33">
        <v>10.11</v>
      </c>
      <c r="F33">
        <v>75.28</v>
      </c>
      <c r="G33">
        <v>7.8120000000000003</v>
      </c>
      <c r="H33">
        <v>34.46</v>
      </c>
      <c r="I33">
        <v>47.44</v>
      </c>
      <c r="J33">
        <v>41.73</v>
      </c>
      <c r="K33">
        <v>413.9</v>
      </c>
      <c r="L33">
        <v>98.02</v>
      </c>
      <c r="M33">
        <v>83.46</v>
      </c>
      <c r="N33">
        <v>6.92</v>
      </c>
      <c r="O33">
        <v>158.35</v>
      </c>
      <c r="P33">
        <v>14.48</v>
      </c>
      <c r="Q33">
        <v>14420</v>
      </c>
      <c r="R33">
        <v>0.37640000000000001</v>
      </c>
      <c r="S33">
        <v>122.9</v>
      </c>
      <c r="T33">
        <v>10.26</v>
      </c>
      <c r="U33">
        <v>14.57</v>
      </c>
      <c r="V33" s="6"/>
      <c r="W33" s="3">
        <v>45807</v>
      </c>
      <c r="X33">
        <v>3068</v>
      </c>
      <c r="Y33">
        <v>625</v>
      </c>
      <c r="Z33">
        <v>105.05</v>
      </c>
      <c r="AA33">
        <v>5.266</v>
      </c>
      <c r="AB33">
        <v>569.20000000000005</v>
      </c>
      <c r="AC33">
        <v>152.4</v>
      </c>
      <c r="AD33">
        <v>156.30000000000001</v>
      </c>
      <c r="AE33">
        <v>4128</v>
      </c>
      <c r="AF33">
        <v>188.2</v>
      </c>
      <c r="AG33">
        <v>4335</v>
      </c>
      <c r="AH33">
        <v>2906</v>
      </c>
      <c r="AI33">
        <v>265.5</v>
      </c>
      <c r="AJ33">
        <v>63.4</v>
      </c>
      <c r="AK33">
        <v>39.270000000000003</v>
      </c>
      <c r="AL33">
        <v>71.95</v>
      </c>
      <c r="AM33">
        <v>1114.5</v>
      </c>
      <c r="AN33">
        <v>509</v>
      </c>
      <c r="AO33">
        <v>5715</v>
      </c>
      <c r="AP33">
        <v>81.48</v>
      </c>
      <c r="AQ33">
        <v>149.12140830000001</v>
      </c>
      <c r="AR33" cm="1">
        <f t="array" ref="AR33">SUMPRODUCT($B$162:$U$162,(B33:U33)/($B$11:$U$11))</f>
        <v>26968.978329320416</v>
      </c>
      <c r="AS33">
        <f t="shared" si="0"/>
        <v>37.177411853495869</v>
      </c>
      <c r="AT33">
        <f t="shared" si="1"/>
        <v>1.3804279917049023E-3</v>
      </c>
      <c r="AU33" cm="1">
        <f t="array" ref="AU33">SUMPRODUCT($X$162:$AQ$162,(X33:AQ33)/($X$11:$AQ$11))</f>
        <v>25898.365864114654</v>
      </c>
      <c r="AV33">
        <f t="shared" si="2"/>
        <v>72.851393808065041</v>
      </c>
      <c r="AW33">
        <f t="shared" si="3"/>
        <v>-72.851393808065041</v>
      </c>
      <c r="AX33">
        <f t="shared" si="4"/>
        <v>-35.673981954569172</v>
      </c>
    </row>
    <row r="34" spans="1:50" x14ac:dyDescent="0.2">
      <c r="A34" s="3">
        <v>45810</v>
      </c>
      <c r="B34">
        <v>868.8</v>
      </c>
      <c r="C34">
        <v>87.16</v>
      </c>
      <c r="D34">
        <v>2.8050000000000002</v>
      </c>
      <c r="E34">
        <v>10.119999999999999</v>
      </c>
      <c r="F34">
        <v>72.94</v>
      </c>
      <c r="G34">
        <v>7.7480000000000002</v>
      </c>
      <c r="H34">
        <v>34.479999999999997</v>
      </c>
      <c r="I34">
        <v>47.18</v>
      </c>
      <c r="J34">
        <v>41.78</v>
      </c>
      <c r="K34">
        <v>414.4</v>
      </c>
      <c r="L34">
        <v>98.06</v>
      </c>
      <c r="M34">
        <v>83.04</v>
      </c>
      <c r="N34">
        <v>6.94</v>
      </c>
      <c r="O34">
        <v>157.15</v>
      </c>
      <c r="P34">
        <v>14.5</v>
      </c>
      <c r="Q34">
        <v>14400</v>
      </c>
      <c r="R34">
        <v>0.37890000000000001</v>
      </c>
      <c r="S34">
        <v>125.4</v>
      </c>
      <c r="T34">
        <v>10.33</v>
      </c>
      <c r="U34">
        <v>14.38</v>
      </c>
      <c r="V34" s="6"/>
      <c r="W34" s="3">
        <v>45810</v>
      </c>
      <c r="X34">
        <v>3046</v>
      </c>
      <c r="Y34">
        <v>616.5</v>
      </c>
      <c r="Z34">
        <v>105.8</v>
      </c>
      <c r="AA34">
        <v>5.3120000000000003</v>
      </c>
      <c r="AB34">
        <v>568.6</v>
      </c>
      <c r="AC34">
        <v>150</v>
      </c>
      <c r="AD34">
        <v>155.94999999999999</v>
      </c>
      <c r="AE34">
        <v>4154</v>
      </c>
      <c r="AF34">
        <v>188.2</v>
      </c>
      <c r="AG34">
        <v>4158</v>
      </c>
      <c r="AH34">
        <v>2912</v>
      </c>
      <c r="AI34">
        <v>264.7</v>
      </c>
      <c r="AJ34">
        <v>62.5</v>
      </c>
      <c r="AK34">
        <v>38.07</v>
      </c>
      <c r="AL34">
        <v>71.75</v>
      </c>
      <c r="AM34">
        <v>1113</v>
      </c>
      <c r="AN34">
        <v>508.5</v>
      </c>
      <c r="AO34">
        <v>5610</v>
      </c>
      <c r="AP34">
        <v>80.94</v>
      </c>
      <c r="AQ34">
        <v>146.3424033</v>
      </c>
      <c r="AR34" cm="1">
        <f t="array" ref="AR34">SUMPRODUCT($B$162:$U$162,(B34:U34)/($B$11:$U$11))</f>
        <v>27004.258760905173</v>
      </c>
      <c r="AS34">
        <f t="shared" si="0"/>
        <v>35.280431584757025</v>
      </c>
      <c r="AT34">
        <f t="shared" si="1"/>
        <v>1.3081856922403379E-3</v>
      </c>
      <c r="AU34" cm="1">
        <f t="array" ref="AU34">SUMPRODUCT($X$162:$AQ$162,(X34:AQ34)/($X$11:$AQ$11))</f>
        <v>25726.88055700206</v>
      </c>
      <c r="AV34">
        <f t="shared" si="2"/>
        <v>-171.48530711259446</v>
      </c>
      <c r="AW34">
        <f t="shared" si="3"/>
        <v>171.48530711259446</v>
      </c>
      <c r="AX34">
        <f t="shared" si="4"/>
        <v>206.76573869735148</v>
      </c>
    </row>
    <row r="35" spans="1:50" x14ac:dyDescent="0.2">
      <c r="A35" s="3">
        <v>45811</v>
      </c>
      <c r="B35">
        <v>894.2</v>
      </c>
      <c r="C35">
        <v>88.92</v>
      </c>
      <c r="D35">
        <v>2.782</v>
      </c>
      <c r="E35">
        <v>10.17</v>
      </c>
      <c r="F35">
        <v>71.819999999999993</v>
      </c>
      <c r="G35">
        <v>7.718</v>
      </c>
      <c r="H35">
        <v>33.86</v>
      </c>
      <c r="I35">
        <v>47.8</v>
      </c>
      <c r="J35">
        <v>42.17</v>
      </c>
      <c r="K35">
        <v>405.1</v>
      </c>
      <c r="L35">
        <v>97.44</v>
      </c>
      <c r="M35">
        <v>82.12</v>
      </c>
      <c r="N35">
        <v>7.0750000000000002</v>
      </c>
      <c r="O35">
        <v>164</v>
      </c>
      <c r="P35">
        <v>14.39</v>
      </c>
      <c r="Q35">
        <v>14260</v>
      </c>
      <c r="R35">
        <v>0.37630000000000002</v>
      </c>
      <c r="S35">
        <v>122.55</v>
      </c>
      <c r="T35">
        <v>10.4</v>
      </c>
      <c r="U35">
        <v>14.39</v>
      </c>
      <c r="V35" s="6"/>
      <c r="W35" s="3">
        <v>45811</v>
      </c>
      <c r="X35">
        <v>3011</v>
      </c>
      <c r="Y35">
        <v>612.5</v>
      </c>
      <c r="Z35">
        <v>105.15</v>
      </c>
      <c r="AA35">
        <v>5.242</v>
      </c>
      <c r="AB35">
        <v>564.4</v>
      </c>
      <c r="AC35">
        <v>149.5</v>
      </c>
      <c r="AD35">
        <v>154.55000000000001</v>
      </c>
      <c r="AE35">
        <v>4147</v>
      </c>
      <c r="AF35">
        <v>185.6</v>
      </c>
      <c r="AG35">
        <v>4265</v>
      </c>
      <c r="AH35">
        <v>2906</v>
      </c>
      <c r="AI35">
        <v>263.8</v>
      </c>
      <c r="AJ35">
        <v>61.9</v>
      </c>
      <c r="AK35">
        <v>38.409999999999997</v>
      </c>
      <c r="AL35">
        <v>72.650000000000006</v>
      </c>
      <c r="AM35">
        <v>1102</v>
      </c>
      <c r="AN35">
        <v>488.6</v>
      </c>
      <c r="AO35">
        <v>5660</v>
      </c>
      <c r="AP35">
        <v>80.98</v>
      </c>
      <c r="AQ35">
        <v>144.61942020000001</v>
      </c>
      <c r="AR35" cm="1">
        <f t="array" ref="AR35">SUMPRODUCT($B$162:$U$162,(B35:U35)/($B$11:$U$11))</f>
        <v>27105.004153012076</v>
      </c>
      <c r="AS35">
        <f t="shared" si="0"/>
        <v>100.74539210690273</v>
      </c>
      <c r="AT35">
        <f t="shared" si="1"/>
        <v>3.7307223649016841E-3</v>
      </c>
      <c r="AU35" cm="1">
        <f t="array" ref="AU35">SUMPRODUCT($X$162:$AQ$162,(X35:AQ35)/($X$11:$AQ$11))</f>
        <v>25585.097277840046</v>
      </c>
      <c r="AV35">
        <f t="shared" si="2"/>
        <v>-141.78327916201306</v>
      </c>
      <c r="AW35">
        <f t="shared" si="3"/>
        <v>141.78327916201306</v>
      </c>
      <c r="AX35">
        <f t="shared" si="4"/>
        <v>242.52867126891579</v>
      </c>
    </row>
    <row r="36" spans="1:50" x14ac:dyDescent="0.2">
      <c r="A36" s="3">
        <v>45812</v>
      </c>
      <c r="B36">
        <v>891.2</v>
      </c>
      <c r="C36">
        <v>88.52</v>
      </c>
      <c r="D36">
        <v>2.7669999999999999</v>
      </c>
      <c r="E36">
        <v>10.14</v>
      </c>
      <c r="F36">
        <v>71.8</v>
      </c>
      <c r="G36">
        <v>7.6680000000000001</v>
      </c>
      <c r="H36">
        <v>33.659999999999997</v>
      </c>
      <c r="I36">
        <v>48.58</v>
      </c>
      <c r="J36">
        <v>42.45</v>
      </c>
      <c r="K36">
        <v>399</v>
      </c>
      <c r="L36">
        <v>97.7</v>
      </c>
      <c r="M36">
        <v>81.08</v>
      </c>
      <c r="N36">
        <v>6.8150000000000004</v>
      </c>
      <c r="O36">
        <v>161.69999999999999</v>
      </c>
      <c r="P36">
        <v>14.34</v>
      </c>
      <c r="Q36">
        <v>14330</v>
      </c>
      <c r="R36">
        <v>0.37930000000000003</v>
      </c>
      <c r="S36">
        <v>126.25</v>
      </c>
      <c r="T36">
        <v>10.5</v>
      </c>
      <c r="U36">
        <v>14.31</v>
      </c>
      <c r="V36" s="6"/>
      <c r="W36" s="3">
        <v>45812</v>
      </c>
      <c r="X36">
        <v>3031</v>
      </c>
      <c r="Y36">
        <v>614.5</v>
      </c>
      <c r="Z36">
        <v>106.55</v>
      </c>
      <c r="AA36">
        <v>5.2519999999999998</v>
      </c>
      <c r="AB36">
        <v>562</v>
      </c>
      <c r="AC36">
        <v>154.9</v>
      </c>
      <c r="AD36">
        <v>156.19999999999999</v>
      </c>
      <c r="AE36">
        <v>4224</v>
      </c>
      <c r="AF36">
        <v>184.8</v>
      </c>
      <c r="AG36">
        <v>4282</v>
      </c>
      <c r="AH36">
        <v>2942</v>
      </c>
      <c r="AI36">
        <v>267.2</v>
      </c>
      <c r="AJ36">
        <v>61.8</v>
      </c>
      <c r="AK36">
        <v>39.57</v>
      </c>
      <c r="AL36">
        <v>72.650000000000006</v>
      </c>
      <c r="AM36">
        <v>1127</v>
      </c>
      <c r="AN36">
        <v>483.2</v>
      </c>
      <c r="AO36">
        <v>5760</v>
      </c>
      <c r="AP36">
        <v>81.92</v>
      </c>
      <c r="AQ36">
        <v>148.2877068</v>
      </c>
      <c r="AR36" cm="1">
        <f t="array" ref="AR36">SUMPRODUCT($B$162:$U$162,(B36:U36)/($B$11:$U$11))</f>
        <v>27028.532883172073</v>
      </c>
      <c r="AS36">
        <f t="shared" si="0"/>
        <v>-76.471269840003515</v>
      </c>
      <c r="AT36">
        <f t="shared" si="1"/>
        <v>-2.8212971083978466E-3</v>
      </c>
      <c r="AU36" cm="1">
        <f t="array" ref="AU36">SUMPRODUCT($X$162:$AQ$162,(X36:AQ36)/($X$11:$AQ$11))</f>
        <v>25833.064721973366</v>
      </c>
      <c r="AV36">
        <f t="shared" si="2"/>
        <v>247.96744413331908</v>
      </c>
      <c r="AW36">
        <f t="shared" si="3"/>
        <v>-247.96744413331908</v>
      </c>
      <c r="AX36">
        <f t="shared" si="4"/>
        <v>-324.43871397332259</v>
      </c>
    </row>
    <row r="37" spans="1:50" x14ac:dyDescent="0.2">
      <c r="A37" s="3">
        <v>45813</v>
      </c>
      <c r="B37">
        <v>876.4</v>
      </c>
      <c r="C37">
        <v>88.44</v>
      </c>
      <c r="D37">
        <v>2.81</v>
      </c>
      <c r="E37">
        <v>10.35</v>
      </c>
      <c r="F37">
        <v>70.44</v>
      </c>
      <c r="G37">
        <v>7.8440000000000003</v>
      </c>
      <c r="H37">
        <v>33.5</v>
      </c>
      <c r="I37">
        <v>49.2</v>
      </c>
      <c r="J37">
        <v>43.79</v>
      </c>
      <c r="K37">
        <v>403.3</v>
      </c>
      <c r="L37">
        <v>97.18</v>
      </c>
      <c r="M37">
        <v>82</v>
      </c>
      <c r="N37">
        <v>7.07</v>
      </c>
      <c r="O37">
        <v>161</v>
      </c>
      <c r="P37">
        <v>14.44</v>
      </c>
      <c r="Q37">
        <v>14315</v>
      </c>
      <c r="R37">
        <v>0.38319999999999999</v>
      </c>
      <c r="S37">
        <v>131.19999999999999</v>
      </c>
      <c r="T37">
        <v>10.44</v>
      </c>
      <c r="U37">
        <v>13.91</v>
      </c>
      <c r="V37" s="6"/>
      <c r="W37" s="3">
        <v>45813</v>
      </c>
      <c r="X37">
        <v>3018</v>
      </c>
      <c r="Y37">
        <v>608</v>
      </c>
      <c r="Z37">
        <v>104.85</v>
      </c>
      <c r="AA37">
        <v>5.19</v>
      </c>
      <c r="AB37">
        <v>561.6</v>
      </c>
      <c r="AC37">
        <v>156</v>
      </c>
      <c r="AD37">
        <v>156.05000000000001</v>
      </c>
      <c r="AE37">
        <v>4208</v>
      </c>
      <c r="AF37">
        <v>186.8</v>
      </c>
      <c r="AG37">
        <v>4303</v>
      </c>
      <c r="AH37">
        <v>2956</v>
      </c>
      <c r="AI37">
        <v>267.7</v>
      </c>
      <c r="AJ37">
        <v>62.3</v>
      </c>
      <c r="AK37">
        <v>39.5</v>
      </c>
      <c r="AL37">
        <v>72.5</v>
      </c>
      <c r="AM37">
        <v>1138.5</v>
      </c>
      <c r="AN37">
        <v>480.4</v>
      </c>
      <c r="AO37">
        <v>5740</v>
      </c>
      <c r="AP37">
        <v>81.5</v>
      </c>
      <c r="AQ37">
        <v>148.2877068</v>
      </c>
      <c r="AR37" cm="1">
        <f t="array" ref="AR37">SUMPRODUCT($B$162:$U$162,(B37:U37)/($B$11:$U$11))</f>
        <v>27179.120648178086</v>
      </c>
      <c r="AS37">
        <f t="shared" si="0"/>
        <v>150.5877650060138</v>
      </c>
      <c r="AT37">
        <f t="shared" si="1"/>
        <v>5.5714368832711081E-3</v>
      </c>
      <c r="AU37" cm="1">
        <f t="array" ref="AU37">SUMPRODUCT($X$162:$AQ$162,(X37:AQ37)/($X$11:$AQ$11))</f>
        <v>25760.948754913821</v>
      </c>
      <c r="AV37">
        <f t="shared" si="2"/>
        <v>-72.115967059544346</v>
      </c>
      <c r="AW37">
        <f t="shared" si="3"/>
        <v>72.115967059544346</v>
      </c>
      <c r="AX37">
        <f t="shared" si="4"/>
        <v>222.70373206555814</v>
      </c>
    </row>
    <row r="38" spans="1:50" x14ac:dyDescent="0.2">
      <c r="A38" s="3">
        <v>45814</v>
      </c>
      <c r="B38">
        <v>885</v>
      </c>
      <c r="C38">
        <v>88.68</v>
      </c>
      <c r="D38">
        <v>2.8119999999999998</v>
      </c>
      <c r="E38">
        <v>10.33</v>
      </c>
      <c r="F38">
        <v>69.040000000000006</v>
      </c>
      <c r="G38">
        <v>7.9480000000000004</v>
      </c>
      <c r="H38">
        <v>33.479999999999997</v>
      </c>
      <c r="I38">
        <v>49.66</v>
      </c>
      <c r="J38">
        <v>44.02</v>
      </c>
      <c r="K38">
        <v>405.2</v>
      </c>
      <c r="L38">
        <v>97.56</v>
      </c>
      <c r="M38">
        <v>82.28</v>
      </c>
      <c r="N38">
        <v>7.085</v>
      </c>
      <c r="O38">
        <v>160.69999999999999</v>
      </c>
      <c r="P38">
        <v>14.59</v>
      </c>
      <c r="Q38">
        <v>14310</v>
      </c>
      <c r="R38">
        <v>0.3861</v>
      </c>
      <c r="S38">
        <v>128.15</v>
      </c>
      <c r="T38">
        <v>10.55</v>
      </c>
      <c r="U38">
        <v>13.86</v>
      </c>
      <c r="V38" s="6"/>
      <c r="W38" s="3">
        <v>45814</v>
      </c>
      <c r="X38">
        <v>3028</v>
      </c>
      <c r="Y38">
        <v>605.5</v>
      </c>
      <c r="Z38">
        <v>103.75</v>
      </c>
      <c r="AA38">
        <v>5.2320000000000002</v>
      </c>
      <c r="AB38">
        <v>573.4</v>
      </c>
      <c r="AC38">
        <v>159.4</v>
      </c>
      <c r="AD38">
        <v>155.44999999999999</v>
      </c>
      <c r="AE38">
        <v>4174</v>
      </c>
      <c r="AF38">
        <v>187.8</v>
      </c>
      <c r="AG38">
        <v>4281</v>
      </c>
      <c r="AH38">
        <v>2978</v>
      </c>
      <c r="AI38">
        <v>268.2</v>
      </c>
      <c r="AJ38">
        <v>62.2</v>
      </c>
      <c r="AK38">
        <v>39.5</v>
      </c>
      <c r="AL38">
        <v>72.849999999999994</v>
      </c>
      <c r="AM38">
        <v>1135</v>
      </c>
      <c r="AN38">
        <v>475</v>
      </c>
      <c r="AO38">
        <v>5750</v>
      </c>
      <c r="AP38">
        <v>81.5</v>
      </c>
      <c r="AQ38">
        <v>148.56560730000001</v>
      </c>
      <c r="AR38" cm="1">
        <f t="array" ref="AR38">SUMPRODUCT($B$162:$U$162,(B38:U38)/($B$11:$U$11))</f>
        <v>27239.60335427738</v>
      </c>
      <c r="AS38">
        <f t="shared" si="0"/>
        <v>60.482706099293864</v>
      </c>
      <c r="AT38">
        <f t="shared" si="1"/>
        <v>2.2253371211753414E-3</v>
      </c>
      <c r="AU38" cm="1">
        <f t="array" ref="AU38">SUMPRODUCT($X$162:$AQ$162,(X38:AQ38)/($X$11:$AQ$11))</f>
        <v>25778.355317069243</v>
      </c>
      <c r="AV38">
        <f t="shared" si="2"/>
        <v>17.406562155421852</v>
      </c>
      <c r="AW38">
        <f t="shared" si="3"/>
        <v>-17.406562155421852</v>
      </c>
      <c r="AX38">
        <f t="shared" si="4"/>
        <v>43.076143943872012</v>
      </c>
    </row>
    <row r="39" spans="1:50" x14ac:dyDescent="0.2">
      <c r="A39" s="3">
        <v>45817</v>
      </c>
      <c r="B39">
        <v>888.2</v>
      </c>
      <c r="C39">
        <v>86.14</v>
      </c>
      <c r="D39">
        <v>2.8130000000000002</v>
      </c>
      <c r="E39">
        <v>10.38</v>
      </c>
      <c r="F39">
        <v>70.44</v>
      </c>
      <c r="G39">
        <v>7.9340000000000002</v>
      </c>
      <c r="H39">
        <v>33.68</v>
      </c>
      <c r="I39">
        <v>49.66</v>
      </c>
      <c r="J39">
        <v>44.02</v>
      </c>
      <c r="K39">
        <v>397.8</v>
      </c>
      <c r="L39">
        <v>97.68</v>
      </c>
      <c r="M39">
        <v>83</v>
      </c>
      <c r="N39">
        <v>7.0750000000000002</v>
      </c>
      <c r="O39">
        <v>160.69999999999999</v>
      </c>
      <c r="P39">
        <v>14.5</v>
      </c>
      <c r="Q39">
        <v>14415</v>
      </c>
      <c r="R39">
        <v>0.38369999999999999</v>
      </c>
      <c r="S39">
        <v>129.35</v>
      </c>
      <c r="T39">
        <v>10.68</v>
      </c>
      <c r="U39">
        <v>14.01</v>
      </c>
      <c r="V39" s="6"/>
      <c r="W39" s="3">
        <v>45817</v>
      </c>
      <c r="X39">
        <v>3083</v>
      </c>
      <c r="Y39">
        <v>605.5</v>
      </c>
      <c r="Z39">
        <v>103.35</v>
      </c>
      <c r="AA39">
        <v>5.202</v>
      </c>
      <c r="AB39">
        <v>573.4</v>
      </c>
      <c r="AC39">
        <v>159.4</v>
      </c>
      <c r="AD39">
        <v>154.19999999999999</v>
      </c>
      <c r="AE39">
        <v>4174</v>
      </c>
      <c r="AF39">
        <v>187.8</v>
      </c>
      <c r="AG39">
        <v>4312</v>
      </c>
      <c r="AH39">
        <v>3012</v>
      </c>
      <c r="AI39">
        <v>268.2</v>
      </c>
      <c r="AJ39">
        <v>61.9</v>
      </c>
      <c r="AK39">
        <v>39.18</v>
      </c>
      <c r="AL39">
        <v>72.75</v>
      </c>
      <c r="AM39">
        <v>1123</v>
      </c>
      <c r="AN39">
        <v>484</v>
      </c>
      <c r="AO39">
        <v>5940</v>
      </c>
      <c r="AP39">
        <v>81.66</v>
      </c>
      <c r="AQ39">
        <v>148.56560730000001</v>
      </c>
      <c r="AR39" cm="1">
        <f t="array" ref="AR39">SUMPRODUCT($B$162:$U$162,(B39:U39)/($B$11:$U$11))</f>
        <v>27203.153981894175</v>
      </c>
      <c r="AS39">
        <f t="shared" si="0"/>
        <v>-36.449372383205628</v>
      </c>
      <c r="AT39">
        <f t="shared" si="1"/>
        <v>-1.3381021709143459E-3</v>
      </c>
      <c r="AU39" cm="1">
        <f t="array" ref="AU39">SUMPRODUCT($X$162:$AQ$162,(X39:AQ39)/($X$11:$AQ$11))</f>
        <v>25843.950723725895</v>
      </c>
      <c r="AV39">
        <f t="shared" si="2"/>
        <v>65.595406656651903</v>
      </c>
      <c r="AW39">
        <f t="shared" si="3"/>
        <v>-65.595406656651903</v>
      </c>
      <c r="AX39">
        <f t="shared" si="4"/>
        <v>-102.04477903985753</v>
      </c>
    </row>
    <row r="40" spans="1:50" x14ac:dyDescent="0.2">
      <c r="A40" s="3">
        <v>45818</v>
      </c>
      <c r="B40">
        <v>880</v>
      </c>
      <c r="C40">
        <v>83.02</v>
      </c>
      <c r="D40">
        <v>2.7850000000000001</v>
      </c>
      <c r="E40">
        <v>10.11</v>
      </c>
      <c r="F40">
        <v>72.88</v>
      </c>
      <c r="G40">
        <v>7.6859999999999999</v>
      </c>
      <c r="H40">
        <v>33.72</v>
      </c>
      <c r="I40">
        <v>50.55</v>
      </c>
      <c r="J40">
        <v>43.45</v>
      </c>
      <c r="K40">
        <v>397.2</v>
      </c>
      <c r="L40">
        <v>99</v>
      </c>
      <c r="M40">
        <v>84.3</v>
      </c>
      <c r="N40">
        <v>6.99</v>
      </c>
      <c r="O40">
        <v>163.35</v>
      </c>
      <c r="P40">
        <v>14.6</v>
      </c>
      <c r="Q40">
        <v>14575</v>
      </c>
      <c r="R40">
        <v>0.3846</v>
      </c>
      <c r="S40">
        <v>129.6</v>
      </c>
      <c r="T40">
        <v>10.62</v>
      </c>
      <c r="U40">
        <v>14.27</v>
      </c>
      <c r="V40" s="6"/>
      <c r="W40" s="3">
        <v>45818</v>
      </c>
      <c r="X40">
        <v>3152</v>
      </c>
      <c r="Y40">
        <v>619</v>
      </c>
      <c r="Z40">
        <v>104.1</v>
      </c>
      <c r="AA40">
        <v>5.2320000000000002</v>
      </c>
      <c r="AB40">
        <v>576.6</v>
      </c>
      <c r="AC40">
        <v>161.4</v>
      </c>
      <c r="AD40">
        <v>154.15</v>
      </c>
      <c r="AE40">
        <v>4188</v>
      </c>
      <c r="AF40">
        <v>187.8</v>
      </c>
      <c r="AG40">
        <v>4342</v>
      </c>
      <c r="AH40">
        <v>3002</v>
      </c>
      <c r="AI40">
        <v>269.8</v>
      </c>
      <c r="AJ40">
        <v>62</v>
      </c>
      <c r="AK40">
        <v>40.32</v>
      </c>
      <c r="AL40">
        <v>73.55</v>
      </c>
      <c r="AM40">
        <v>1112</v>
      </c>
      <c r="AN40">
        <v>494</v>
      </c>
      <c r="AO40">
        <v>5995</v>
      </c>
      <c r="AP40">
        <v>82.22</v>
      </c>
      <c r="AQ40">
        <v>154.51267799999999</v>
      </c>
      <c r="AR40" cm="1">
        <f t="array" ref="AR40">SUMPRODUCT($B$162:$U$162,(B40:U40)/($B$11:$U$11))</f>
        <v>27071.149279949212</v>
      </c>
      <c r="AS40">
        <f t="shared" si="0"/>
        <v>-132.00470194496302</v>
      </c>
      <c r="AT40">
        <f t="shared" si="1"/>
        <v>-4.8525513634493089E-3</v>
      </c>
      <c r="AU40" cm="1">
        <f t="array" ref="AU40">SUMPRODUCT($X$162:$AQ$162,(X40:AQ40)/($X$11:$AQ$11))</f>
        <v>26125.413034041048</v>
      </c>
      <c r="AV40">
        <f t="shared" si="2"/>
        <v>281.46231031515345</v>
      </c>
      <c r="AW40">
        <f t="shared" si="3"/>
        <v>-281.46231031515345</v>
      </c>
      <c r="AX40">
        <f t="shared" si="4"/>
        <v>-413.46701226011646</v>
      </c>
    </row>
    <row r="41" spans="1:50" x14ac:dyDescent="0.2">
      <c r="A41" s="3">
        <v>45819</v>
      </c>
      <c r="B41">
        <v>893.4</v>
      </c>
      <c r="C41">
        <v>85.56</v>
      </c>
      <c r="D41">
        <v>2.8050000000000002</v>
      </c>
      <c r="E41">
        <v>10.045</v>
      </c>
      <c r="F41">
        <v>72.680000000000007</v>
      </c>
      <c r="G41">
        <v>7.68</v>
      </c>
      <c r="H41">
        <v>33.64</v>
      </c>
      <c r="I41">
        <v>51.65</v>
      </c>
      <c r="J41">
        <v>42.67</v>
      </c>
      <c r="K41">
        <v>398.3</v>
      </c>
      <c r="L41">
        <v>96.98</v>
      </c>
      <c r="M41">
        <v>83.92</v>
      </c>
      <c r="N41">
        <v>6.97</v>
      </c>
      <c r="O41">
        <v>163.75</v>
      </c>
      <c r="P41">
        <v>14.34</v>
      </c>
      <c r="Q41">
        <v>14425</v>
      </c>
      <c r="R41">
        <v>0.38829999999999998</v>
      </c>
      <c r="S41">
        <v>128.30000000000001</v>
      </c>
      <c r="T41">
        <v>10.48</v>
      </c>
      <c r="U41">
        <v>14.21</v>
      </c>
      <c r="V41" s="6"/>
      <c r="W41" s="3">
        <v>45819</v>
      </c>
      <c r="X41">
        <v>3141</v>
      </c>
      <c r="Y41">
        <v>619</v>
      </c>
      <c r="Z41">
        <v>103.55</v>
      </c>
      <c r="AA41">
        <v>5.2359999999999998</v>
      </c>
      <c r="AB41">
        <v>577</v>
      </c>
      <c r="AC41">
        <v>161.19999999999999</v>
      </c>
      <c r="AD41">
        <v>152.05000000000001</v>
      </c>
      <c r="AE41">
        <v>4174</v>
      </c>
      <c r="AF41">
        <v>186.4</v>
      </c>
      <c r="AG41">
        <v>4337</v>
      </c>
      <c r="AH41">
        <v>3020</v>
      </c>
      <c r="AI41">
        <v>269.89999999999998</v>
      </c>
      <c r="AJ41">
        <v>61.8</v>
      </c>
      <c r="AK41">
        <v>40.14</v>
      </c>
      <c r="AL41">
        <v>73.400000000000006</v>
      </c>
      <c r="AM41">
        <v>1108.5</v>
      </c>
      <c r="AN41">
        <v>495.8</v>
      </c>
      <c r="AO41">
        <v>6005</v>
      </c>
      <c r="AP41">
        <v>81.42</v>
      </c>
      <c r="AQ41">
        <v>155.7354402</v>
      </c>
      <c r="AR41" cm="1">
        <f t="array" ref="AR41">SUMPRODUCT($B$162:$U$162,(B41:U41)/($B$11:$U$11))</f>
        <v>27148.166604196733</v>
      </c>
      <c r="AS41">
        <f t="shared" si="0"/>
        <v>77.017324247521174</v>
      </c>
      <c r="AT41">
        <f t="shared" si="1"/>
        <v>2.8449964739607481E-3</v>
      </c>
      <c r="AU41" cm="1">
        <f t="array" ref="AU41">SUMPRODUCT($X$162:$AQ$162,(X41:AQ41)/($X$11:$AQ$11))</f>
        <v>26073.974550022824</v>
      </c>
      <c r="AV41">
        <f t="shared" si="2"/>
        <v>-51.438484018224699</v>
      </c>
      <c r="AW41">
        <f t="shared" si="3"/>
        <v>51.438484018224699</v>
      </c>
      <c r="AX41">
        <f t="shared" si="4"/>
        <v>128.45580826574587</v>
      </c>
    </row>
    <row r="42" spans="1:50" x14ac:dyDescent="0.2">
      <c r="A42" s="3">
        <v>45820</v>
      </c>
      <c r="B42">
        <v>887.4</v>
      </c>
      <c r="C42">
        <v>85.7</v>
      </c>
      <c r="D42">
        <v>2.839</v>
      </c>
      <c r="E42">
        <v>10.06</v>
      </c>
      <c r="F42">
        <v>71.56</v>
      </c>
      <c r="G42">
        <v>7.6479999999999997</v>
      </c>
      <c r="H42">
        <v>33.54</v>
      </c>
      <c r="I42">
        <v>52.9</v>
      </c>
      <c r="J42">
        <v>43.17</v>
      </c>
      <c r="K42">
        <v>400</v>
      </c>
      <c r="L42">
        <v>96.24</v>
      </c>
      <c r="M42">
        <v>83.32</v>
      </c>
      <c r="N42">
        <v>7.04</v>
      </c>
      <c r="O42">
        <v>165.25</v>
      </c>
      <c r="P42">
        <v>14.35</v>
      </c>
      <c r="Q42">
        <v>14470</v>
      </c>
      <c r="R42">
        <v>0.38369999999999999</v>
      </c>
      <c r="S42">
        <v>126.1</v>
      </c>
      <c r="T42">
        <v>10.28</v>
      </c>
      <c r="U42">
        <v>13.82</v>
      </c>
      <c r="V42" s="6"/>
      <c r="W42" s="3">
        <v>45820</v>
      </c>
      <c r="X42">
        <v>3100</v>
      </c>
      <c r="Y42">
        <v>609.5</v>
      </c>
      <c r="Z42">
        <v>102.9</v>
      </c>
      <c r="AA42">
        <v>5.2460000000000004</v>
      </c>
      <c r="AB42">
        <v>583.4</v>
      </c>
      <c r="AC42">
        <v>159.5</v>
      </c>
      <c r="AD42">
        <v>150.19999999999999</v>
      </c>
      <c r="AE42">
        <v>4171</v>
      </c>
      <c r="AF42">
        <v>186.4</v>
      </c>
      <c r="AG42">
        <v>4304</v>
      </c>
      <c r="AH42">
        <v>3120</v>
      </c>
      <c r="AI42">
        <v>272.60000000000002</v>
      </c>
      <c r="AJ42">
        <v>61.8</v>
      </c>
      <c r="AK42">
        <v>39.340000000000003</v>
      </c>
      <c r="AL42">
        <v>72.95</v>
      </c>
      <c r="AM42">
        <v>1102</v>
      </c>
      <c r="AN42">
        <v>495.2</v>
      </c>
      <c r="AO42">
        <v>5990</v>
      </c>
      <c r="AP42">
        <v>78.58</v>
      </c>
      <c r="AQ42">
        <v>153.95687699999999</v>
      </c>
      <c r="AR42" cm="1">
        <f t="array" ref="AR42">SUMPRODUCT($B$162:$U$162,(B42:U42)/($B$11:$U$11))</f>
        <v>27124.536455031579</v>
      </c>
      <c r="AS42">
        <f t="shared" si="0"/>
        <v>-23.630149165153853</v>
      </c>
      <c r="AT42">
        <f t="shared" si="1"/>
        <v>-8.7041417970012969E-4</v>
      </c>
      <c r="AU42" cm="1">
        <f t="array" ref="AU42">SUMPRODUCT($X$162:$AQ$162,(X42:AQ42)/($X$11:$AQ$11))</f>
        <v>25928.377731708246</v>
      </c>
      <c r="AV42">
        <f t="shared" si="2"/>
        <v>-145.59681831457783</v>
      </c>
      <c r="AW42">
        <f t="shared" si="3"/>
        <v>145.59681831457783</v>
      </c>
      <c r="AX42">
        <f t="shared" si="4"/>
        <v>121.96666914942398</v>
      </c>
    </row>
    <row r="43" spans="1:50" x14ac:dyDescent="0.2">
      <c r="A43" s="3">
        <v>45821</v>
      </c>
      <c r="B43">
        <v>870</v>
      </c>
      <c r="C43">
        <v>84.82</v>
      </c>
      <c r="D43">
        <v>2.778</v>
      </c>
      <c r="E43">
        <v>9.9160000000000004</v>
      </c>
      <c r="F43">
        <v>70.36</v>
      </c>
      <c r="G43">
        <v>7.55</v>
      </c>
      <c r="H43">
        <v>33.26</v>
      </c>
      <c r="I43">
        <v>53.3</v>
      </c>
      <c r="J43">
        <v>42.76</v>
      </c>
      <c r="K43">
        <v>396.1</v>
      </c>
      <c r="L43">
        <v>96.42</v>
      </c>
      <c r="M43">
        <v>82.84</v>
      </c>
      <c r="N43">
        <v>6.9349999999999996</v>
      </c>
      <c r="O43">
        <v>166</v>
      </c>
      <c r="P43">
        <v>13.97</v>
      </c>
      <c r="Q43">
        <v>14100</v>
      </c>
      <c r="R43">
        <v>0.375</v>
      </c>
      <c r="S43">
        <v>123.85</v>
      </c>
      <c r="T43">
        <v>10.01</v>
      </c>
      <c r="U43">
        <v>13.45</v>
      </c>
      <c r="V43" s="6"/>
      <c r="W43" s="3">
        <v>45821</v>
      </c>
      <c r="X43">
        <v>3071</v>
      </c>
      <c r="Y43">
        <v>596</v>
      </c>
      <c r="Z43">
        <v>101.7</v>
      </c>
      <c r="AA43">
        <v>5.2560000000000002</v>
      </c>
      <c r="AB43">
        <v>568.79999999999995</v>
      </c>
      <c r="AC43">
        <v>155.19999999999999</v>
      </c>
      <c r="AD43">
        <v>146.44999999999999</v>
      </c>
      <c r="AE43">
        <v>4124</v>
      </c>
      <c r="AF43">
        <v>185</v>
      </c>
      <c r="AG43">
        <v>4267</v>
      </c>
      <c r="AH43">
        <v>3112</v>
      </c>
      <c r="AI43">
        <v>269.7</v>
      </c>
      <c r="AJ43">
        <v>61.3</v>
      </c>
      <c r="AK43">
        <v>40.39</v>
      </c>
      <c r="AL43">
        <v>72</v>
      </c>
      <c r="AM43">
        <v>1088</v>
      </c>
      <c r="AN43">
        <v>486</v>
      </c>
      <c r="AO43">
        <v>5945</v>
      </c>
      <c r="AP43">
        <v>76.5</v>
      </c>
      <c r="AQ43">
        <v>152.0115735</v>
      </c>
      <c r="AR43" cm="1">
        <f t="array" ref="AR43">SUMPRODUCT($B$162:$U$162,(B43:U43)/($B$11:$U$11))</f>
        <v>26744.532120744483</v>
      </c>
      <c r="AS43">
        <f t="shared" si="0"/>
        <v>-380.00433428709584</v>
      </c>
      <c r="AT43">
        <f t="shared" si="1"/>
        <v>-1.400961579259008E-2</v>
      </c>
      <c r="AU43" cm="1">
        <f t="array" ref="AU43">SUMPRODUCT($X$162:$AQ$162,(X43:AQ43)/($X$11:$AQ$11))</f>
        <v>25620.590604401743</v>
      </c>
      <c r="AV43">
        <f t="shared" si="2"/>
        <v>-307.78712730650295</v>
      </c>
      <c r="AW43">
        <f t="shared" si="3"/>
        <v>307.78712730650295</v>
      </c>
      <c r="AX43">
        <f t="shared" si="4"/>
        <v>-72.217206980592891</v>
      </c>
    </row>
    <row r="44" spans="1:50" x14ac:dyDescent="0.2">
      <c r="A44" s="3">
        <v>45824</v>
      </c>
      <c r="B44">
        <v>885.4</v>
      </c>
      <c r="C44">
        <v>88.7</v>
      </c>
      <c r="D44">
        <v>2.8380000000000001</v>
      </c>
      <c r="E44">
        <v>10.065</v>
      </c>
      <c r="F44">
        <v>70.38</v>
      </c>
      <c r="G44">
        <v>7.71</v>
      </c>
      <c r="H44">
        <v>33.94</v>
      </c>
      <c r="I44">
        <v>53.85</v>
      </c>
      <c r="J44">
        <v>42.5</v>
      </c>
      <c r="K44">
        <v>391</v>
      </c>
      <c r="L44">
        <v>95.48</v>
      </c>
      <c r="M44">
        <v>83.92</v>
      </c>
      <c r="N44">
        <v>7.01</v>
      </c>
      <c r="O44">
        <v>168.1</v>
      </c>
      <c r="P44">
        <v>14.08</v>
      </c>
      <c r="Q44">
        <v>14215</v>
      </c>
      <c r="R44">
        <v>0.38640000000000002</v>
      </c>
      <c r="S44">
        <v>125.15</v>
      </c>
      <c r="T44">
        <v>10.130000000000001</v>
      </c>
      <c r="U44">
        <v>13.55</v>
      </c>
      <c r="V44" s="6"/>
      <c r="W44" s="3">
        <v>45824</v>
      </c>
      <c r="X44">
        <v>3076</v>
      </c>
      <c r="Y44">
        <v>597.5</v>
      </c>
      <c r="Z44">
        <v>98.68</v>
      </c>
      <c r="AA44">
        <v>5.23</v>
      </c>
      <c r="AB44">
        <v>567</v>
      </c>
      <c r="AC44">
        <v>158</v>
      </c>
      <c r="AD44">
        <v>145.9</v>
      </c>
      <c r="AE44">
        <v>4100</v>
      </c>
      <c r="AF44">
        <v>184.4</v>
      </c>
      <c r="AG44">
        <v>4382</v>
      </c>
      <c r="AH44">
        <v>3152</v>
      </c>
      <c r="AI44">
        <v>262.89999999999998</v>
      </c>
      <c r="AJ44">
        <v>60.4</v>
      </c>
      <c r="AK44">
        <v>40.5</v>
      </c>
      <c r="AL44">
        <v>72.3</v>
      </c>
      <c r="AM44">
        <v>1089</v>
      </c>
      <c r="AN44">
        <v>481.6</v>
      </c>
      <c r="AO44">
        <v>5940</v>
      </c>
      <c r="AP44">
        <v>77.64</v>
      </c>
      <c r="AQ44">
        <v>156.45798149999999</v>
      </c>
      <c r="AR44" cm="1">
        <f t="array" ref="AR44">SUMPRODUCT($B$162:$U$162,(B44:U44)/($B$11:$U$11))</f>
        <v>27158.168579678175</v>
      </c>
      <c r="AS44">
        <f t="shared" si="0"/>
        <v>413.63645893369176</v>
      </c>
      <c r="AT44">
        <f t="shared" si="1"/>
        <v>1.5466206590051046E-2</v>
      </c>
      <c r="AU44" cm="1">
        <f t="array" ref="AU44">SUMPRODUCT($X$162:$AQ$162,(X44:AQ44)/($X$11:$AQ$11))</f>
        <v>25597.408168468544</v>
      </c>
      <c r="AV44">
        <f t="shared" si="2"/>
        <v>-23.182435933198576</v>
      </c>
      <c r="AW44">
        <f t="shared" si="3"/>
        <v>23.182435933198576</v>
      </c>
      <c r="AX44">
        <f t="shared" si="4"/>
        <v>436.81889486689033</v>
      </c>
    </row>
    <row r="45" spans="1:50" x14ac:dyDescent="0.2">
      <c r="A45" s="3">
        <v>45825</v>
      </c>
      <c r="B45">
        <v>890.6</v>
      </c>
      <c r="C45">
        <v>88.64</v>
      </c>
      <c r="D45">
        <v>2.7690000000000001</v>
      </c>
      <c r="E45">
        <v>10.025</v>
      </c>
      <c r="F45">
        <v>70.44</v>
      </c>
      <c r="G45">
        <v>7.55</v>
      </c>
      <c r="H45">
        <v>34.06</v>
      </c>
      <c r="I45">
        <v>54.35</v>
      </c>
      <c r="J45">
        <v>42.4</v>
      </c>
      <c r="K45">
        <v>385</v>
      </c>
      <c r="L45">
        <v>95.76</v>
      </c>
      <c r="M45">
        <v>83.02</v>
      </c>
      <c r="N45">
        <v>6.7949999999999999</v>
      </c>
      <c r="O45">
        <v>167</v>
      </c>
      <c r="P45">
        <v>13.64</v>
      </c>
      <c r="Q45">
        <v>13825</v>
      </c>
      <c r="R45">
        <v>0.3886</v>
      </c>
      <c r="S45">
        <v>123.45</v>
      </c>
      <c r="T45">
        <v>9.9600000000000009</v>
      </c>
      <c r="U45">
        <v>13.23</v>
      </c>
      <c r="V45" s="6"/>
      <c r="W45" s="3">
        <v>45825</v>
      </c>
      <c r="X45">
        <v>3097</v>
      </c>
      <c r="Y45">
        <v>595.5</v>
      </c>
      <c r="Z45">
        <v>98.52</v>
      </c>
      <c r="AA45">
        <v>5.258</v>
      </c>
      <c r="AB45">
        <v>559.79999999999995</v>
      </c>
      <c r="AC45">
        <v>159.30000000000001</v>
      </c>
      <c r="AD45">
        <v>143.35</v>
      </c>
      <c r="AE45">
        <v>4106</v>
      </c>
      <c r="AF45">
        <v>186.4</v>
      </c>
      <c r="AG45">
        <v>4564</v>
      </c>
      <c r="AH45">
        <v>3130</v>
      </c>
      <c r="AI45">
        <v>261.60000000000002</v>
      </c>
      <c r="AJ45">
        <v>60.2</v>
      </c>
      <c r="AK45">
        <v>39.9</v>
      </c>
      <c r="AL45">
        <v>71.95</v>
      </c>
      <c r="AM45">
        <v>1085</v>
      </c>
      <c r="AN45">
        <v>481.2</v>
      </c>
      <c r="AO45">
        <v>5885</v>
      </c>
      <c r="AP45">
        <v>76.680000000000007</v>
      </c>
      <c r="AQ45">
        <v>153.51223619999999</v>
      </c>
      <c r="AR45" cm="1">
        <f t="array" ref="AR45">SUMPRODUCT($B$162:$U$162,(B45:U45)/($B$11:$U$11))</f>
        <v>26924.593350168059</v>
      </c>
      <c r="AS45">
        <f t="shared" si="0"/>
        <v>-233.57522951011561</v>
      </c>
      <c r="AT45">
        <f t="shared" si="1"/>
        <v>-8.6005515734552951E-3</v>
      </c>
      <c r="AU45" cm="1">
        <f t="array" ref="AU45">SUMPRODUCT($X$162:$AQ$162,(X45:AQ45)/($X$11:$AQ$11))</f>
        <v>25561.394310688276</v>
      </c>
      <c r="AV45">
        <f t="shared" si="2"/>
        <v>-36.013857780268154</v>
      </c>
      <c r="AW45">
        <f t="shared" si="3"/>
        <v>36.013857780268154</v>
      </c>
      <c r="AX45">
        <f t="shared" si="4"/>
        <v>-197.56137172984745</v>
      </c>
    </row>
    <row r="46" spans="1:50" x14ac:dyDescent="0.2">
      <c r="A46" s="3">
        <v>45826</v>
      </c>
      <c r="B46">
        <v>891</v>
      </c>
      <c r="C46">
        <v>87.82</v>
      </c>
      <c r="D46">
        <v>2.8050000000000002</v>
      </c>
      <c r="E46">
        <v>10.115</v>
      </c>
      <c r="F46">
        <v>70.040000000000006</v>
      </c>
      <c r="G46">
        <v>7.6</v>
      </c>
      <c r="H46">
        <v>34.1</v>
      </c>
      <c r="I46">
        <v>54.85</v>
      </c>
      <c r="J46">
        <v>43.4</v>
      </c>
      <c r="K46">
        <v>384.3</v>
      </c>
      <c r="L46">
        <v>95</v>
      </c>
      <c r="M46">
        <v>82.46</v>
      </c>
      <c r="N46">
        <v>6.8250000000000002</v>
      </c>
      <c r="O46">
        <v>166.35</v>
      </c>
      <c r="P46">
        <v>13.8</v>
      </c>
      <c r="Q46">
        <v>13910</v>
      </c>
      <c r="R46">
        <v>0.40699999999999997</v>
      </c>
      <c r="S46">
        <v>122.65</v>
      </c>
      <c r="T46">
        <v>9.5749999999999993</v>
      </c>
      <c r="U46">
        <v>13.08</v>
      </c>
      <c r="V46" s="6"/>
      <c r="W46" s="3">
        <v>45826</v>
      </c>
      <c r="X46">
        <v>3040</v>
      </c>
      <c r="Y46">
        <v>591.5</v>
      </c>
      <c r="Z46">
        <v>98.14</v>
      </c>
      <c r="AA46">
        <v>5.2619999999999996</v>
      </c>
      <c r="AB46">
        <v>559.6</v>
      </c>
      <c r="AC46">
        <v>159.5</v>
      </c>
      <c r="AD46">
        <v>142.94999999999999</v>
      </c>
      <c r="AE46">
        <v>4104</v>
      </c>
      <c r="AF46">
        <v>188.8</v>
      </c>
      <c r="AG46">
        <v>4476</v>
      </c>
      <c r="AH46">
        <v>3122</v>
      </c>
      <c r="AI46">
        <v>259.10000000000002</v>
      </c>
      <c r="AJ46">
        <v>60.5</v>
      </c>
      <c r="AK46">
        <v>38.97</v>
      </c>
      <c r="AL46">
        <v>71.349999999999994</v>
      </c>
      <c r="AM46">
        <v>1098.5</v>
      </c>
      <c r="AN46">
        <v>483.2</v>
      </c>
      <c r="AO46">
        <v>5835</v>
      </c>
      <c r="AP46">
        <v>77.38</v>
      </c>
      <c r="AQ46">
        <v>150.95555160000001</v>
      </c>
      <c r="AR46" cm="1">
        <f t="array" ref="AR46">SUMPRODUCT($B$162:$U$162,(B46:U46)/($B$11:$U$11))</f>
        <v>26991.269988801338</v>
      </c>
      <c r="AS46">
        <f t="shared" si="0"/>
        <v>66.676638633278344</v>
      </c>
      <c r="AT46">
        <f t="shared" si="1"/>
        <v>2.4764213804870927E-3</v>
      </c>
      <c r="AU46" cm="1">
        <f t="array" ref="AU46">SUMPRODUCT($X$162:$AQ$162,(X46:AQ46)/($X$11:$AQ$11))</f>
        <v>25439.456364970072</v>
      </c>
      <c r="AV46">
        <f t="shared" si="2"/>
        <v>-121.93794571820399</v>
      </c>
      <c r="AW46">
        <f t="shared" si="3"/>
        <v>121.93794571820399</v>
      </c>
      <c r="AX46">
        <f t="shared" si="4"/>
        <v>188.61458435148234</v>
      </c>
    </row>
    <row r="47" spans="1:50" x14ac:dyDescent="0.2">
      <c r="A47" s="3">
        <v>45827</v>
      </c>
      <c r="B47">
        <v>882.8</v>
      </c>
      <c r="C47">
        <v>86.52</v>
      </c>
      <c r="D47">
        <v>2.7469999999999999</v>
      </c>
      <c r="E47">
        <v>9.81</v>
      </c>
      <c r="F47">
        <v>70.040000000000006</v>
      </c>
      <c r="G47">
        <v>7.45</v>
      </c>
      <c r="H47">
        <v>33.659999999999997</v>
      </c>
      <c r="I47">
        <v>54.7</v>
      </c>
      <c r="J47">
        <v>43.6</v>
      </c>
      <c r="K47">
        <v>382.5</v>
      </c>
      <c r="L47">
        <v>93.98</v>
      </c>
      <c r="M47">
        <v>80.94</v>
      </c>
      <c r="N47">
        <v>6.6950000000000003</v>
      </c>
      <c r="O47">
        <v>166.8</v>
      </c>
      <c r="P47">
        <v>13.5</v>
      </c>
      <c r="Q47">
        <v>13910</v>
      </c>
      <c r="R47">
        <v>0.39279999999999998</v>
      </c>
      <c r="S47">
        <v>122.65</v>
      </c>
      <c r="T47">
        <v>9.3350000000000009</v>
      </c>
      <c r="U47">
        <v>13.05</v>
      </c>
      <c r="V47" s="6"/>
      <c r="W47" s="3">
        <v>45827</v>
      </c>
      <c r="X47">
        <v>2985</v>
      </c>
      <c r="Y47">
        <v>587</v>
      </c>
      <c r="Z47">
        <v>96.66</v>
      </c>
      <c r="AA47">
        <v>5.274</v>
      </c>
      <c r="AB47">
        <v>558</v>
      </c>
      <c r="AC47">
        <v>161.4</v>
      </c>
      <c r="AD47">
        <v>141.94999999999999</v>
      </c>
      <c r="AE47">
        <v>4035</v>
      </c>
      <c r="AF47">
        <v>188.8</v>
      </c>
      <c r="AG47">
        <v>4430</v>
      </c>
      <c r="AH47">
        <v>3126</v>
      </c>
      <c r="AI47">
        <v>260</v>
      </c>
      <c r="AJ47">
        <v>60.2</v>
      </c>
      <c r="AK47">
        <v>38.64</v>
      </c>
      <c r="AL47">
        <v>70.75</v>
      </c>
      <c r="AM47">
        <v>1093.5</v>
      </c>
      <c r="AN47">
        <v>488</v>
      </c>
      <c r="AO47">
        <v>5845</v>
      </c>
      <c r="AP47">
        <v>76.48</v>
      </c>
      <c r="AQ47">
        <v>152.6785347</v>
      </c>
      <c r="AR47" cm="1">
        <f t="array" ref="AR47">SUMPRODUCT($B$162:$U$162,(B47:U47)/($B$11:$U$11))</f>
        <v>26646.15444700564</v>
      </c>
      <c r="AS47">
        <f t="shared" si="0"/>
        <v>-345.11554179569794</v>
      </c>
      <c r="AT47">
        <f t="shared" si="1"/>
        <v>-1.2786191310704798E-2</v>
      </c>
      <c r="AU47" cm="1">
        <f t="array" ref="AU47">SUMPRODUCT($X$162:$AQ$162,(X47:AQ47)/($X$11:$AQ$11))</f>
        <v>25305.179206540601</v>
      </c>
      <c r="AV47">
        <f t="shared" si="2"/>
        <v>-134.27715842947146</v>
      </c>
      <c r="AW47">
        <f t="shared" si="3"/>
        <v>134.27715842947146</v>
      </c>
      <c r="AX47">
        <f t="shared" si="4"/>
        <v>-210.83838336622648</v>
      </c>
    </row>
    <row r="48" spans="1:50" x14ac:dyDescent="0.2">
      <c r="A48" s="3">
        <v>45828</v>
      </c>
      <c r="B48">
        <v>887.8</v>
      </c>
      <c r="C48">
        <v>87.42</v>
      </c>
      <c r="D48">
        <v>2.7160000000000002</v>
      </c>
      <c r="E48">
        <v>9.83</v>
      </c>
      <c r="F48">
        <v>70.52</v>
      </c>
      <c r="G48">
        <v>7.64</v>
      </c>
      <c r="H48">
        <v>33.76</v>
      </c>
      <c r="I48">
        <v>55</v>
      </c>
      <c r="J48">
        <v>43.63</v>
      </c>
      <c r="K48">
        <v>384.5</v>
      </c>
      <c r="L48">
        <v>93.76</v>
      </c>
      <c r="M48">
        <v>81.180000000000007</v>
      </c>
      <c r="N48">
        <v>6.69</v>
      </c>
      <c r="O48">
        <v>166.45</v>
      </c>
      <c r="P48">
        <v>13.57</v>
      </c>
      <c r="Q48">
        <v>14045</v>
      </c>
      <c r="R48">
        <v>0.4042</v>
      </c>
      <c r="S48">
        <v>121.75</v>
      </c>
      <c r="T48">
        <v>9.2949999999999999</v>
      </c>
      <c r="U48">
        <v>13.22</v>
      </c>
      <c r="V48" s="6"/>
      <c r="W48" s="3">
        <v>45828</v>
      </c>
      <c r="X48">
        <v>2993</v>
      </c>
      <c r="Y48">
        <v>588.5</v>
      </c>
      <c r="Z48">
        <v>96.08</v>
      </c>
      <c r="AA48">
        <v>5.23</v>
      </c>
      <c r="AB48">
        <v>560.20000000000005</v>
      </c>
      <c r="AC48">
        <v>160.9</v>
      </c>
      <c r="AD48">
        <v>141.65</v>
      </c>
      <c r="AE48">
        <v>4000</v>
      </c>
      <c r="AF48">
        <v>190</v>
      </c>
      <c r="AG48">
        <v>4418</v>
      </c>
      <c r="AH48">
        <v>3118</v>
      </c>
      <c r="AI48">
        <v>259.3</v>
      </c>
      <c r="AJ48">
        <v>60.1</v>
      </c>
      <c r="AK48">
        <v>38.64</v>
      </c>
      <c r="AL48">
        <v>70.900000000000006</v>
      </c>
      <c r="AM48">
        <v>1103.5</v>
      </c>
      <c r="AN48">
        <v>480.2</v>
      </c>
      <c r="AO48">
        <v>5810</v>
      </c>
      <c r="AP48">
        <v>76.48</v>
      </c>
      <c r="AQ48">
        <v>151.62251280000001</v>
      </c>
      <c r="AR48" cm="1">
        <f t="array" ref="AR48">SUMPRODUCT($B$162:$U$162,(B48:U48)/($B$11:$U$11))</f>
        <v>26766.694102194091</v>
      </c>
      <c r="AS48">
        <f t="shared" si="0"/>
        <v>120.53965518845143</v>
      </c>
      <c r="AT48">
        <f t="shared" si="1"/>
        <v>4.5237167497540476E-3</v>
      </c>
      <c r="AU48" cm="1">
        <f t="array" ref="AU48">SUMPRODUCT($X$162:$AQ$162,(X48:AQ48)/($X$11:$AQ$11))</f>
        <v>25260.484186305388</v>
      </c>
      <c r="AV48">
        <f t="shared" si="2"/>
        <v>-44.695020235212723</v>
      </c>
      <c r="AW48">
        <f t="shared" si="3"/>
        <v>44.695020235212723</v>
      </c>
      <c r="AX48">
        <f t="shared" si="4"/>
        <v>165.23467542366416</v>
      </c>
    </row>
    <row r="49" spans="1:50" x14ac:dyDescent="0.2">
      <c r="A49" s="3">
        <v>45831</v>
      </c>
      <c r="B49">
        <v>886.6</v>
      </c>
      <c r="C49">
        <v>87.32</v>
      </c>
      <c r="D49">
        <v>2.6859999999999999</v>
      </c>
      <c r="E49">
        <v>9.6319999999999997</v>
      </c>
      <c r="F49">
        <v>68.540000000000006</v>
      </c>
      <c r="G49">
        <v>7.4779999999999998</v>
      </c>
      <c r="H49">
        <v>33.78</v>
      </c>
      <c r="I49">
        <v>54.7</v>
      </c>
      <c r="J49">
        <v>43.14</v>
      </c>
      <c r="K49">
        <v>384</v>
      </c>
      <c r="L49">
        <v>94.1</v>
      </c>
      <c r="M49">
        <v>80.599999999999994</v>
      </c>
      <c r="N49">
        <v>6.6449999999999996</v>
      </c>
      <c r="O49">
        <v>168.1</v>
      </c>
      <c r="P49">
        <v>13.77</v>
      </c>
      <c r="Q49">
        <v>13660</v>
      </c>
      <c r="R49">
        <v>0.39439999999999997</v>
      </c>
      <c r="S49">
        <v>120.5</v>
      </c>
      <c r="T49">
        <v>9.2650000000000006</v>
      </c>
      <c r="U49">
        <v>13.26</v>
      </c>
      <c r="V49" s="6"/>
      <c r="W49" s="3">
        <v>45831</v>
      </c>
      <c r="X49">
        <v>2972</v>
      </c>
      <c r="Y49">
        <v>587.5</v>
      </c>
      <c r="Z49">
        <v>96.04</v>
      </c>
      <c r="AA49">
        <v>5.08</v>
      </c>
      <c r="AB49">
        <v>561</v>
      </c>
      <c r="AC49">
        <v>159.80000000000001</v>
      </c>
      <c r="AD49">
        <v>142.85</v>
      </c>
      <c r="AE49">
        <v>3992</v>
      </c>
      <c r="AF49">
        <v>190.8</v>
      </c>
      <c r="AG49">
        <v>4330</v>
      </c>
      <c r="AH49">
        <v>3144</v>
      </c>
      <c r="AI49">
        <v>260.5</v>
      </c>
      <c r="AJ49">
        <v>60.9</v>
      </c>
      <c r="AK49">
        <v>38.369999999999997</v>
      </c>
      <c r="AL49">
        <v>71.05</v>
      </c>
      <c r="AM49">
        <v>1092</v>
      </c>
      <c r="AN49">
        <v>491.6</v>
      </c>
      <c r="AO49">
        <v>5820</v>
      </c>
      <c r="AP49">
        <v>76</v>
      </c>
      <c r="AQ49">
        <v>152.6785347</v>
      </c>
      <c r="AR49" cm="1">
        <f t="array" ref="AR49">SUMPRODUCT($B$162:$U$162,(B49:U49)/($B$11:$U$11))</f>
        <v>26580.490430653866</v>
      </c>
      <c r="AS49">
        <f t="shared" si="0"/>
        <v>-186.2036715402246</v>
      </c>
      <c r="AT49">
        <f t="shared" si="1"/>
        <v>-6.9565434875635823E-3</v>
      </c>
      <c r="AU49" cm="1">
        <f t="array" ref="AU49">SUMPRODUCT($X$162:$AQ$162,(X49:AQ49)/($X$11:$AQ$11))</f>
        <v>25213.882700079008</v>
      </c>
      <c r="AV49">
        <f t="shared" si="2"/>
        <v>-46.601486226380075</v>
      </c>
      <c r="AW49">
        <f t="shared" si="3"/>
        <v>46.601486226380075</v>
      </c>
      <c r="AX49">
        <f t="shared" si="4"/>
        <v>-139.60218531384453</v>
      </c>
    </row>
    <row r="50" spans="1:50" x14ac:dyDescent="0.2">
      <c r="A50" s="3">
        <v>45832</v>
      </c>
      <c r="B50">
        <v>909.2</v>
      </c>
      <c r="C50">
        <v>91.12</v>
      </c>
      <c r="D50">
        <v>2.698</v>
      </c>
      <c r="E50">
        <v>9.9559999999999995</v>
      </c>
      <c r="F50">
        <v>72.7</v>
      </c>
      <c r="G50">
        <v>7.7039999999999997</v>
      </c>
      <c r="H50">
        <v>33.72</v>
      </c>
      <c r="I50">
        <v>54.45</v>
      </c>
      <c r="J50">
        <v>42.3</v>
      </c>
      <c r="K50">
        <v>382.8</v>
      </c>
      <c r="L50">
        <v>95.28</v>
      </c>
      <c r="M50">
        <v>81.040000000000006</v>
      </c>
      <c r="N50">
        <v>6.73</v>
      </c>
      <c r="O50">
        <v>165.85</v>
      </c>
      <c r="P50">
        <v>14.1</v>
      </c>
      <c r="Q50">
        <v>14030</v>
      </c>
      <c r="R50">
        <v>0.4027</v>
      </c>
      <c r="S50">
        <v>124.8</v>
      </c>
      <c r="T50">
        <v>9.7200000000000006</v>
      </c>
      <c r="U50">
        <v>13.62</v>
      </c>
      <c r="V50" s="6"/>
      <c r="W50" s="3">
        <v>45832</v>
      </c>
      <c r="X50">
        <v>3060</v>
      </c>
      <c r="Y50">
        <v>594.5</v>
      </c>
      <c r="Z50">
        <v>96.78</v>
      </c>
      <c r="AA50">
        <v>5.1059999999999999</v>
      </c>
      <c r="AB50">
        <v>570</v>
      </c>
      <c r="AC50">
        <v>167.1</v>
      </c>
      <c r="AD50">
        <v>141.6</v>
      </c>
      <c r="AE50">
        <v>3990</v>
      </c>
      <c r="AF50">
        <v>187</v>
      </c>
      <c r="AG50">
        <v>4419</v>
      </c>
      <c r="AH50">
        <v>3162</v>
      </c>
      <c r="AI50">
        <v>262.10000000000002</v>
      </c>
      <c r="AJ50">
        <v>60.3</v>
      </c>
      <c r="AK50">
        <v>38.619999999999997</v>
      </c>
      <c r="AL50">
        <v>72.05</v>
      </c>
      <c r="AM50">
        <v>1113</v>
      </c>
      <c r="AN50">
        <v>493.4</v>
      </c>
      <c r="AO50">
        <v>5905</v>
      </c>
      <c r="AP50">
        <v>79</v>
      </c>
      <c r="AQ50">
        <v>157.29168300000001</v>
      </c>
      <c r="AR50" cm="1">
        <f t="array" ref="AR50">SUMPRODUCT($B$162:$U$162,(B50:U50)/($B$11:$U$11))</f>
        <v>27094.92311897812</v>
      </c>
      <c r="AS50">
        <f t="shared" si="0"/>
        <v>514.43268832425383</v>
      </c>
      <c r="AT50">
        <f t="shared" si="1"/>
        <v>1.9353769625370942E-2</v>
      </c>
      <c r="AU50" cm="1">
        <f t="array" ref="AU50">SUMPRODUCT($X$162:$AQ$162,(X50:AQ50)/($X$11:$AQ$11))</f>
        <v>25535.348240663538</v>
      </c>
      <c r="AV50">
        <f t="shared" si="2"/>
        <v>321.46554058452966</v>
      </c>
      <c r="AW50">
        <f t="shared" si="3"/>
        <v>-321.46554058452966</v>
      </c>
      <c r="AX50">
        <f t="shared" si="4"/>
        <v>192.96714773972417</v>
      </c>
    </row>
    <row r="51" spans="1:50" x14ac:dyDescent="0.2">
      <c r="A51" s="3">
        <v>45833</v>
      </c>
      <c r="B51">
        <v>916.8</v>
      </c>
      <c r="C51">
        <v>92.4</v>
      </c>
      <c r="D51">
        <v>2.64</v>
      </c>
      <c r="E51">
        <v>9.8879999999999999</v>
      </c>
      <c r="F51">
        <v>71.099999999999994</v>
      </c>
      <c r="G51">
        <v>7.5979999999999999</v>
      </c>
      <c r="H51">
        <v>33.44</v>
      </c>
      <c r="I51">
        <v>54.4</v>
      </c>
      <c r="J51">
        <v>42.61</v>
      </c>
      <c r="K51">
        <v>383.4</v>
      </c>
      <c r="L51">
        <v>91.52</v>
      </c>
      <c r="M51">
        <v>80.099999999999994</v>
      </c>
      <c r="N51">
        <v>6.76</v>
      </c>
      <c r="O51">
        <v>165.05</v>
      </c>
      <c r="P51">
        <v>13.85</v>
      </c>
      <c r="Q51">
        <v>13930</v>
      </c>
      <c r="R51">
        <v>0.40920000000000001</v>
      </c>
      <c r="S51">
        <v>123.8</v>
      </c>
      <c r="T51">
        <v>9.5299999999999994</v>
      </c>
      <c r="U51">
        <v>13.59</v>
      </c>
      <c r="V51" s="6"/>
      <c r="W51" s="3">
        <v>45833</v>
      </c>
      <c r="X51">
        <v>2993</v>
      </c>
      <c r="Y51">
        <v>590</v>
      </c>
      <c r="Z51">
        <v>94</v>
      </c>
      <c r="AA51">
        <v>5.048</v>
      </c>
      <c r="AB51">
        <v>565.79999999999995</v>
      </c>
      <c r="AC51">
        <v>169.4</v>
      </c>
      <c r="AD51">
        <v>140.25</v>
      </c>
      <c r="AE51">
        <v>3914</v>
      </c>
      <c r="AF51">
        <v>186.2</v>
      </c>
      <c r="AG51">
        <v>4423</v>
      </c>
      <c r="AH51">
        <v>3202</v>
      </c>
      <c r="AI51">
        <v>259.39999999999998</v>
      </c>
      <c r="AJ51">
        <v>59.4</v>
      </c>
      <c r="AK51">
        <v>38.74</v>
      </c>
      <c r="AL51">
        <v>71.650000000000006</v>
      </c>
      <c r="AM51">
        <v>1122</v>
      </c>
      <c r="AN51">
        <v>491.8</v>
      </c>
      <c r="AO51">
        <v>5835</v>
      </c>
      <c r="AP51">
        <v>78.88</v>
      </c>
      <c r="AQ51">
        <v>157.12494269999999</v>
      </c>
      <c r="AR51" cm="1">
        <f t="array" ref="AR51">SUMPRODUCT($B$162:$U$162,(B51:U51)/($B$11:$U$11))</f>
        <v>26982.339298107428</v>
      </c>
      <c r="AS51">
        <f t="shared" si="0"/>
        <v>-112.58382087069185</v>
      </c>
      <c r="AT51">
        <f t="shared" si="1"/>
        <v>-4.1551629571457971E-3</v>
      </c>
      <c r="AU51" cm="1">
        <f t="array" ref="AU51">SUMPRODUCT($X$162:$AQ$162,(X51:AQ51)/($X$11:$AQ$11))</f>
        <v>25328.931470928052</v>
      </c>
      <c r="AV51">
        <f t="shared" si="2"/>
        <v>-206.41676973548601</v>
      </c>
      <c r="AW51">
        <f t="shared" si="3"/>
        <v>206.41676973548601</v>
      </c>
      <c r="AX51">
        <f t="shared" si="4"/>
        <v>93.832948864794162</v>
      </c>
    </row>
    <row r="52" spans="1:50" x14ac:dyDescent="0.2">
      <c r="A52" s="3">
        <v>45834</v>
      </c>
      <c r="B52">
        <v>933.8</v>
      </c>
      <c r="C52">
        <v>92.9</v>
      </c>
      <c r="D52">
        <v>2.6469999999999998</v>
      </c>
      <c r="E52">
        <v>9.8879999999999999</v>
      </c>
      <c r="F52">
        <v>73.7</v>
      </c>
      <c r="G52">
        <v>7.5460000000000003</v>
      </c>
      <c r="H52">
        <v>32.799999999999997</v>
      </c>
      <c r="I52">
        <v>55.05</v>
      </c>
      <c r="J52">
        <v>42.94</v>
      </c>
      <c r="K52">
        <v>377.6</v>
      </c>
      <c r="L52">
        <v>91.94</v>
      </c>
      <c r="M52">
        <v>80.459999999999994</v>
      </c>
      <c r="N52">
        <v>6.7549999999999999</v>
      </c>
      <c r="O52">
        <v>163.19999999999999</v>
      </c>
      <c r="P52">
        <v>14.21</v>
      </c>
      <c r="Q52">
        <v>14430</v>
      </c>
      <c r="R52">
        <v>0.4173</v>
      </c>
      <c r="S52">
        <v>130</v>
      </c>
      <c r="T52">
        <v>9.58</v>
      </c>
      <c r="U52">
        <v>13.81</v>
      </c>
      <c r="V52" s="6"/>
      <c r="W52" s="3">
        <v>45834</v>
      </c>
      <c r="X52">
        <v>2975</v>
      </c>
      <c r="Y52">
        <v>591.5</v>
      </c>
      <c r="Z52">
        <v>94.3</v>
      </c>
      <c r="AA52">
        <v>5.0979999999999999</v>
      </c>
      <c r="AB52">
        <v>563.20000000000005</v>
      </c>
      <c r="AC52">
        <v>153</v>
      </c>
      <c r="AD52">
        <v>141.35</v>
      </c>
      <c r="AE52">
        <v>3879</v>
      </c>
      <c r="AF52">
        <v>187</v>
      </c>
      <c r="AG52">
        <v>4483</v>
      </c>
      <c r="AH52">
        <v>3248</v>
      </c>
      <c r="AI52">
        <v>262.10000000000002</v>
      </c>
      <c r="AJ52">
        <v>60</v>
      </c>
      <c r="AK52">
        <v>39.19</v>
      </c>
      <c r="AL52">
        <v>71.599999999999994</v>
      </c>
      <c r="AM52">
        <v>1166.5</v>
      </c>
      <c r="AN52">
        <v>496</v>
      </c>
      <c r="AO52">
        <v>5985</v>
      </c>
      <c r="AP52">
        <v>80.36</v>
      </c>
      <c r="AQ52">
        <v>158.95908600000001</v>
      </c>
      <c r="AR52" cm="1">
        <f t="array" ref="AR52">SUMPRODUCT($B$162:$U$162,(B52:U52)/($B$11:$U$11))</f>
        <v>27228.584859900242</v>
      </c>
      <c r="AS52">
        <f t="shared" si="0"/>
        <v>246.24556179281353</v>
      </c>
      <c r="AT52">
        <f t="shared" si="1"/>
        <v>9.1261754243112669E-3</v>
      </c>
      <c r="AU52" cm="1">
        <f t="array" ref="AU52">SUMPRODUCT($X$162:$AQ$162,(X52:AQ52)/($X$11:$AQ$11))</f>
        <v>25407.926621888339</v>
      </c>
      <c r="AV52">
        <f t="shared" si="2"/>
        <v>78.995150960286992</v>
      </c>
      <c r="AW52">
        <f t="shared" si="3"/>
        <v>-78.995150960286992</v>
      </c>
      <c r="AX52">
        <f t="shared" si="4"/>
        <v>167.25041083252654</v>
      </c>
    </row>
    <row r="53" spans="1:50" x14ac:dyDescent="0.2">
      <c r="A53" s="3">
        <v>45835</v>
      </c>
      <c r="B53">
        <v>954.2</v>
      </c>
      <c r="C53">
        <v>95.5</v>
      </c>
      <c r="D53">
        <v>2.698</v>
      </c>
      <c r="E53">
        <v>9.9760000000000009</v>
      </c>
      <c r="F53">
        <v>73.739999999999995</v>
      </c>
      <c r="G53">
        <v>7.5960000000000001</v>
      </c>
      <c r="H53">
        <v>33</v>
      </c>
      <c r="I53">
        <v>55.85</v>
      </c>
      <c r="J53">
        <v>43.35</v>
      </c>
      <c r="K53">
        <v>378.3</v>
      </c>
      <c r="L53">
        <v>93.44</v>
      </c>
      <c r="M53">
        <v>80.38</v>
      </c>
      <c r="N53">
        <v>6.9</v>
      </c>
      <c r="O53">
        <v>163.5</v>
      </c>
      <c r="P53">
        <v>14.26</v>
      </c>
      <c r="Q53">
        <v>14900</v>
      </c>
      <c r="R53">
        <v>0.41710000000000003</v>
      </c>
      <c r="S53">
        <v>129</v>
      </c>
      <c r="T53">
        <v>9.69</v>
      </c>
      <c r="U53">
        <v>13.86</v>
      </c>
      <c r="V53" s="6"/>
      <c r="W53" s="3">
        <v>45835</v>
      </c>
      <c r="X53">
        <v>3018</v>
      </c>
      <c r="Y53">
        <v>602.5</v>
      </c>
      <c r="Z53">
        <v>95.52</v>
      </c>
      <c r="AA53">
        <v>5.0659999999999998</v>
      </c>
      <c r="AB53">
        <v>566.6</v>
      </c>
      <c r="AC53">
        <v>153.30000000000001</v>
      </c>
      <c r="AD53">
        <v>145.1</v>
      </c>
      <c r="AE53">
        <v>3907</v>
      </c>
      <c r="AF53">
        <v>185.8</v>
      </c>
      <c r="AG53">
        <v>4732</v>
      </c>
      <c r="AH53">
        <v>3216</v>
      </c>
      <c r="AI53">
        <v>261.60000000000002</v>
      </c>
      <c r="AJ53">
        <v>60.5</v>
      </c>
      <c r="AK53">
        <v>40.85</v>
      </c>
      <c r="AL53">
        <v>72.95</v>
      </c>
      <c r="AM53">
        <v>1187.5</v>
      </c>
      <c r="AN53">
        <v>503</v>
      </c>
      <c r="AO53">
        <v>6100</v>
      </c>
      <c r="AP53">
        <v>83.94</v>
      </c>
      <c r="AQ53">
        <v>157.01378249999999</v>
      </c>
      <c r="AR53" cm="1">
        <f t="array" ref="AR53">SUMPRODUCT($B$162:$U$162,(B53:U53)/($B$11:$U$11))</f>
        <v>27576.461208078712</v>
      </c>
      <c r="AS53">
        <f t="shared" si="0"/>
        <v>347.87634817846993</v>
      </c>
      <c r="AT53">
        <f t="shared" si="1"/>
        <v>1.2776144994989913E-2</v>
      </c>
      <c r="AU53" cm="1">
        <f t="array" ref="AU53">SUMPRODUCT($X$162:$AQ$162,(X53:AQ53)/($X$11:$AQ$11))</f>
        <v>25748.839178645423</v>
      </c>
      <c r="AV53">
        <f t="shared" si="2"/>
        <v>340.91255675708453</v>
      </c>
      <c r="AW53">
        <f t="shared" si="3"/>
        <v>-340.91255675708453</v>
      </c>
      <c r="AX53">
        <f t="shared" si="4"/>
        <v>6.9637914213853946</v>
      </c>
    </row>
    <row r="54" spans="1:50" x14ac:dyDescent="0.2">
      <c r="A54" s="3">
        <v>45838</v>
      </c>
      <c r="B54">
        <v>967.6</v>
      </c>
      <c r="C54">
        <v>98.06</v>
      </c>
      <c r="D54">
        <v>2.7029999999999998</v>
      </c>
      <c r="E54">
        <v>9.9120000000000008</v>
      </c>
      <c r="F54">
        <v>75.239999999999995</v>
      </c>
      <c r="G54">
        <v>7.7160000000000002</v>
      </c>
      <c r="H54">
        <v>33.44</v>
      </c>
      <c r="I54">
        <v>55.8</v>
      </c>
      <c r="J54">
        <v>43.42</v>
      </c>
      <c r="K54">
        <v>374.4</v>
      </c>
      <c r="L54">
        <v>90.26</v>
      </c>
      <c r="M54">
        <v>81.14</v>
      </c>
      <c r="N54">
        <v>6.9850000000000003</v>
      </c>
      <c r="O54">
        <v>161.55000000000001</v>
      </c>
      <c r="P54">
        <v>14.1</v>
      </c>
      <c r="Q54">
        <v>14670</v>
      </c>
      <c r="R54">
        <v>0.41860000000000003</v>
      </c>
      <c r="S54">
        <v>128.9</v>
      </c>
      <c r="T54">
        <v>9.5549999999999997</v>
      </c>
      <c r="U54">
        <v>13.53</v>
      </c>
      <c r="V54" s="6"/>
      <c r="W54" s="3">
        <v>45838</v>
      </c>
      <c r="X54">
        <v>2924</v>
      </c>
      <c r="Y54">
        <v>599</v>
      </c>
      <c r="Z54">
        <v>89.14</v>
      </c>
      <c r="AA54">
        <v>5.1420000000000003</v>
      </c>
      <c r="AB54">
        <v>565</v>
      </c>
      <c r="AC54">
        <v>157</v>
      </c>
      <c r="AD54">
        <v>141.94999999999999</v>
      </c>
      <c r="AE54">
        <v>3841</v>
      </c>
      <c r="AF54">
        <v>186.2</v>
      </c>
      <c r="AG54">
        <v>4669</v>
      </c>
      <c r="AH54">
        <v>3200</v>
      </c>
      <c r="AI54">
        <v>258.39999999999998</v>
      </c>
      <c r="AJ54">
        <v>60.4</v>
      </c>
      <c r="AK54">
        <v>40.340000000000003</v>
      </c>
      <c r="AL54">
        <v>72.3</v>
      </c>
      <c r="AM54">
        <v>1184</v>
      </c>
      <c r="AN54">
        <v>501.5</v>
      </c>
      <c r="AO54">
        <v>5955</v>
      </c>
      <c r="AP54">
        <v>83.68</v>
      </c>
      <c r="AQ54">
        <v>151.17787200000001</v>
      </c>
      <c r="AR54" cm="1">
        <f t="array" ref="AR54">SUMPRODUCT($B$162:$U$162,(B54:U54)/($B$11:$U$11))</f>
        <v>27674.26030272169</v>
      </c>
      <c r="AS54">
        <f t="shared" si="0"/>
        <v>97.799094642978162</v>
      </c>
      <c r="AT54">
        <f t="shared" si="1"/>
        <v>3.5464700820395656E-3</v>
      </c>
      <c r="AU54" cm="1">
        <f t="array" ref="AU54">SUMPRODUCT($X$162:$AQ$162,(X54:AQ54)/($X$11:$AQ$11))</f>
        <v>25369.926515823565</v>
      </c>
      <c r="AV54">
        <f t="shared" si="2"/>
        <v>-378.91266282185825</v>
      </c>
      <c r="AW54">
        <f t="shared" si="3"/>
        <v>378.91266282185825</v>
      </c>
      <c r="AX54">
        <f t="shared" si="4"/>
        <v>476.71175746483641</v>
      </c>
    </row>
    <row r="55" spans="1:50" x14ac:dyDescent="0.2">
      <c r="A55" s="3">
        <v>45839</v>
      </c>
      <c r="B55">
        <v>939.6</v>
      </c>
      <c r="C55">
        <v>92.38</v>
      </c>
      <c r="D55">
        <v>2.702</v>
      </c>
      <c r="E55">
        <v>9.8239999999999998</v>
      </c>
      <c r="F55">
        <v>74.239999999999995</v>
      </c>
      <c r="G55">
        <v>7.4779999999999998</v>
      </c>
      <c r="H55">
        <v>33.380000000000003</v>
      </c>
      <c r="I55">
        <v>55.2</v>
      </c>
      <c r="J55">
        <v>42.94</v>
      </c>
      <c r="K55">
        <v>375.6</v>
      </c>
      <c r="L55">
        <v>90.62</v>
      </c>
      <c r="M55">
        <v>80.959999999999994</v>
      </c>
      <c r="N55">
        <v>6.79</v>
      </c>
      <c r="O55">
        <v>160.69999999999999</v>
      </c>
      <c r="P55">
        <v>13.07</v>
      </c>
      <c r="Q55">
        <v>14875</v>
      </c>
      <c r="R55">
        <v>0.40960000000000002</v>
      </c>
      <c r="S55">
        <v>129.35</v>
      </c>
      <c r="T55">
        <v>9.4849999999999994</v>
      </c>
      <c r="U55">
        <v>13.55</v>
      </c>
      <c r="V55" s="6"/>
      <c r="W55" s="3">
        <v>45839</v>
      </c>
      <c r="X55">
        <v>2970</v>
      </c>
      <c r="Y55">
        <v>600.5</v>
      </c>
      <c r="Z55">
        <v>90.96</v>
      </c>
      <c r="AA55">
        <v>5.1459999999999999</v>
      </c>
      <c r="AB55">
        <v>564</v>
      </c>
      <c r="AC55">
        <v>153.80000000000001</v>
      </c>
      <c r="AD55">
        <v>138.25</v>
      </c>
      <c r="AE55">
        <v>3878</v>
      </c>
      <c r="AF55">
        <v>186.2</v>
      </c>
      <c r="AG55">
        <v>4647</v>
      </c>
      <c r="AH55">
        <v>3196</v>
      </c>
      <c r="AI55">
        <v>260.7</v>
      </c>
      <c r="AJ55">
        <v>60.4</v>
      </c>
      <c r="AK55">
        <v>40.29</v>
      </c>
      <c r="AL55">
        <v>72.650000000000006</v>
      </c>
      <c r="AM55">
        <v>1180</v>
      </c>
      <c r="AN55">
        <v>510</v>
      </c>
      <c r="AO55">
        <v>5915</v>
      </c>
      <c r="AP55">
        <v>83.8</v>
      </c>
      <c r="AQ55">
        <v>156.34682129999999</v>
      </c>
      <c r="AR55" cm="1">
        <f t="array" ref="AR55">SUMPRODUCT($B$162:$U$162,(B55:U55)/($B$11:$U$11))</f>
        <v>27162.683876295425</v>
      </c>
      <c r="AS55">
        <f t="shared" si="0"/>
        <v>-511.57642642626524</v>
      </c>
      <c r="AT55">
        <f t="shared" si="1"/>
        <v>-1.8485640477116982E-2</v>
      </c>
      <c r="AU55" cm="1">
        <f t="array" ref="AU55">SUMPRODUCT($X$162:$AQ$162,(X55:AQ55)/($X$11:$AQ$11))</f>
        <v>25473.611250696151</v>
      </c>
      <c r="AV55">
        <f t="shared" si="2"/>
        <v>103.68473487258598</v>
      </c>
      <c r="AW55">
        <f t="shared" si="3"/>
        <v>-103.68473487258598</v>
      </c>
      <c r="AX55">
        <f t="shared" si="4"/>
        <v>-615.26116129885122</v>
      </c>
    </row>
    <row r="56" spans="1:50" x14ac:dyDescent="0.2">
      <c r="A56" s="3">
        <v>45840</v>
      </c>
      <c r="B56">
        <v>943.4</v>
      </c>
      <c r="C56">
        <v>91.62</v>
      </c>
      <c r="D56">
        <v>2.843</v>
      </c>
      <c r="E56">
        <v>10.005000000000001</v>
      </c>
      <c r="F56">
        <v>75.44</v>
      </c>
      <c r="G56">
        <v>7.58</v>
      </c>
      <c r="H56">
        <v>33.159999999999997</v>
      </c>
      <c r="I56">
        <v>55.55</v>
      </c>
      <c r="J56">
        <v>42.62</v>
      </c>
      <c r="K56">
        <v>372.5</v>
      </c>
      <c r="L56">
        <v>89.92</v>
      </c>
      <c r="M56">
        <v>80.2</v>
      </c>
      <c r="N56">
        <v>6.835</v>
      </c>
      <c r="O56">
        <v>158.35</v>
      </c>
      <c r="P56">
        <v>13.18</v>
      </c>
      <c r="Q56">
        <v>14975</v>
      </c>
      <c r="R56">
        <v>0.40589999999999998</v>
      </c>
      <c r="S56">
        <v>136</v>
      </c>
      <c r="T56">
        <v>9.4350000000000005</v>
      </c>
      <c r="U56">
        <v>13.76</v>
      </c>
      <c r="V56" s="6"/>
      <c r="W56" s="3">
        <v>45840</v>
      </c>
      <c r="X56">
        <v>3001</v>
      </c>
      <c r="Y56">
        <v>627</v>
      </c>
      <c r="Z56">
        <v>91.62</v>
      </c>
      <c r="AA56">
        <v>5.0599999999999996</v>
      </c>
      <c r="AB56">
        <v>558.79999999999995</v>
      </c>
      <c r="AC56">
        <v>155.19999999999999</v>
      </c>
      <c r="AD56">
        <v>137.80000000000001</v>
      </c>
      <c r="AE56">
        <v>3864</v>
      </c>
      <c r="AF56">
        <v>184.4</v>
      </c>
      <c r="AG56">
        <v>4788</v>
      </c>
      <c r="AH56">
        <v>3162</v>
      </c>
      <c r="AI56">
        <v>260.10000000000002</v>
      </c>
      <c r="AJ56">
        <v>60.4</v>
      </c>
      <c r="AK56">
        <v>43.05</v>
      </c>
      <c r="AL56">
        <v>73.150000000000006</v>
      </c>
      <c r="AM56">
        <v>1161.5</v>
      </c>
      <c r="AN56">
        <v>490.4</v>
      </c>
      <c r="AO56">
        <v>6175</v>
      </c>
      <c r="AP56">
        <v>83.4</v>
      </c>
      <c r="AQ56">
        <v>159.1258263</v>
      </c>
      <c r="AR56" cm="1">
        <f t="array" ref="AR56">SUMPRODUCT($B$162:$U$162,(B56:U56)/($B$11:$U$11))</f>
        <v>27364.187566450873</v>
      </c>
      <c r="AS56">
        <f t="shared" si="0"/>
        <v>201.50369015544857</v>
      </c>
      <c r="AT56">
        <f t="shared" si="1"/>
        <v>7.418401328570523E-3</v>
      </c>
      <c r="AU56" cm="1">
        <f t="array" ref="AU56">SUMPRODUCT($X$162:$AQ$162,(X56:AQ56)/($X$11:$AQ$11))</f>
        <v>25676.658953915987</v>
      </c>
      <c r="AV56">
        <f t="shared" si="2"/>
        <v>203.04770321983597</v>
      </c>
      <c r="AW56">
        <f t="shared" si="3"/>
        <v>-203.04770321983597</v>
      </c>
      <c r="AX56">
        <f t="shared" si="4"/>
        <v>-1.5440130643873999</v>
      </c>
    </row>
    <row r="57" spans="1:50" x14ac:dyDescent="0.2">
      <c r="A57" s="3">
        <v>45841</v>
      </c>
      <c r="B57">
        <v>954.4</v>
      </c>
      <c r="C57">
        <v>92.54</v>
      </c>
      <c r="D57">
        <v>2.8839999999999999</v>
      </c>
      <c r="E57">
        <v>10.1</v>
      </c>
      <c r="F57">
        <v>77.48</v>
      </c>
      <c r="G57">
        <v>7.6520000000000001</v>
      </c>
      <c r="H57">
        <v>33.44</v>
      </c>
      <c r="I57">
        <v>55.55</v>
      </c>
      <c r="J57">
        <v>42.8</v>
      </c>
      <c r="K57">
        <v>373.1</v>
      </c>
      <c r="L57">
        <v>90.1</v>
      </c>
      <c r="M57">
        <v>79.959999999999994</v>
      </c>
      <c r="N57">
        <v>6.92</v>
      </c>
      <c r="O57">
        <v>158.30000000000001</v>
      </c>
      <c r="P57">
        <v>13.1</v>
      </c>
      <c r="Q57">
        <v>14880</v>
      </c>
      <c r="R57">
        <v>0.41449999999999998</v>
      </c>
      <c r="S57">
        <v>134.9</v>
      </c>
      <c r="T57">
        <v>9.67</v>
      </c>
      <c r="U57">
        <v>13.7</v>
      </c>
      <c r="V57" s="6"/>
      <c r="W57" s="3">
        <v>45841</v>
      </c>
      <c r="X57">
        <v>3047</v>
      </c>
      <c r="Y57">
        <v>618</v>
      </c>
      <c r="Z57">
        <v>91.68</v>
      </c>
      <c r="AA57">
        <v>5.056</v>
      </c>
      <c r="AB57">
        <v>556.79999999999995</v>
      </c>
      <c r="AC57">
        <v>157.69999999999999</v>
      </c>
      <c r="AD57">
        <v>138.69999999999999</v>
      </c>
      <c r="AE57">
        <v>3874</v>
      </c>
      <c r="AF57">
        <v>184</v>
      </c>
      <c r="AG57">
        <v>4799</v>
      </c>
      <c r="AH57">
        <v>3172</v>
      </c>
      <c r="AI57">
        <v>257.60000000000002</v>
      </c>
      <c r="AJ57">
        <v>60.5</v>
      </c>
      <c r="AK57">
        <v>42.78</v>
      </c>
      <c r="AL57">
        <v>72.849999999999994</v>
      </c>
      <c r="AM57">
        <v>1177</v>
      </c>
      <c r="AN57">
        <v>494.4</v>
      </c>
      <c r="AO57">
        <v>6180</v>
      </c>
      <c r="AP57">
        <v>86.22</v>
      </c>
      <c r="AQ57">
        <v>159.84836759999999</v>
      </c>
      <c r="AR57" cm="1">
        <f t="array" ref="AR57">SUMPRODUCT($B$162:$U$162,(B57:U57)/($B$11:$U$11))</f>
        <v>27572.366756031723</v>
      </c>
      <c r="AS57">
        <f t="shared" si="0"/>
        <v>208.1791895808492</v>
      </c>
      <c r="AT57">
        <f t="shared" si="1"/>
        <v>7.6077241129599571E-3</v>
      </c>
      <c r="AU57" cm="1">
        <f t="array" ref="AU57">SUMPRODUCT($X$162:$AQ$162,(X57:AQ57)/($X$11:$AQ$11))</f>
        <v>25752.334426316727</v>
      </c>
      <c r="AV57">
        <f t="shared" si="2"/>
        <v>75.675472400740546</v>
      </c>
      <c r="AW57">
        <f t="shared" si="3"/>
        <v>-75.675472400740546</v>
      </c>
      <c r="AX57">
        <f t="shared" si="4"/>
        <v>132.50371718010865</v>
      </c>
    </row>
    <row r="58" spans="1:50" x14ac:dyDescent="0.2">
      <c r="A58" s="3">
        <v>45842</v>
      </c>
      <c r="B58">
        <v>962.6</v>
      </c>
      <c r="C58">
        <v>92.56</v>
      </c>
      <c r="D58">
        <v>2.871</v>
      </c>
      <c r="E58">
        <v>10.005000000000001</v>
      </c>
      <c r="F58">
        <v>76.92</v>
      </c>
      <c r="G58">
        <v>7.4960000000000004</v>
      </c>
      <c r="H58">
        <v>33.28</v>
      </c>
      <c r="I58">
        <v>55.65</v>
      </c>
      <c r="J58">
        <v>43.62</v>
      </c>
      <c r="K58">
        <v>377.9</v>
      </c>
      <c r="L58">
        <v>89.84</v>
      </c>
      <c r="M58">
        <v>79.84</v>
      </c>
      <c r="N58">
        <v>6.89</v>
      </c>
      <c r="O58">
        <v>159.69999999999999</v>
      </c>
      <c r="P58">
        <v>13.01</v>
      </c>
      <c r="Q58">
        <v>14800</v>
      </c>
      <c r="R58">
        <v>0.41289999999999999</v>
      </c>
      <c r="S58">
        <v>132.44999999999999</v>
      </c>
      <c r="T58">
        <v>9.65</v>
      </c>
      <c r="U58">
        <v>13.43</v>
      </c>
      <c r="V58" s="6"/>
      <c r="W58" s="3">
        <v>45842</v>
      </c>
      <c r="X58">
        <v>3008</v>
      </c>
      <c r="Y58">
        <v>616.5</v>
      </c>
      <c r="Z58">
        <v>91.16</v>
      </c>
      <c r="AA58">
        <v>5.0640000000000001</v>
      </c>
      <c r="AB58">
        <v>560.20000000000005</v>
      </c>
      <c r="AC58">
        <v>164</v>
      </c>
      <c r="AD58">
        <v>138.6</v>
      </c>
      <c r="AE58">
        <v>3869</v>
      </c>
      <c r="AF58">
        <v>183.8</v>
      </c>
      <c r="AG58">
        <v>4742</v>
      </c>
      <c r="AH58">
        <v>3182</v>
      </c>
      <c r="AI58">
        <v>260</v>
      </c>
      <c r="AJ58">
        <v>60.5</v>
      </c>
      <c r="AK58">
        <v>43.01</v>
      </c>
      <c r="AL58">
        <v>72.55</v>
      </c>
      <c r="AM58">
        <v>1168.5</v>
      </c>
      <c r="AN58">
        <v>490.8</v>
      </c>
      <c r="AO58">
        <v>6170</v>
      </c>
      <c r="AP58">
        <v>85.3</v>
      </c>
      <c r="AQ58">
        <v>160.62648899999999</v>
      </c>
      <c r="AR58" cm="1">
        <f t="array" ref="AR58">SUMPRODUCT($B$162:$U$162,(B58:U58)/($B$11:$U$11))</f>
        <v>27519.075765154721</v>
      </c>
      <c r="AS58">
        <f t="shared" si="0"/>
        <v>-53.290990877001605</v>
      </c>
      <c r="AT58">
        <f t="shared" si="1"/>
        <v>-1.9327680988917573E-3</v>
      </c>
      <c r="AU58" cm="1">
        <f t="array" ref="AU58">SUMPRODUCT($X$162:$AQ$162,(X58:AQ58)/($X$11:$AQ$11))</f>
        <v>25723.076219429004</v>
      </c>
      <c r="AV58">
        <f t="shared" si="2"/>
        <v>-29.258206887723645</v>
      </c>
      <c r="AW58">
        <f t="shared" si="3"/>
        <v>29.258206887723645</v>
      </c>
      <c r="AX58">
        <f t="shared" si="4"/>
        <v>-24.032783989277959</v>
      </c>
    </row>
    <row r="59" spans="1:50" x14ac:dyDescent="0.2">
      <c r="A59" s="3">
        <v>45845</v>
      </c>
      <c r="B59">
        <v>969.8</v>
      </c>
      <c r="C59">
        <v>94.94</v>
      </c>
      <c r="D59">
        <v>2.9319999999999999</v>
      </c>
      <c r="E59">
        <v>10.125</v>
      </c>
      <c r="F59">
        <v>76.94</v>
      </c>
      <c r="G59">
        <v>7.65</v>
      </c>
      <c r="H59">
        <v>33.64</v>
      </c>
      <c r="I59">
        <v>56.2</v>
      </c>
      <c r="J59">
        <v>43.71</v>
      </c>
      <c r="K59">
        <v>371.3</v>
      </c>
      <c r="L59">
        <v>90.26</v>
      </c>
      <c r="M59">
        <v>80.3</v>
      </c>
      <c r="N59">
        <v>6.9649999999999999</v>
      </c>
      <c r="O59">
        <v>157.85</v>
      </c>
      <c r="P59">
        <v>13.14</v>
      </c>
      <c r="Q59">
        <v>14465</v>
      </c>
      <c r="R59">
        <v>0.41589999999999999</v>
      </c>
      <c r="S59">
        <v>131.4</v>
      </c>
      <c r="T59">
        <v>9.59</v>
      </c>
      <c r="U59">
        <v>13.24</v>
      </c>
      <c r="V59" s="6"/>
      <c r="W59" s="3">
        <v>45845</v>
      </c>
      <c r="X59">
        <v>2958</v>
      </c>
      <c r="Y59">
        <v>615.5</v>
      </c>
      <c r="Z59">
        <v>90.8</v>
      </c>
      <c r="AA59">
        <v>4.9980000000000002</v>
      </c>
      <c r="AB59">
        <v>558</v>
      </c>
      <c r="AC59">
        <v>161.4</v>
      </c>
      <c r="AD59">
        <v>139.5</v>
      </c>
      <c r="AE59">
        <v>3856</v>
      </c>
      <c r="AF59">
        <v>184</v>
      </c>
      <c r="AG59">
        <v>4739</v>
      </c>
      <c r="AH59">
        <v>3216</v>
      </c>
      <c r="AI59">
        <v>257.10000000000002</v>
      </c>
      <c r="AJ59">
        <v>60.4</v>
      </c>
      <c r="AK59">
        <v>42.49</v>
      </c>
      <c r="AL59">
        <v>73</v>
      </c>
      <c r="AM59">
        <v>1172</v>
      </c>
      <c r="AN59">
        <v>485.2</v>
      </c>
      <c r="AO59">
        <v>6110</v>
      </c>
      <c r="AP59">
        <v>84.14</v>
      </c>
      <c r="AQ59">
        <v>154.56825810000001</v>
      </c>
      <c r="AR59" cm="1">
        <f t="array" ref="AR59">SUMPRODUCT($B$162:$U$162,(B59:U59)/($B$11:$U$11))</f>
        <v>27717.228425373476</v>
      </c>
      <c r="AS59">
        <f t="shared" si="0"/>
        <v>198.15266021875505</v>
      </c>
      <c r="AT59">
        <f t="shared" si="1"/>
        <v>7.2005565124995119E-3</v>
      </c>
      <c r="AU59" cm="1">
        <f t="array" ref="AU59">SUMPRODUCT($X$162:$AQ$162,(X59:AQ59)/($X$11:$AQ$11))</f>
        <v>25548.162910922085</v>
      </c>
      <c r="AV59">
        <f t="shared" si="2"/>
        <v>-174.91330850691884</v>
      </c>
      <c r="AW59">
        <f t="shared" si="3"/>
        <v>174.91330850691884</v>
      </c>
      <c r="AX59">
        <f t="shared" si="4"/>
        <v>373.06596872567388</v>
      </c>
    </row>
    <row r="60" spans="1:50" x14ac:dyDescent="0.2">
      <c r="A60" s="3">
        <v>45846</v>
      </c>
      <c r="B60">
        <v>966.4</v>
      </c>
      <c r="C60">
        <v>91.52</v>
      </c>
      <c r="D60">
        <v>2.9750000000000001</v>
      </c>
      <c r="E60">
        <v>10.49</v>
      </c>
      <c r="F60">
        <v>78.5</v>
      </c>
      <c r="G60">
        <v>7.62</v>
      </c>
      <c r="H60">
        <v>32.299999999999997</v>
      </c>
      <c r="I60">
        <v>56.25</v>
      </c>
      <c r="J60">
        <v>44.04</v>
      </c>
      <c r="K60">
        <v>371.2</v>
      </c>
      <c r="L60">
        <v>90.5</v>
      </c>
      <c r="M60">
        <v>80.14</v>
      </c>
      <c r="N60">
        <v>6.95</v>
      </c>
      <c r="O60">
        <v>156.4</v>
      </c>
      <c r="P60">
        <v>12.93</v>
      </c>
      <c r="Q60">
        <v>14505</v>
      </c>
      <c r="R60">
        <v>0.41499999999999998</v>
      </c>
      <c r="S60">
        <v>132.30000000000001</v>
      </c>
      <c r="T60">
        <v>9.7449999999999992</v>
      </c>
      <c r="U60">
        <v>13.53</v>
      </c>
      <c r="V60" s="6"/>
      <c r="W60" s="3">
        <v>45846</v>
      </c>
      <c r="X60">
        <v>3004</v>
      </c>
      <c r="Y60">
        <v>621.5</v>
      </c>
      <c r="Z60">
        <v>90.94</v>
      </c>
      <c r="AA60">
        <v>4.9980000000000002</v>
      </c>
      <c r="AB60">
        <v>555.6</v>
      </c>
      <c r="AC60">
        <v>160.4</v>
      </c>
      <c r="AD60">
        <v>139.25</v>
      </c>
      <c r="AE60">
        <v>3866</v>
      </c>
      <c r="AF60">
        <v>183.4</v>
      </c>
      <c r="AG60">
        <v>4710</v>
      </c>
      <c r="AH60">
        <v>3194</v>
      </c>
      <c r="AI60">
        <v>257.7</v>
      </c>
      <c r="AJ60">
        <v>59.9</v>
      </c>
      <c r="AK60">
        <v>42.96</v>
      </c>
      <c r="AL60">
        <v>72.95</v>
      </c>
      <c r="AM60">
        <v>1185</v>
      </c>
      <c r="AN60">
        <v>480.2</v>
      </c>
      <c r="AO60">
        <v>6145</v>
      </c>
      <c r="AP60">
        <v>91.32</v>
      </c>
      <c r="AQ60">
        <v>154.40151779999999</v>
      </c>
      <c r="AR60" cm="1">
        <f t="array" ref="AR60">SUMPRODUCT($B$162:$U$162,(B60:U60)/($B$11:$U$11))</f>
        <v>27672.130005935076</v>
      </c>
      <c r="AS60">
        <f t="shared" si="0"/>
        <v>-45.098419438400015</v>
      </c>
      <c r="AT60">
        <f t="shared" si="1"/>
        <v>-1.6270897921782934E-3</v>
      </c>
      <c r="AU60" cm="1">
        <f t="array" ref="AU60">SUMPRODUCT($X$162:$AQ$162,(X60:AQ60)/($X$11:$AQ$11))</f>
        <v>25693.221350523352</v>
      </c>
      <c r="AV60">
        <f t="shared" si="2"/>
        <v>145.05843960126731</v>
      </c>
      <c r="AW60">
        <f t="shared" si="3"/>
        <v>-145.05843960126731</v>
      </c>
      <c r="AX60">
        <f t="shared" si="4"/>
        <v>-190.15685903966732</v>
      </c>
    </row>
    <row r="61" spans="1:50" x14ac:dyDescent="0.2">
      <c r="A61" s="3">
        <v>45847</v>
      </c>
      <c r="B61">
        <v>984.4</v>
      </c>
      <c r="C61">
        <v>92.4</v>
      </c>
      <c r="D61">
        <v>3.0470000000000002</v>
      </c>
      <c r="E61">
        <v>10.73</v>
      </c>
      <c r="F61">
        <v>79.38</v>
      </c>
      <c r="G61">
        <v>7.6879999999999997</v>
      </c>
      <c r="H61">
        <v>32.54</v>
      </c>
      <c r="I61">
        <v>56.15</v>
      </c>
      <c r="J61">
        <v>44.3</v>
      </c>
      <c r="K61">
        <v>367.2</v>
      </c>
      <c r="L61">
        <v>90.04</v>
      </c>
      <c r="M61">
        <v>80.540000000000006</v>
      </c>
      <c r="N61">
        <v>7.02</v>
      </c>
      <c r="O61">
        <v>157.15</v>
      </c>
      <c r="P61">
        <v>13.21</v>
      </c>
      <c r="Q61">
        <v>14600</v>
      </c>
      <c r="R61">
        <v>0.4194</v>
      </c>
      <c r="S61">
        <v>130</v>
      </c>
      <c r="T61">
        <v>9.7850000000000001</v>
      </c>
      <c r="U61">
        <v>13.56</v>
      </c>
      <c r="V61" s="6"/>
      <c r="W61" s="3">
        <v>45847</v>
      </c>
      <c r="X61">
        <v>3006</v>
      </c>
      <c r="Y61">
        <v>614.5</v>
      </c>
      <c r="Z61">
        <v>90.76</v>
      </c>
      <c r="AA61">
        <v>5.0119999999999996</v>
      </c>
      <c r="AB61">
        <v>562.6</v>
      </c>
      <c r="AC61">
        <v>162.6</v>
      </c>
      <c r="AD61">
        <v>138.85</v>
      </c>
      <c r="AE61">
        <v>3832</v>
      </c>
      <c r="AF61">
        <v>184.2</v>
      </c>
      <c r="AG61">
        <v>4740</v>
      </c>
      <c r="AH61">
        <v>3214</v>
      </c>
      <c r="AI61">
        <v>260</v>
      </c>
      <c r="AJ61">
        <v>59.9</v>
      </c>
      <c r="AK61">
        <v>42.96</v>
      </c>
      <c r="AL61">
        <v>73.099999999999994</v>
      </c>
      <c r="AM61">
        <v>1199.5</v>
      </c>
      <c r="AN61">
        <v>494</v>
      </c>
      <c r="AO61">
        <v>6190</v>
      </c>
      <c r="AP61">
        <v>92.32</v>
      </c>
      <c r="AQ61">
        <v>155.2907994</v>
      </c>
      <c r="AR61" cm="1">
        <f t="array" ref="AR61">SUMPRODUCT($B$162:$U$162,(B61:U61)/($B$11:$U$11))</f>
        <v>27932.548927370906</v>
      </c>
      <c r="AS61">
        <f t="shared" si="0"/>
        <v>260.41892143583027</v>
      </c>
      <c r="AT61">
        <f t="shared" si="1"/>
        <v>9.410873733969094E-3</v>
      </c>
      <c r="AU61" cm="1">
        <f t="array" ref="AU61">SUMPRODUCT($X$162:$AQ$162,(X61:AQ61)/($X$11:$AQ$11))</f>
        <v>25782.842080646773</v>
      </c>
      <c r="AV61">
        <f t="shared" si="2"/>
        <v>89.620730123420799</v>
      </c>
      <c r="AW61">
        <f t="shared" si="3"/>
        <v>-89.620730123420799</v>
      </c>
      <c r="AX61">
        <f t="shared" si="4"/>
        <v>170.79819131240947</v>
      </c>
    </row>
    <row r="62" spans="1:50" x14ac:dyDescent="0.2">
      <c r="A62" s="3">
        <v>45848</v>
      </c>
      <c r="B62">
        <v>975.4</v>
      </c>
      <c r="C62">
        <v>89.98</v>
      </c>
      <c r="D62">
        <v>3.0070000000000001</v>
      </c>
      <c r="E62">
        <v>10.414999999999999</v>
      </c>
      <c r="F62">
        <v>77.599999999999994</v>
      </c>
      <c r="G62">
        <v>7.5460000000000003</v>
      </c>
      <c r="H62">
        <v>32.5</v>
      </c>
      <c r="I62">
        <v>56.45</v>
      </c>
      <c r="J62">
        <v>44.73</v>
      </c>
      <c r="K62">
        <v>372.2</v>
      </c>
      <c r="L62">
        <v>91.16</v>
      </c>
      <c r="M62">
        <v>80.5</v>
      </c>
      <c r="N62">
        <v>6.92</v>
      </c>
      <c r="O62">
        <v>154.65</v>
      </c>
      <c r="P62">
        <v>13.03</v>
      </c>
      <c r="Q62">
        <v>14575</v>
      </c>
      <c r="R62">
        <v>0.40989999999999999</v>
      </c>
      <c r="S62">
        <v>130.9</v>
      </c>
      <c r="T62">
        <v>9.73</v>
      </c>
      <c r="U62">
        <v>13.96</v>
      </c>
      <c r="V62" s="6"/>
      <c r="W62" s="3">
        <v>45848</v>
      </c>
      <c r="X62">
        <v>3060</v>
      </c>
      <c r="Y62">
        <v>622</v>
      </c>
      <c r="Z62">
        <v>91</v>
      </c>
      <c r="AA62">
        <v>4.9779999999999998</v>
      </c>
      <c r="AB62">
        <v>569.4</v>
      </c>
      <c r="AC62">
        <v>165.6</v>
      </c>
      <c r="AD62">
        <v>139.1</v>
      </c>
      <c r="AE62">
        <v>3858</v>
      </c>
      <c r="AF62">
        <v>183</v>
      </c>
      <c r="AG62">
        <v>4920</v>
      </c>
      <c r="AH62">
        <v>3238</v>
      </c>
      <c r="AI62">
        <v>263</v>
      </c>
      <c r="AJ62">
        <v>59.5</v>
      </c>
      <c r="AK62">
        <v>44.39</v>
      </c>
      <c r="AL62">
        <v>73.95</v>
      </c>
      <c r="AM62">
        <v>1225.5</v>
      </c>
      <c r="AN62">
        <v>491</v>
      </c>
      <c r="AO62">
        <v>6335</v>
      </c>
      <c r="AP62">
        <v>92.52</v>
      </c>
      <c r="AQ62">
        <v>156.23566109999999</v>
      </c>
      <c r="AR62" cm="1">
        <f t="array" ref="AR62">SUMPRODUCT($B$162:$U$162,(B62:U62)/($B$11:$U$11))</f>
        <v>27686.526968345748</v>
      </c>
      <c r="AS62">
        <f t="shared" si="0"/>
        <v>-246.02195902515814</v>
      </c>
      <c r="AT62">
        <f t="shared" si="1"/>
        <v>-8.8077160328208226E-3</v>
      </c>
      <c r="AU62" cm="1">
        <f t="array" ref="AU62">SUMPRODUCT($X$162:$AQ$162,(X62:AQ62)/($X$11:$AQ$11))</f>
        <v>26050.755072897868</v>
      </c>
      <c r="AV62">
        <f t="shared" si="2"/>
        <v>267.91299225109469</v>
      </c>
      <c r="AW62">
        <f t="shared" si="3"/>
        <v>-267.91299225109469</v>
      </c>
      <c r="AX62">
        <f t="shared" si="4"/>
        <v>-513.93495127625283</v>
      </c>
    </row>
    <row r="63" spans="1:50" x14ac:dyDescent="0.2">
      <c r="A63" s="3">
        <v>45849</v>
      </c>
      <c r="B63">
        <v>988</v>
      </c>
      <c r="C63">
        <v>91.68</v>
      </c>
      <c r="D63">
        <v>2.9279999999999999</v>
      </c>
      <c r="E63">
        <v>10.025</v>
      </c>
      <c r="F63">
        <v>77.88</v>
      </c>
      <c r="G63">
        <v>7.4059999999999997</v>
      </c>
      <c r="H63">
        <v>32.44</v>
      </c>
      <c r="I63">
        <v>57.35</v>
      </c>
      <c r="J63">
        <v>44.63</v>
      </c>
      <c r="K63">
        <v>367.4</v>
      </c>
      <c r="L63">
        <v>89.58</v>
      </c>
      <c r="M63">
        <v>79.64</v>
      </c>
      <c r="N63">
        <v>6.8550000000000004</v>
      </c>
      <c r="O63">
        <v>154.85</v>
      </c>
      <c r="P63">
        <v>12.98</v>
      </c>
      <c r="Q63">
        <v>14585</v>
      </c>
      <c r="R63">
        <v>0.40529999999999999</v>
      </c>
      <c r="S63">
        <v>132.75</v>
      </c>
      <c r="T63">
        <v>9.5250000000000004</v>
      </c>
      <c r="U63">
        <v>13.72</v>
      </c>
      <c r="V63" s="6"/>
      <c r="W63" s="3">
        <v>45849</v>
      </c>
      <c r="X63">
        <v>2978</v>
      </c>
      <c r="Y63">
        <v>643.5</v>
      </c>
      <c r="Z63">
        <v>89.68</v>
      </c>
      <c r="AA63">
        <v>5.0060000000000002</v>
      </c>
      <c r="AB63">
        <v>564</v>
      </c>
      <c r="AC63">
        <v>165.4</v>
      </c>
      <c r="AD63">
        <v>138.85</v>
      </c>
      <c r="AE63">
        <v>3790</v>
      </c>
      <c r="AF63">
        <v>183.8</v>
      </c>
      <c r="AG63">
        <v>4830</v>
      </c>
      <c r="AH63">
        <v>3216</v>
      </c>
      <c r="AI63">
        <v>256.8</v>
      </c>
      <c r="AJ63">
        <v>59.7</v>
      </c>
      <c r="AK63">
        <v>43.45</v>
      </c>
      <c r="AL63">
        <v>73.849999999999994</v>
      </c>
      <c r="AM63">
        <v>1224.5</v>
      </c>
      <c r="AN63">
        <v>484</v>
      </c>
      <c r="AO63">
        <v>6180</v>
      </c>
      <c r="AP63">
        <v>92.2</v>
      </c>
      <c r="AQ63">
        <v>154.90173870000001</v>
      </c>
      <c r="AR63" cm="1">
        <f t="array" ref="AR63">SUMPRODUCT($B$162:$U$162,(B63:U63)/($B$11:$U$11))</f>
        <v>27574.609381738883</v>
      </c>
      <c r="AS63">
        <f t="shared" si="0"/>
        <v>-111.91758660686537</v>
      </c>
      <c r="AT63">
        <f t="shared" si="1"/>
        <v>-4.0423122313182347E-3</v>
      </c>
      <c r="AU63" cm="1">
        <f t="array" ref="AU63">SUMPRODUCT($X$162:$AQ$162,(X63:AQ63)/($X$11:$AQ$11))</f>
        <v>25886.846217556515</v>
      </c>
      <c r="AV63">
        <f t="shared" si="2"/>
        <v>-163.90885534135305</v>
      </c>
      <c r="AW63">
        <f t="shared" si="3"/>
        <v>163.90885534135305</v>
      </c>
      <c r="AX63">
        <f t="shared" si="4"/>
        <v>51.991268734487676</v>
      </c>
    </row>
    <row r="64" spans="1:50" x14ac:dyDescent="0.2">
      <c r="A64" s="3">
        <v>45852</v>
      </c>
      <c r="B64">
        <v>998.4</v>
      </c>
      <c r="C64">
        <v>92.04</v>
      </c>
      <c r="D64">
        <v>2.95</v>
      </c>
      <c r="E64">
        <v>10.545</v>
      </c>
      <c r="F64">
        <v>78.180000000000007</v>
      </c>
      <c r="G64">
        <v>7.89</v>
      </c>
      <c r="H64">
        <v>32.74</v>
      </c>
      <c r="I64">
        <v>57.3</v>
      </c>
      <c r="J64">
        <v>45.11</v>
      </c>
      <c r="K64">
        <v>367.2</v>
      </c>
      <c r="L64">
        <v>89.02</v>
      </c>
      <c r="M64">
        <v>80.459999999999994</v>
      </c>
      <c r="N64">
        <v>6.74</v>
      </c>
      <c r="O64">
        <v>156.1</v>
      </c>
      <c r="P64">
        <v>12.93</v>
      </c>
      <c r="Q64">
        <v>14730</v>
      </c>
      <c r="R64">
        <v>0.40350000000000003</v>
      </c>
      <c r="S64">
        <v>132.80000000000001</v>
      </c>
      <c r="T64">
        <v>9.4049999999999994</v>
      </c>
      <c r="U64">
        <v>13.51</v>
      </c>
      <c r="V64" s="6"/>
      <c r="W64" s="3">
        <v>45852</v>
      </c>
      <c r="X64">
        <v>2953</v>
      </c>
      <c r="Y64">
        <v>633</v>
      </c>
      <c r="Z64">
        <v>89.18</v>
      </c>
      <c r="AA64">
        <v>5.056</v>
      </c>
      <c r="AB64">
        <v>564.6</v>
      </c>
      <c r="AC64">
        <v>163.30000000000001</v>
      </c>
      <c r="AD64">
        <v>139.5</v>
      </c>
      <c r="AE64">
        <v>3772</v>
      </c>
      <c r="AF64">
        <v>185.6</v>
      </c>
      <c r="AG64">
        <v>4783</v>
      </c>
      <c r="AH64">
        <v>3214</v>
      </c>
      <c r="AI64">
        <v>257.7</v>
      </c>
      <c r="AJ64">
        <v>60.2</v>
      </c>
      <c r="AK64">
        <v>42.87</v>
      </c>
      <c r="AL64">
        <v>73.45</v>
      </c>
      <c r="AM64">
        <v>1227.5</v>
      </c>
      <c r="AN64">
        <v>487.4</v>
      </c>
      <c r="AO64">
        <v>6020</v>
      </c>
      <c r="AP64">
        <v>92.5</v>
      </c>
      <c r="AQ64">
        <v>153.6789765</v>
      </c>
      <c r="AR64" cm="1">
        <f t="array" ref="AR64">SUMPRODUCT($B$162:$U$162,(B64:U64)/($B$11:$U$11))</f>
        <v>27780.36485328446</v>
      </c>
      <c r="AS64">
        <f t="shared" si="0"/>
        <v>205.75547154557717</v>
      </c>
      <c r="AT64">
        <f t="shared" si="1"/>
        <v>7.4617728467927247E-3</v>
      </c>
      <c r="AU64" cm="1">
        <f t="array" ref="AU64">SUMPRODUCT($X$162:$AQ$162,(X64:AQ64)/($X$11:$AQ$11))</f>
        <v>25778.710959884287</v>
      </c>
      <c r="AV64">
        <f t="shared" si="2"/>
        <v>-108.13525767222745</v>
      </c>
      <c r="AW64">
        <f t="shared" si="3"/>
        <v>108.13525767222745</v>
      </c>
      <c r="AX64">
        <f t="shared" si="4"/>
        <v>313.89072921780462</v>
      </c>
    </row>
    <row r="65" spans="1:50" x14ac:dyDescent="0.2">
      <c r="A65" s="3">
        <v>45853</v>
      </c>
      <c r="B65">
        <v>990.4</v>
      </c>
      <c r="C65">
        <v>93.22</v>
      </c>
      <c r="D65">
        <v>2.9009999999999998</v>
      </c>
      <c r="E65">
        <v>10.275</v>
      </c>
      <c r="F65">
        <v>78.52</v>
      </c>
      <c r="G65">
        <v>7.71</v>
      </c>
      <c r="H65">
        <v>32.619999999999997</v>
      </c>
      <c r="I65">
        <v>62.3</v>
      </c>
      <c r="J65">
        <v>45.47</v>
      </c>
      <c r="K65">
        <v>363.4</v>
      </c>
      <c r="L65">
        <v>88.96</v>
      </c>
      <c r="M65">
        <v>80.239999999999995</v>
      </c>
      <c r="N65">
        <v>6.82</v>
      </c>
      <c r="O65">
        <v>155.05000000000001</v>
      </c>
      <c r="P65">
        <v>12.96</v>
      </c>
      <c r="Q65">
        <v>14695</v>
      </c>
      <c r="R65">
        <v>0.40079999999999999</v>
      </c>
      <c r="S65">
        <v>131.4</v>
      </c>
      <c r="T65">
        <v>9.48</v>
      </c>
      <c r="U65">
        <v>13.67</v>
      </c>
      <c r="V65" s="6"/>
      <c r="W65" s="3">
        <v>45853</v>
      </c>
      <c r="X65">
        <v>2922</v>
      </c>
      <c r="Y65">
        <v>630.5</v>
      </c>
      <c r="Z65">
        <v>89.38</v>
      </c>
      <c r="AA65">
        <v>5.04</v>
      </c>
      <c r="AB65">
        <v>563.6</v>
      </c>
      <c r="AC65">
        <v>163.69999999999999</v>
      </c>
      <c r="AD65">
        <v>139.30000000000001</v>
      </c>
      <c r="AE65">
        <v>3752</v>
      </c>
      <c r="AF65">
        <v>185.2</v>
      </c>
      <c r="AG65">
        <v>4803</v>
      </c>
      <c r="AH65">
        <v>3198</v>
      </c>
      <c r="AI65">
        <v>255</v>
      </c>
      <c r="AJ65">
        <v>59.4</v>
      </c>
      <c r="AK65">
        <v>43.75</v>
      </c>
      <c r="AL65">
        <v>73.45</v>
      </c>
      <c r="AM65">
        <v>1209</v>
      </c>
      <c r="AN65">
        <v>486.2</v>
      </c>
      <c r="AO65">
        <v>6040</v>
      </c>
      <c r="AP65">
        <v>92.12</v>
      </c>
      <c r="AQ65">
        <v>166.3512393</v>
      </c>
      <c r="AR65" cm="1">
        <f t="array" ref="AR65">SUMPRODUCT($B$162:$U$162,(B65:U65)/($B$11:$U$11))</f>
        <v>27805.124293897352</v>
      </c>
      <c r="AS65">
        <f t="shared" si="0"/>
        <v>24.759440612891922</v>
      </c>
      <c r="AT65">
        <f t="shared" si="1"/>
        <v>8.9125685510804686E-4</v>
      </c>
      <c r="AU65" cm="1">
        <f t="array" ref="AU65">SUMPRODUCT($X$162:$AQ$162,(X65:AQ65)/($X$11:$AQ$11))</f>
        <v>25799.874197750345</v>
      </c>
      <c r="AV65">
        <f t="shared" si="2"/>
        <v>21.163237866057898</v>
      </c>
      <c r="AW65">
        <f t="shared" si="3"/>
        <v>-21.163237866057898</v>
      </c>
      <c r="AX65">
        <f t="shared" si="4"/>
        <v>3.5962027468340239</v>
      </c>
    </row>
    <row r="66" spans="1:50" x14ac:dyDescent="0.2">
      <c r="A66" s="3">
        <v>45854</v>
      </c>
      <c r="B66">
        <v>988.4</v>
      </c>
      <c r="C66">
        <v>91.26</v>
      </c>
      <c r="D66">
        <v>2.887</v>
      </c>
      <c r="E66">
        <v>10.28</v>
      </c>
      <c r="F66">
        <v>78.92</v>
      </c>
      <c r="G66">
        <v>7.63</v>
      </c>
      <c r="H66">
        <v>32.520000000000003</v>
      </c>
      <c r="I66">
        <v>64.650000000000006</v>
      </c>
      <c r="J66">
        <v>44.99</v>
      </c>
      <c r="K66">
        <v>360</v>
      </c>
      <c r="L66">
        <v>88.4</v>
      </c>
      <c r="M66">
        <v>79.56</v>
      </c>
      <c r="N66">
        <v>6.6950000000000003</v>
      </c>
      <c r="O66">
        <v>153.19999999999999</v>
      </c>
      <c r="P66">
        <v>12.92</v>
      </c>
      <c r="Q66">
        <v>14815</v>
      </c>
      <c r="R66">
        <v>0.40660000000000002</v>
      </c>
      <c r="S66">
        <v>130.6</v>
      </c>
      <c r="T66">
        <v>9.3949999999999996</v>
      </c>
      <c r="U66">
        <v>13.85</v>
      </c>
      <c r="V66" s="6"/>
      <c r="W66" s="3">
        <v>45854</v>
      </c>
      <c r="X66">
        <v>2854</v>
      </c>
      <c r="Y66">
        <v>630</v>
      </c>
      <c r="Z66">
        <v>88.86</v>
      </c>
      <c r="AA66">
        <v>5.0380000000000003</v>
      </c>
      <c r="AB66">
        <v>569.79999999999995</v>
      </c>
      <c r="AC66">
        <v>160.80000000000001</v>
      </c>
      <c r="AD66">
        <v>139.05000000000001</v>
      </c>
      <c r="AE66">
        <v>3760</v>
      </c>
      <c r="AF66">
        <v>184.4</v>
      </c>
      <c r="AG66">
        <v>4679</v>
      </c>
      <c r="AH66">
        <v>3186</v>
      </c>
      <c r="AI66">
        <v>256.2</v>
      </c>
      <c r="AJ66">
        <v>59.2</v>
      </c>
      <c r="AK66">
        <v>42.87</v>
      </c>
      <c r="AL66">
        <v>73.2</v>
      </c>
      <c r="AM66">
        <v>1188.5</v>
      </c>
      <c r="AN66">
        <v>489</v>
      </c>
      <c r="AO66">
        <v>6020</v>
      </c>
      <c r="AP66">
        <v>91.1</v>
      </c>
      <c r="AQ66">
        <v>164.5726761</v>
      </c>
      <c r="AR66" cm="1">
        <f t="array" ref="AR66">SUMPRODUCT($B$162:$U$162,(B66:U66)/($B$11:$U$11))</f>
        <v>27711.074848487569</v>
      </c>
      <c r="AS66">
        <f t="shared" si="0"/>
        <v>-94.049445409782493</v>
      </c>
      <c r="AT66">
        <f t="shared" si="1"/>
        <v>-3.382450098610934E-3</v>
      </c>
      <c r="AU66" cm="1">
        <f t="array" ref="AU66">SUMPRODUCT($X$162:$AQ$162,(X66:AQ66)/($X$11:$AQ$11))</f>
        <v>25612.82729439628</v>
      </c>
      <c r="AV66">
        <f t="shared" si="2"/>
        <v>-187.04690335406485</v>
      </c>
      <c r="AW66">
        <f t="shared" si="3"/>
        <v>187.04690335406485</v>
      </c>
      <c r="AX66">
        <f t="shared" si="4"/>
        <v>92.99745794428236</v>
      </c>
    </row>
    <row r="67" spans="1:50" x14ac:dyDescent="0.2">
      <c r="A67" s="3">
        <v>45855</v>
      </c>
      <c r="B67">
        <v>1010</v>
      </c>
      <c r="C67">
        <v>95.54</v>
      </c>
      <c r="D67">
        <v>2.8940000000000001</v>
      </c>
      <c r="E67">
        <v>10.34</v>
      </c>
      <c r="F67">
        <v>80.64</v>
      </c>
      <c r="G67">
        <v>7.5119999999999996</v>
      </c>
      <c r="H67">
        <v>32.479999999999997</v>
      </c>
      <c r="I67">
        <v>67.650000000000006</v>
      </c>
      <c r="J67">
        <v>44.93</v>
      </c>
      <c r="K67">
        <v>358.8</v>
      </c>
      <c r="L67">
        <v>88.94</v>
      </c>
      <c r="M67">
        <v>80.099999999999994</v>
      </c>
      <c r="N67">
        <v>6.73</v>
      </c>
      <c r="O67">
        <v>154.1</v>
      </c>
      <c r="P67">
        <v>12.9</v>
      </c>
      <c r="Q67">
        <v>15240</v>
      </c>
      <c r="R67">
        <v>0.40550000000000003</v>
      </c>
      <c r="S67">
        <v>130.44999999999999</v>
      </c>
      <c r="T67">
        <v>9.51</v>
      </c>
      <c r="U67">
        <v>14.13</v>
      </c>
      <c r="V67" s="6"/>
      <c r="W67" s="3">
        <v>45855</v>
      </c>
      <c r="X67">
        <v>2877</v>
      </c>
      <c r="Y67">
        <v>636</v>
      </c>
      <c r="Z67">
        <v>89.26</v>
      </c>
      <c r="AA67">
        <v>5.0439999999999996</v>
      </c>
      <c r="AB67">
        <v>570</v>
      </c>
      <c r="AC67">
        <v>139.5</v>
      </c>
      <c r="AD67">
        <v>141.1</v>
      </c>
      <c r="AE67">
        <v>3772</v>
      </c>
      <c r="AF67">
        <v>184</v>
      </c>
      <c r="AG67">
        <v>4825</v>
      </c>
      <c r="AH67">
        <v>3244</v>
      </c>
      <c r="AI67">
        <v>257</v>
      </c>
      <c r="AJ67">
        <v>59.5</v>
      </c>
      <c r="AK67">
        <v>43.1</v>
      </c>
      <c r="AL67">
        <v>73.849999999999994</v>
      </c>
      <c r="AM67">
        <v>1195</v>
      </c>
      <c r="AN67">
        <v>493.8</v>
      </c>
      <c r="AO67">
        <v>6145</v>
      </c>
      <c r="AP67">
        <v>92.72</v>
      </c>
      <c r="AQ67">
        <v>162.34947210000001</v>
      </c>
      <c r="AR67" cm="1">
        <f t="array" ref="AR67">SUMPRODUCT($B$162:$U$162,(B67:U67)/($B$11:$U$11))</f>
        <v>28100.688080590371</v>
      </c>
      <c r="AS67">
        <f t="shared" si="0"/>
        <v>389.6132321028017</v>
      </c>
      <c r="AT67">
        <f t="shared" si="1"/>
        <v>1.4059838322152407E-2</v>
      </c>
      <c r="AU67" cm="1">
        <f t="array" ref="AU67">SUMPRODUCT($X$162:$AQ$162,(X67:AQ67)/($X$11:$AQ$11))</f>
        <v>25668.248589756371</v>
      </c>
      <c r="AV67">
        <f t="shared" si="2"/>
        <v>55.42129536009088</v>
      </c>
      <c r="AW67">
        <f t="shared" si="3"/>
        <v>-55.42129536009088</v>
      </c>
      <c r="AX67">
        <f t="shared" si="4"/>
        <v>334.19193674271082</v>
      </c>
    </row>
    <row r="68" spans="1:50" x14ac:dyDescent="0.2">
      <c r="A68" s="3">
        <v>45856</v>
      </c>
      <c r="B68">
        <v>1005</v>
      </c>
      <c r="C68">
        <v>94.02</v>
      </c>
      <c r="D68">
        <v>2.8940000000000001</v>
      </c>
      <c r="E68">
        <v>10.365</v>
      </c>
      <c r="F68">
        <v>82.22</v>
      </c>
      <c r="G68">
        <v>7.65</v>
      </c>
      <c r="H68">
        <v>32.659999999999997</v>
      </c>
      <c r="I68">
        <v>70</v>
      </c>
      <c r="J68">
        <v>45.76</v>
      </c>
      <c r="K68">
        <v>358.7</v>
      </c>
      <c r="L68">
        <v>89.16</v>
      </c>
      <c r="M68">
        <v>80.84</v>
      </c>
      <c r="N68">
        <v>6.58</v>
      </c>
      <c r="O68">
        <v>153.30000000000001</v>
      </c>
      <c r="P68">
        <v>13.04</v>
      </c>
      <c r="Q68">
        <v>15790</v>
      </c>
      <c r="R68">
        <v>0.40699999999999997</v>
      </c>
      <c r="S68">
        <v>131.80000000000001</v>
      </c>
      <c r="T68">
        <v>9.6300000000000008</v>
      </c>
      <c r="U68">
        <v>14.27</v>
      </c>
      <c r="V68" s="6"/>
      <c r="W68" s="3">
        <v>45856</v>
      </c>
      <c r="X68">
        <v>2846</v>
      </c>
      <c r="Y68">
        <v>638</v>
      </c>
      <c r="Z68">
        <v>89.32</v>
      </c>
      <c r="AA68">
        <v>5.07</v>
      </c>
      <c r="AB68">
        <v>569.79999999999995</v>
      </c>
      <c r="AC68">
        <v>140</v>
      </c>
      <c r="AD68">
        <v>140.44999999999999</v>
      </c>
      <c r="AE68">
        <v>3792</v>
      </c>
      <c r="AF68">
        <v>184</v>
      </c>
      <c r="AG68">
        <v>4818</v>
      </c>
      <c r="AH68">
        <v>3252</v>
      </c>
      <c r="AI68">
        <v>258.5</v>
      </c>
      <c r="AJ68">
        <v>59.7</v>
      </c>
      <c r="AK68">
        <v>43.67</v>
      </c>
      <c r="AL68">
        <v>73.95</v>
      </c>
      <c r="AM68">
        <v>1196.5</v>
      </c>
      <c r="AN68">
        <v>516</v>
      </c>
      <c r="AO68">
        <v>6205</v>
      </c>
      <c r="AP68">
        <v>93.04</v>
      </c>
      <c r="AQ68">
        <v>165.3507975</v>
      </c>
      <c r="AR68" cm="1">
        <f t="array" ref="AR68">SUMPRODUCT($B$162:$U$162,(B68:U68)/($B$11:$U$11))</f>
        <v>28218.144644871645</v>
      </c>
      <c r="AS68">
        <f t="shared" si="0"/>
        <v>117.45656428127404</v>
      </c>
      <c r="AT68">
        <f t="shared" si="1"/>
        <v>4.1798465555156206E-3</v>
      </c>
      <c r="AU68" cm="1">
        <f t="array" ref="AU68">SUMPRODUCT($X$162:$AQ$162,(X68:AQ68)/($X$11:$AQ$11))</f>
        <v>25771.520465581962</v>
      </c>
      <c r="AV68">
        <f t="shared" si="2"/>
        <v>103.27187582559054</v>
      </c>
      <c r="AW68">
        <f t="shared" si="3"/>
        <v>-103.27187582559054</v>
      </c>
      <c r="AX68">
        <f t="shared" si="4"/>
        <v>14.184688455683499</v>
      </c>
    </row>
    <row r="69" spans="1:50" x14ac:dyDescent="0.2">
      <c r="A69" s="3">
        <v>45859</v>
      </c>
      <c r="B69">
        <v>1000</v>
      </c>
      <c r="C69">
        <v>93.72</v>
      </c>
      <c r="D69">
        <v>2.8879999999999999</v>
      </c>
      <c r="E69">
        <v>10.199999999999999</v>
      </c>
      <c r="F69">
        <v>80.540000000000006</v>
      </c>
      <c r="G69">
        <v>7.5759999999999996</v>
      </c>
      <c r="H69">
        <v>32.78</v>
      </c>
      <c r="I69">
        <v>70</v>
      </c>
      <c r="J69">
        <v>45.95</v>
      </c>
      <c r="K69">
        <v>354.3</v>
      </c>
      <c r="L69">
        <v>89.06</v>
      </c>
      <c r="M69">
        <v>81.66</v>
      </c>
      <c r="N69">
        <v>6.585</v>
      </c>
      <c r="O69">
        <v>156.65</v>
      </c>
      <c r="P69">
        <v>12.92</v>
      </c>
      <c r="Q69">
        <v>15760</v>
      </c>
      <c r="R69">
        <v>0.40410000000000001</v>
      </c>
      <c r="S69">
        <v>134</v>
      </c>
      <c r="T69">
        <v>9.5399999999999991</v>
      </c>
      <c r="U69">
        <v>14.08</v>
      </c>
      <c r="V69" s="6"/>
      <c r="W69" s="3">
        <v>45859</v>
      </c>
      <c r="X69">
        <v>2859</v>
      </c>
      <c r="Y69">
        <v>641.5</v>
      </c>
      <c r="Z69">
        <v>89.36</v>
      </c>
      <c r="AA69">
        <v>5.0999999999999996</v>
      </c>
      <c r="AB69">
        <v>561.6</v>
      </c>
      <c r="AC69">
        <v>140</v>
      </c>
      <c r="AD69">
        <v>138.80000000000001</v>
      </c>
      <c r="AE69">
        <v>3837</v>
      </c>
      <c r="AF69">
        <v>185.6</v>
      </c>
      <c r="AG69">
        <v>4809</v>
      </c>
      <c r="AH69">
        <v>3240</v>
      </c>
      <c r="AI69">
        <v>255.6</v>
      </c>
      <c r="AJ69">
        <v>59.5</v>
      </c>
      <c r="AK69">
        <v>43.62</v>
      </c>
      <c r="AL69">
        <v>74.400000000000006</v>
      </c>
      <c r="AM69">
        <v>1207.5</v>
      </c>
      <c r="AN69">
        <v>526</v>
      </c>
      <c r="AO69">
        <v>6200</v>
      </c>
      <c r="AP69">
        <v>91.3</v>
      </c>
      <c r="AQ69">
        <v>170.29742640000001</v>
      </c>
      <c r="AR69" cm="1">
        <f t="array" ref="AR69">SUMPRODUCT($B$162:$U$162,(B69:U69)/($B$11:$U$11))</f>
        <v>28134.349671083819</v>
      </c>
      <c r="AS69">
        <f t="shared" si="0"/>
        <v>-83.794973787826166</v>
      </c>
      <c r="AT69">
        <f t="shared" si="1"/>
        <v>-2.9695422871487409E-3</v>
      </c>
      <c r="AU69" cm="1">
        <f t="array" ref="AU69">SUMPRODUCT($X$162:$AQ$162,(X69:AQ69)/($X$11:$AQ$11))</f>
        <v>25827.670715927525</v>
      </c>
      <c r="AV69">
        <f t="shared" si="2"/>
        <v>56.150250345563109</v>
      </c>
      <c r="AW69">
        <f t="shared" si="3"/>
        <v>-56.150250345563109</v>
      </c>
      <c r="AX69">
        <f t="shared" si="4"/>
        <v>-139.94522413338927</v>
      </c>
    </row>
    <row r="70" spans="1:50" x14ac:dyDescent="0.2">
      <c r="A70" s="3">
        <v>45860</v>
      </c>
      <c r="B70">
        <v>983.2</v>
      </c>
      <c r="C70">
        <v>91.04</v>
      </c>
      <c r="D70">
        <v>2.9129999999999998</v>
      </c>
      <c r="E70">
        <v>10.324999999999999</v>
      </c>
      <c r="F70">
        <v>79.8</v>
      </c>
      <c r="G70">
        <v>7.6580000000000004</v>
      </c>
      <c r="H70">
        <v>33.020000000000003</v>
      </c>
      <c r="I70">
        <v>69.150000000000006</v>
      </c>
      <c r="J70">
        <v>46.37</v>
      </c>
      <c r="K70">
        <v>355</v>
      </c>
      <c r="L70">
        <v>88.24</v>
      </c>
      <c r="M70">
        <v>81.88</v>
      </c>
      <c r="N70">
        <v>6.5250000000000004</v>
      </c>
      <c r="O70">
        <v>164.1</v>
      </c>
      <c r="P70">
        <v>12.82</v>
      </c>
      <c r="Q70">
        <v>15850</v>
      </c>
      <c r="R70">
        <v>0.40620000000000001</v>
      </c>
      <c r="S70">
        <v>135.15</v>
      </c>
      <c r="T70">
        <v>9.5549999999999997</v>
      </c>
      <c r="U70">
        <v>13.81</v>
      </c>
      <c r="V70" s="6"/>
      <c r="W70" s="3">
        <v>45860</v>
      </c>
      <c r="X70">
        <v>2817</v>
      </c>
      <c r="Y70">
        <v>642</v>
      </c>
      <c r="Z70">
        <v>87.7</v>
      </c>
      <c r="AA70">
        <v>5.1580000000000004</v>
      </c>
      <c r="AB70">
        <v>555</v>
      </c>
      <c r="AC70">
        <v>139.9</v>
      </c>
      <c r="AD70">
        <v>137.55000000000001</v>
      </c>
      <c r="AE70">
        <v>3627</v>
      </c>
      <c r="AF70">
        <v>186.6</v>
      </c>
      <c r="AG70">
        <v>4735</v>
      </c>
      <c r="AH70">
        <v>3208</v>
      </c>
      <c r="AI70">
        <v>254.1</v>
      </c>
      <c r="AJ70">
        <v>59.6</v>
      </c>
      <c r="AK70">
        <v>43.26</v>
      </c>
      <c r="AL70">
        <v>74.25</v>
      </c>
      <c r="AM70">
        <v>1192</v>
      </c>
      <c r="AN70">
        <v>539</v>
      </c>
      <c r="AO70">
        <v>6100</v>
      </c>
      <c r="AP70">
        <v>90.48</v>
      </c>
      <c r="AQ70">
        <v>175.2996354</v>
      </c>
      <c r="AR70" cm="1">
        <f t="array" ref="AR70">SUMPRODUCT($B$162:$U$162,(B70:U70)/($B$11:$U$11))</f>
        <v>28050.577325142986</v>
      </c>
      <c r="AS70">
        <f t="shared" si="0"/>
        <v>-83.772345940833475</v>
      </c>
      <c r="AT70">
        <f t="shared" si="1"/>
        <v>-2.9775824541959928E-3</v>
      </c>
      <c r="AU70" cm="1">
        <f t="array" ref="AU70">SUMPRODUCT($X$162:$AQ$162,(X70:AQ70)/($X$11:$AQ$11))</f>
        <v>25671.384323921633</v>
      </c>
      <c r="AV70">
        <f t="shared" si="2"/>
        <v>-156.28639200589168</v>
      </c>
      <c r="AW70">
        <f t="shared" si="3"/>
        <v>156.28639200589168</v>
      </c>
      <c r="AX70">
        <f t="shared" si="4"/>
        <v>72.51404606505821</v>
      </c>
    </row>
    <row r="71" spans="1:50" x14ac:dyDescent="0.2">
      <c r="A71" s="3">
        <v>45861</v>
      </c>
      <c r="B71">
        <v>983.4</v>
      </c>
      <c r="C71">
        <v>96.82</v>
      </c>
      <c r="D71">
        <v>2.9380000000000002</v>
      </c>
      <c r="E71">
        <v>10.07</v>
      </c>
      <c r="F71">
        <v>79.88</v>
      </c>
      <c r="G71">
        <v>7.79</v>
      </c>
      <c r="H71">
        <v>33.1</v>
      </c>
      <c r="I71">
        <v>69.25</v>
      </c>
      <c r="J71">
        <v>47.02</v>
      </c>
      <c r="K71">
        <v>358.5</v>
      </c>
      <c r="L71">
        <v>89.14</v>
      </c>
      <c r="M71">
        <v>82.36</v>
      </c>
      <c r="N71">
        <v>6.59</v>
      </c>
      <c r="O71">
        <v>158.75</v>
      </c>
      <c r="P71">
        <v>13.05</v>
      </c>
      <c r="Q71">
        <v>16210</v>
      </c>
      <c r="R71">
        <v>0.40100000000000002</v>
      </c>
      <c r="S71">
        <v>137.75</v>
      </c>
      <c r="T71">
        <v>9.57</v>
      </c>
      <c r="U71">
        <v>14.22</v>
      </c>
      <c r="V71" s="6"/>
      <c r="W71" s="3">
        <v>45861</v>
      </c>
      <c r="X71">
        <v>2879</v>
      </c>
      <c r="Y71">
        <v>650.5</v>
      </c>
      <c r="Z71">
        <v>89.18</v>
      </c>
      <c r="AA71">
        <v>5.0720000000000001</v>
      </c>
      <c r="AB71">
        <v>570.6</v>
      </c>
      <c r="AC71">
        <v>141.30000000000001</v>
      </c>
      <c r="AD71">
        <v>137.85</v>
      </c>
      <c r="AE71">
        <v>3647</v>
      </c>
      <c r="AF71">
        <v>183.2</v>
      </c>
      <c r="AG71">
        <v>4857</v>
      </c>
      <c r="AH71">
        <v>3238</v>
      </c>
      <c r="AI71">
        <v>261.3</v>
      </c>
      <c r="AJ71">
        <v>59.3</v>
      </c>
      <c r="AK71">
        <v>45.49</v>
      </c>
      <c r="AL71">
        <v>75.55</v>
      </c>
      <c r="AM71">
        <v>1187.5</v>
      </c>
      <c r="AN71">
        <v>532.5</v>
      </c>
      <c r="AO71">
        <v>6185</v>
      </c>
      <c r="AP71">
        <v>91.62</v>
      </c>
      <c r="AQ71">
        <v>174.6326742</v>
      </c>
      <c r="AR71" cm="1">
        <f t="array" ref="AR71">SUMPRODUCT($B$162:$U$162,(B71:U71)/($B$11:$U$11))</f>
        <v>28372.397346195499</v>
      </c>
      <c r="AS71">
        <f t="shared" si="0"/>
        <v>321.82002105251377</v>
      </c>
      <c r="AT71">
        <f t="shared" si="1"/>
        <v>1.1472848395318147E-2</v>
      </c>
      <c r="AU71" cm="1">
        <f t="array" ref="AU71">SUMPRODUCT($X$162:$AQ$162,(X71:AQ71)/($X$11:$AQ$11))</f>
        <v>25942.828991018701</v>
      </c>
      <c r="AV71">
        <f t="shared" si="2"/>
        <v>271.4446670970683</v>
      </c>
      <c r="AW71">
        <f t="shared" si="3"/>
        <v>-271.4446670970683</v>
      </c>
      <c r="AX71">
        <f t="shared" si="4"/>
        <v>50.375353955445462</v>
      </c>
    </row>
    <row r="72" spans="1:50" x14ac:dyDescent="0.2">
      <c r="A72" s="3">
        <v>45862</v>
      </c>
      <c r="B72">
        <v>985.6</v>
      </c>
      <c r="C72">
        <v>97.16</v>
      </c>
      <c r="D72">
        <v>2.9550000000000001</v>
      </c>
      <c r="E72">
        <v>10.205</v>
      </c>
      <c r="F72">
        <v>82.28</v>
      </c>
      <c r="G72">
        <v>7.7859999999999996</v>
      </c>
      <c r="H72">
        <v>33.36</v>
      </c>
      <c r="I72">
        <v>70.25</v>
      </c>
      <c r="J72">
        <v>48.01</v>
      </c>
      <c r="K72">
        <v>365</v>
      </c>
      <c r="L72">
        <v>88.4</v>
      </c>
      <c r="M72">
        <v>82.48</v>
      </c>
      <c r="N72">
        <v>6.7949999999999999</v>
      </c>
      <c r="O72">
        <v>160.55000000000001</v>
      </c>
      <c r="P72">
        <v>13.08</v>
      </c>
      <c r="Q72">
        <v>16150</v>
      </c>
      <c r="R72">
        <v>0.40389999999999998</v>
      </c>
      <c r="S72">
        <v>137.80000000000001</v>
      </c>
      <c r="T72">
        <v>9.6199999999999992</v>
      </c>
      <c r="U72">
        <v>14.34</v>
      </c>
      <c r="V72" s="6"/>
      <c r="W72" s="3">
        <v>45862</v>
      </c>
      <c r="X72">
        <v>2877</v>
      </c>
      <c r="Y72">
        <v>658</v>
      </c>
      <c r="Z72">
        <v>88.22</v>
      </c>
      <c r="AA72">
        <v>5.0599999999999996</v>
      </c>
      <c r="AB72">
        <v>566.4</v>
      </c>
      <c r="AC72">
        <v>143.19999999999999</v>
      </c>
      <c r="AD72">
        <v>137</v>
      </c>
      <c r="AE72">
        <v>3614</v>
      </c>
      <c r="AF72">
        <v>183.6</v>
      </c>
      <c r="AG72">
        <v>5032</v>
      </c>
      <c r="AH72">
        <v>3256</v>
      </c>
      <c r="AI72">
        <v>265.10000000000002</v>
      </c>
      <c r="AJ72">
        <v>59.2</v>
      </c>
      <c r="AK72">
        <v>45.1</v>
      </c>
      <c r="AL72">
        <v>76</v>
      </c>
      <c r="AM72">
        <v>1182</v>
      </c>
      <c r="AN72">
        <v>496.8</v>
      </c>
      <c r="AO72">
        <v>6230</v>
      </c>
      <c r="AP72">
        <v>91.56</v>
      </c>
      <c r="AQ72">
        <v>174.68825430000001</v>
      </c>
      <c r="AR72" cm="1">
        <f t="array" ref="AR72">SUMPRODUCT($B$162:$U$162,(B72:U72)/($B$11:$U$11))</f>
        <v>28596.806911088424</v>
      </c>
      <c r="AS72">
        <f t="shared" si="0"/>
        <v>224.40956489292512</v>
      </c>
      <c r="AT72">
        <f t="shared" si="1"/>
        <v>7.9094326134909743E-3</v>
      </c>
      <c r="AU72" cm="1">
        <f t="array" ref="AU72">SUMPRODUCT($X$162:$AQ$162,(X72:AQ72)/($X$11:$AQ$11))</f>
        <v>25923.333867224166</v>
      </c>
      <c r="AV72">
        <f t="shared" si="2"/>
        <v>-19.495123794535175</v>
      </c>
      <c r="AW72">
        <f t="shared" si="3"/>
        <v>19.495123794535175</v>
      </c>
      <c r="AX72">
        <f t="shared" si="4"/>
        <v>243.90468868746029</v>
      </c>
    </row>
    <row r="73" spans="1:50" x14ac:dyDescent="0.2">
      <c r="A73" s="3">
        <v>45863</v>
      </c>
      <c r="B73">
        <v>977.2</v>
      </c>
      <c r="C73">
        <v>96.86</v>
      </c>
      <c r="D73">
        <v>2.9550000000000001</v>
      </c>
      <c r="E73">
        <v>10.32</v>
      </c>
      <c r="F73">
        <v>82.38</v>
      </c>
      <c r="G73">
        <v>7.8479999999999999</v>
      </c>
      <c r="H73">
        <v>33.299999999999997</v>
      </c>
      <c r="I73">
        <v>70.2</v>
      </c>
      <c r="J73">
        <v>47.1</v>
      </c>
      <c r="K73">
        <v>365.5</v>
      </c>
      <c r="L73">
        <v>88.22</v>
      </c>
      <c r="M73">
        <v>82.44</v>
      </c>
      <c r="N73">
        <v>6.8</v>
      </c>
      <c r="O73">
        <v>162.75</v>
      </c>
      <c r="P73">
        <v>13.11</v>
      </c>
      <c r="Q73">
        <v>16105</v>
      </c>
      <c r="R73">
        <v>0.40720000000000001</v>
      </c>
      <c r="S73">
        <v>135.9</v>
      </c>
      <c r="T73">
        <v>9.3149999999999995</v>
      </c>
      <c r="U73">
        <v>14.6</v>
      </c>
      <c r="V73" s="6"/>
      <c r="W73" s="3">
        <v>45863</v>
      </c>
      <c r="X73">
        <v>2892</v>
      </c>
      <c r="Y73">
        <v>660.5</v>
      </c>
      <c r="Z73">
        <v>87.26</v>
      </c>
      <c r="AA73">
        <v>5.0679999999999996</v>
      </c>
      <c r="AB73">
        <v>567</v>
      </c>
      <c r="AC73">
        <v>143.80000000000001</v>
      </c>
      <c r="AD73">
        <v>134.19999999999999</v>
      </c>
      <c r="AE73">
        <v>3541</v>
      </c>
      <c r="AF73">
        <v>183.6</v>
      </c>
      <c r="AG73">
        <v>5134</v>
      </c>
      <c r="AH73">
        <v>3238</v>
      </c>
      <c r="AI73">
        <v>259.2</v>
      </c>
      <c r="AJ73">
        <v>59</v>
      </c>
      <c r="AK73">
        <v>45.62</v>
      </c>
      <c r="AL73">
        <v>76.150000000000006</v>
      </c>
      <c r="AM73">
        <v>1158</v>
      </c>
      <c r="AN73">
        <v>500</v>
      </c>
      <c r="AO73">
        <v>6200</v>
      </c>
      <c r="AP73">
        <v>91.68</v>
      </c>
      <c r="AQ73">
        <v>179.2458225</v>
      </c>
      <c r="AR73" cm="1">
        <f t="array" ref="AR73">SUMPRODUCT($B$162:$U$162,(B73:U73)/($B$11:$U$11))</f>
        <v>28559.295406741141</v>
      </c>
      <c r="AS73">
        <f t="shared" si="0"/>
        <v>-37.511504347283335</v>
      </c>
      <c r="AT73">
        <f t="shared" si="1"/>
        <v>-1.3117375119505725E-3</v>
      </c>
      <c r="AU73" cm="1">
        <f t="array" ref="AU73">SUMPRODUCT($X$162:$AQ$162,(X73:AQ73)/($X$11:$AQ$11))</f>
        <v>25909.988453379399</v>
      </c>
      <c r="AV73">
        <f t="shared" si="2"/>
        <v>-13.345413844766881</v>
      </c>
      <c r="AW73">
        <f t="shared" si="3"/>
        <v>13.345413844766881</v>
      </c>
      <c r="AX73">
        <f t="shared" si="4"/>
        <v>-24.166090502516454</v>
      </c>
    </row>
    <row r="74" spans="1:50" x14ac:dyDescent="0.2">
      <c r="A74" s="3">
        <v>45866</v>
      </c>
      <c r="B74">
        <v>981.4</v>
      </c>
      <c r="C74">
        <v>95.02</v>
      </c>
      <c r="D74">
        <v>3.0350000000000001</v>
      </c>
      <c r="E74">
        <v>10.5</v>
      </c>
      <c r="F74">
        <v>80.36</v>
      </c>
      <c r="G74">
        <v>8.016</v>
      </c>
      <c r="H74">
        <v>33.299999999999997</v>
      </c>
      <c r="I74">
        <v>70.900000000000006</v>
      </c>
      <c r="J74">
        <v>47.56</v>
      </c>
      <c r="K74">
        <v>364</v>
      </c>
      <c r="L74">
        <v>86.62</v>
      </c>
      <c r="M74">
        <v>82.92</v>
      </c>
      <c r="N74">
        <v>6.84</v>
      </c>
      <c r="O74">
        <v>160.65</v>
      </c>
      <c r="P74">
        <v>13.16</v>
      </c>
      <c r="Q74">
        <v>15875</v>
      </c>
      <c r="R74">
        <v>0.40560000000000002</v>
      </c>
      <c r="S74">
        <v>131.94999999999999</v>
      </c>
      <c r="T74">
        <v>9.2200000000000006</v>
      </c>
      <c r="U74">
        <v>14.61</v>
      </c>
      <c r="V74" s="6"/>
      <c r="W74" s="3">
        <v>45866</v>
      </c>
      <c r="X74">
        <v>2899</v>
      </c>
      <c r="Y74">
        <v>656</v>
      </c>
      <c r="Z74">
        <v>86.82</v>
      </c>
      <c r="AA74">
        <v>5.0759999999999996</v>
      </c>
      <c r="AB74">
        <v>565.20000000000005</v>
      </c>
      <c r="AC74">
        <v>145.9</v>
      </c>
      <c r="AD74">
        <v>134.85</v>
      </c>
      <c r="AE74">
        <v>3520</v>
      </c>
      <c r="AF74">
        <v>183.2</v>
      </c>
      <c r="AG74">
        <v>5096</v>
      </c>
      <c r="AH74">
        <v>3220</v>
      </c>
      <c r="AI74">
        <v>260.60000000000002</v>
      </c>
      <c r="AJ74">
        <v>59.1</v>
      </c>
      <c r="AK74">
        <v>45.51</v>
      </c>
      <c r="AL74">
        <v>76.5</v>
      </c>
      <c r="AM74">
        <v>1166</v>
      </c>
      <c r="AN74">
        <v>494.6</v>
      </c>
      <c r="AO74">
        <v>6160</v>
      </c>
      <c r="AP74">
        <v>90.74</v>
      </c>
      <c r="AQ74">
        <v>177.02261849999999</v>
      </c>
      <c r="AR74" cm="1">
        <f t="array" ref="AR74">SUMPRODUCT($B$162:$U$162,(B74:U74)/($B$11:$U$11))</f>
        <v>28555.764901619848</v>
      </c>
      <c r="AS74">
        <f t="shared" si="0"/>
        <v>-3.5305051212926628</v>
      </c>
      <c r="AT74">
        <f t="shared" si="1"/>
        <v>-1.2362017588363194E-4</v>
      </c>
      <c r="AU74" cm="1">
        <f t="array" ref="AU74">SUMPRODUCT($X$162:$AQ$162,(X74:AQ74)/($X$11:$AQ$11))</f>
        <v>25851.121491711598</v>
      </c>
      <c r="AV74">
        <f t="shared" si="2"/>
        <v>-58.866961667801661</v>
      </c>
      <c r="AW74">
        <f t="shared" si="3"/>
        <v>58.866961667801661</v>
      </c>
      <c r="AX74">
        <f t="shared" si="4"/>
        <v>55.336456546508998</v>
      </c>
    </row>
    <row r="75" spans="1:50" x14ac:dyDescent="0.2">
      <c r="A75" s="3">
        <v>45867</v>
      </c>
      <c r="B75">
        <v>1006</v>
      </c>
      <c r="C75">
        <v>97.9</v>
      </c>
      <c r="D75">
        <v>3.1070000000000002</v>
      </c>
      <c r="E75">
        <v>10.81</v>
      </c>
      <c r="F75">
        <v>82.06</v>
      </c>
      <c r="G75">
        <v>8.4060000000000006</v>
      </c>
      <c r="H75">
        <v>33.299999999999997</v>
      </c>
      <c r="I75">
        <v>71.900000000000006</v>
      </c>
      <c r="J75">
        <v>47.57</v>
      </c>
      <c r="K75">
        <v>367.2</v>
      </c>
      <c r="L75">
        <v>86</v>
      </c>
      <c r="M75">
        <v>83.42</v>
      </c>
      <c r="N75">
        <v>6.9349999999999996</v>
      </c>
      <c r="O75">
        <v>163.25</v>
      </c>
      <c r="P75">
        <v>12.93</v>
      </c>
      <c r="Q75">
        <v>16160</v>
      </c>
      <c r="R75">
        <v>0.40720000000000001</v>
      </c>
      <c r="S75">
        <v>132.9</v>
      </c>
      <c r="T75">
        <v>9.6999999999999993</v>
      </c>
      <c r="U75">
        <v>14.28</v>
      </c>
      <c r="V75" s="6"/>
      <c r="W75" s="3">
        <v>45867</v>
      </c>
      <c r="X75">
        <v>2598</v>
      </c>
      <c r="Y75">
        <v>652.5</v>
      </c>
      <c r="Z75">
        <v>86</v>
      </c>
      <c r="AA75">
        <v>5.0780000000000003</v>
      </c>
      <c r="AB75">
        <v>580.20000000000005</v>
      </c>
      <c r="AC75">
        <v>143.9</v>
      </c>
      <c r="AD75">
        <v>135.65</v>
      </c>
      <c r="AE75">
        <v>3499</v>
      </c>
      <c r="AF75">
        <v>184.6</v>
      </c>
      <c r="AG75">
        <v>5078</v>
      </c>
      <c r="AH75">
        <v>3226</v>
      </c>
      <c r="AI75">
        <v>259.5</v>
      </c>
      <c r="AJ75">
        <v>59</v>
      </c>
      <c r="AK75">
        <v>44.89</v>
      </c>
      <c r="AL75">
        <v>75.95</v>
      </c>
      <c r="AM75">
        <v>1161</v>
      </c>
      <c r="AN75">
        <v>488.6</v>
      </c>
      <c r="AO75">
        <v>6195</v>
      </c>
      <c r="AP75">
        <v>89.82</v>
      </c>
      <c r="AQ75">
        <v>173.96571299999999</v>
      </c>
      <c r="AR75" cm="1">
        <f t="array" ref="AR75">SUMPRODUCT($B$162:$U$162,(B75:U75)/($B$11:$U$11))</f>
        <v>29025.405444351934</v>
      </c>
      <c r="AS75">
        <f t="shared" si="0"/>
        <v>469.64054273208603</v>
      </c>
      <c r="AT75">
        <f t="shared" si="1"/>
        <v>1.6446435399299908E-2</v>
      </c>
      <c r="AU75" cm="1">
        <f t="array" ref="AU75">SUMPRODUCT($X$162:$AQ$162,(X75:AQ75)/($X$11:$AQ$11))</f>
        <v>25512.338646732042</v>
      </c>
      <c r="AV75">
        <f t="shared" si="2"/>
        <v>-338.7828449795561</v>
      </c>
      <c r="AW75">
        <f t="shared" si="3"/>
        <v>338.7828449795561</v>
      </c>
      <c r="AX75">
        <f t="shared" si="4"/>
        <v>808.42338771164214</v>
      </c>
    </row>
    <row r="76" spans="1:50" x14ac:dyDescent="0.2">
      <c r="A76" s="3">
        <v>45868</v>
      </c>
      <c r="B76">
        <v>988</v>
      </c>
      <c r="C76">
        <v>102</v>
      </c>
      <c r="D76">
        <v>3.1059999999999999</v>
      </c>
      <c r="E76">
        <v>10.955</v>
      </c>
      <c r="F76">
        <v>82.78</v>
      </c>
      <c r="G76">
        <v>8.67</v>
      </c>
      <c r="H76">
        <v>33.6</v>
      </c>
      <c r="I76">
        <v>73.650000000000006</v>
      </c>
      <c r="J76">
        <v>47.76</v>
      </c>
      <c r="K76">
        <v>364.9</v>
      </c>
      <c r="L76">
        <v>84.82</v>
      </c>
      <c r="M76">
        <v>84.7</v>
      </c>
      <c r="N76">
        <v>6.96</v>
      </c>
      <c r="O76">
        <v>161.55000000000001</v>
      </c>
      <c r="P76">
        <v>12.65</v>
      </c>
      <c r="Q76">
        <v>16875</v>
      </c>
      <c r="R76">
        <v>0.40429999999999999</v>
      </c>
      <c r="S76">
        <v>133.35</v>
      </c>
      <c r="T76">
        <v>9.35</v>
      </c>
      <c r="U76">
        <v>13.65</v>
      </c>
      <c r="V76" s="6"/>
      <c r="W76" s="3">
        <v>45868</v>
      </c>
      <c r="X76">
        <v>2549</v>
      </c>
      <c r="Y76">
        <v>649</v>
      </c>
      <c r="Z76">
        <v>78.16</v>
      </c>
      <c r="AA76">
        <v>5.05</v>
      </c>
      <c r="AB76">
        <v>574.20000000000005</v>
      </c>
      <c r="AC76">
        <v>144.80000000000001</v>
      </c>
      <c r="AD76">
        <v>137.5</v>
      </c>
      <c r="AE76">
        <v>3447</v>
      </c>
      <c r="AF76">
        <v>184.2</v>
      </c>
      <c r="AG76">
        <v>5070</v>
      </c>
      <c r="AH76">
        <v>3238</v>
      </c>
      <c r="AI76">
        <v>259.60000000000002</v>
      </c>
      <c r="AJ76">
        <v>58.9</v>
      </c>
      <c r="AK76">
        <v>46.47</v>
      </c>
      <c r="AL76">
        <v>74.8</v>
      </c>
      <c r="AM76">
        <v>1169.5</v>
      </c>
      <c r="AN76">
        <v>491.6</v>
      </c>
      <c r="AO76">
        <v>6330</v>
      </c>
      <c r="AP76">
        <v>88.78</v>
      </c>
      <c r="AQ76">
        <v>172.63179059999999</v>
      </c>
      <c r="AR76" cm="1">
        <f t="array" ref="AR76">SUMPRODUCT($B$162:$U$162,(B76:U76)/($B$11:$U$11))</f>
        <v>29177.832449300229</v>
      </c>
      <c r="AS76">
        <f t="shared" ref="AS76:AS77" si="5">AR76-AR75</f>
        <v>152.42700494829478</v>
      </c>
      <c r="AT76">
        <f t="shared" si="1"/>
        <v>5.2515030406907748E-3</v>
      </c>
      <c r="AU76" cm="1">
        <f t="array" ref="AU76">SUMPRODUCT($X$162:$AQ$162,(X76:AQ76)/($X$11:$AQ$11))</f>
        <v>25283.62209903427</v>
      </c>
      <c r="AV76">
        <f t="shared" si="2"/>
        <v>-228.7165476977716</v>
      </c>
      <c r="AW76">
        <f t="shared" si="3"/>
        <v>228.7165476977716</v>
      </c>
      <c r="AX76">
        <f t="shared" si="4"/>
        <v>381.14355264606638</v>
      </c>
    </row>
    <row r="77" spans="1:50" x14ac:dyDescent="0.2">
      <c r="A77" s="3">
        <v>45869</v>
      </c>
      <c r="B77">
        <v>1072</v>
      </c>
      <c r="C77">
        <v>102</v>
      </c>
      <c r="D77">
        <v>3.2410000000000001</v>
      </c>
      <c r="E77">
        <v>11.2</v>
      </c>
      <c r="F77">
        <v>82.38</v>
      </c>
      <c r="G77">
        <v>8.6359999999999992</v>
      </c>
      <c r="H77">
        <v>33.56</v>
      </c>
      <c r="I77">
        <v>74.349999999999994</v>
      </c>
      <c r="J77">
        <v>46.73</v>
      </c>
      <c r="K77">
        <v>359.5</v>
      </c>
      <c r="L77">
        <v>84.52</v>
      </c>
      <c r="M77">
        <v>85.24</v>
      </c>
      <c r="N77">
        <v>6.95</v>
      </c>
      <c r="O77">
        <v>164.6</v>
      </c>
      <c r="P77">
        <v>12.62</v>
      </c>
      <c r="Q77">
        <v>16690</v>
      </c>
      <c r="R77">
        <v>0.4037</v>
      </c>
      <c r="S77">
        <v>127.8</v>
      </c>
      <c r="T77">
        <v>9.01</v>
      </c>
      <c r="U77">
        <v>13.68</v>
      </c>
      <c r="V77" s="6"/>
      <c r="W77" s="3">
        <v>45869</v>
      </c>
      <c r="X77">
        <v>2612</v>
      </c>
      <c r="Y77">
        <v>642.5</v>
      </c>
      <c r="Z77">
        <v>79.5</v>
      </c>
      <c r="AA77">
        <v>5.0739999999999998</v>
      </c>
      <c r="AB77">
        <v>572</v>
      </c>
      <c r="AC77">
        <v>144.5</v>
      </c>
      <c r="AD77">
        <v>136.69999999999999</v>
      </c>
      <c r="AE77">
        <v>3411</v>
      </c>
      <c r="AF77">
        <v>184</v>
      </c>
      <c r="AG77">
        <v>5078</v>
      </c>
      <c r="AH77">
        <v>3252</v>
      </c>
      <c r="AI77">
        <v>257.10000000000002</v>
      </c>
      <c r="AJ77">
        <v>60</v>
      </c>
      <c r="AK77">
        <v>45.12</v>
      </c>
      <c r="AL77">
        <v>73.599999999999994</v>
      </c>
      <c r="AM77">
        <v>1308.5</v>
      </c>
      <c r="AN77">
        <v>498.4</v>
      </c>
      <c r="AO77">
        <v>6345</v>
      </c>
      <c r="AP77">
        <v>88.08</v>
      </c>
      <c r="AQ77">
        <v>171.3534483</v>
      </c>
      <c r="AR77" cm="1">
        <f t="array" ref="AR77">SUMPRODUCT($B$162:$U$162,(B77:U77)/($B$11:$U$11))</f>
        <v>29516.711685066519</v>
      </c>
      <c r="AS77">
        <f t="shared" si="5"/>
        <v>338.87923576628964</v>
      </c>
      <c r="AT77">
        <f t="shared" ref="AT77" si="6">AR77/AR76-1</f>
        <v>1.1614270400487348E-2</v>
      </c>
      <c r="AU77" cm="1">
        <f t="array" ref="AU77">SUMPRODUCT($X$162:$AQ$162,(X77:AQ77)/($X$11:$AQ$11))</f>
        <v>25437.186083022421</v>
      </c>
      <c r="AV77">
        <f t="shared" ref="AV77" si="7">AU77-AU76</f>
        <v>153.56398398815145</v>
      </c>
      <c r="AW77">
        <f t="shared" ref="AW77" si="8">IF(AV77&gt;0, -AV77, ABS(AV77))</f>
        <v>-153.56398398815145</v>
      </c>
      <c r="AX77">
        <f t="shared" ref="AX77" si="9">AS77+AW77</f>
        <v>185.31525177813819</v>
      </c>
    </row>
    <row r="78" spans="1:50" x14ac:dyDescent="0.2">
      <c r="A78" s="3">
        <v>45873</v>
      </c>
      <c r="B78">
        <v>1090</v>
      </c>
      <c r="C78">
        <v>99.08</v>
      </c>
      <c r="D78">
        <v>3.1850000000000001</v>
      </c>
      <c r="E78">
        <v>11.105</v>
      </c>
      <c r="F78">
        <v>76.72</v>
      </c>
      <c r="G78">
        <v>8.44</v>
      </c>
      <c r="H78">
        <v>34.44</v>
      </c>
      <c r="I78">
        <v>73.150000000000006</v>
      </c>
      <c r="J78">
        <v>46.22</v>
      </c>
      <c r="K78">
        <v>355.8</v>
      </c>
      <c r="L78">
        <v>82.22</v>
      </c>
      <c r="M78">
        <v>86</v>
      </c>
      <c r="N78">
        <v>6.5949999999999998</v>
      </c>
      <c r="O78">
        <v>166</v>
      </c>
      <c r="P78">
        <v>12.56</v>
      </c>
      <c r="Q78">
        <v>16435</v>
      </c>
      <c r="R78">
        <v>0.40710000000000002</v>
      </c>
      <c r="S78">
        <v>126.8</v>
      </c>
      <c r="T78">
        <v>8.82</v>
      </c>
      <c r="U78">
        <v>13.29</v>
      </c>
      <c r="V78" s="6"/>
      <c r="W78" s="3">
        <v>45873</v>
      </c>
      <c r="X78">
        <v>2590</v>
      </c>
      <c r="Y78">
        <v>640.5</v>
      </c>
      <c r="Z78">
        <v>80.98</v>
      </c>
      <c r="AA78">
        <v>5.13</v>
      </c>
      <c r="AB78">
        <v>565.6</v>
      </c>
      <c r="AC78">
        <v>144.19999999999999</v>
      </c>
      <c r="AD78">
        <v>133.75</v>
      </c>
      <c r="AE78">
        <v>3426</v>
      </c>
      <c r="AF78">
        <v>186.6</v>
      </c>
      <c r="AG78">
        <v>4970</v>
      </c>
      <c r="AH78">
        <v>3254</v>
      </c>
      <c r="AI78">
        <v>255</v>
      </c>
      <c r="AJ78">
        <v>60.3</v>
      </c>
      <c r="AK78">
        <v>44</v>
      </c>
      <c r="AL78">
        <v>72.25</v>
      </c>
      <c r="AM78">
        <v>1353</v>
      </c>
      <c r="AN78">
        <v>507</v>
      </c>
      <c r="AO78">
        <v>6130</v>
      </c>
      <c r="AP78">
        <v>86.34</v>
      </c>
      <c r="AQ78">
        <v>171.4646085</v>
      </c>
      <c r="AR78" cm="1">
        <f t="array" ref="AR78">SUMPRODUCT($B$162:$U$162,(B78:U78)/($B$11:$U$11))</f>
        <v>29143.385857468867</v>
      </c>
      <c r="AS78">
        <f t="shared" ref="AS78:AS141" si="10">AR78-AR77</f>
        <v>-373.32582759765137</v>
      </c>
      <c r="AT78">
        <f t="shared" ref="AT78:AT141" si="11">AR78/AR77-1</f>
        <v>-1.2647947765351164E-2</v>
      </c>
      <c r="AU78" cm="1">
        <f t="array" ref="AU78">SUMPRODUCT($X$162:$AQ$162,(X78:AQ78)/($X$11:$AQ$11))</f>
        <v>25377.504208490311</v>
      </c>
      <c r="AV78">
        <f t="shared" ref="AV78:AV141" si="12">AU78-AU77</f>
        <v>-59.681874532110669</v>
      </c>
      <c r="AW78">
        <f t="shared" ref="AW78:AW141" si="13">IF(AV78&gt;0, -AV78, ABS(AV78))</f>
        <v>59.681874532110669</v>
      </c>
      <c r="AX78">
        <f t="shared" ref="AX78:AX141" si="14">AS78+AW78</f>
        <v>-313.6439530655407</v>
      </c>
    </row>
    <row r="79" spans="1:50" x14ac:dyDescent="0.2">
      <c r="A79" s="3">
        <v>45874</v>
      </c>
      <c r="B79">
        <v>1073</v>
      </c>
      <c r="C79">
        <v>97.64</v>
      </c>
      <c r="D79">
        <v>3.16</v>
      </c>
      <c r="E79">
        <v>11.03</v>
      </c>
      <c r="F79">
        <v>76.48</v>
      </c>
      <c r="G79">
        <v>8.3420000000000005</v>
      </c>
      <c r="H79">
        <v>34.619999999999997</v>
      </c>
      <c r="I79">
        <v>73.75</v>
      </c>
      <c r="J79">
        <v>45.73</v>
      </c>
      <c r="K79">
        <v>349.8</v>
      </c>
      <c r="L79">
        <v>82.54</v>
      </c>
      <c r="M79">
        <v>87.2</v>
      </c>
      <c r="N79">
        <v>6.58</v>
      </c>
      <c r="O79">
        <v>164.6</v>
      </c>
      <c r="P79">
        <v>12.79</v>
      </c>
      <c r="Q79">
        <v>16205</v>
      </c>
      <c r="R79">
        <v>0.41420000000000001</v>
      </c>
      <c r="S79">
        <v>126.55</v>
      </c>
      <c r="T79">
        <v>9.09</v>
      </c>
      <c r="U79">
        <v>13.45</v>
      </c>
      <c r="V79" s="6"/>
      <c r="W79" s="3">
        <v>45874</v>
      </c>
      <c r="X79">
        <v>2647</v>
      </c>
      <c r="Y79">
        <v>642.5</v>
      </c>
      <c r="Z79">
        <v>80.319999999999993</v>
      </c>
      <c r="AA79">
        <v>5.1680000000000001</v>
      </c>
      <c r="AB79">
        <v>557.6</v>
      </c>
      <c r="AC79">
        <v>147</v>
      </c>
      <c r="AD79">
        <v>131.4</v>
      </c>
      <c r="AE79">
        <v>3428</v>
      </c>
      <c r="AF79">
        <v>187.4</v>
      </c>
      <c r="AG79">
        <v>4990</v>
      </c>
      <c r="AH79">
        <v>3268</v>
      </c>
      <c r="AI79">
        <v>255.4</v>
      </c>
      <c r="AJ79">
        <v>60.6</v>
      </c>
      <c r="AK79">
        <v>44.31</v>
      </c>
      <c r="AL79">
        <v>72.5</v>
      </c>
      <c r="AM79">
        <v>1349</v>
      </c>
      <c r="AN79">
        <v>506.5</v>
      </c>
      <c r="AO79">
        <v>6155</v>
      </c>
      <c r="AP79">
        <v>86.74</v>
      </c>
      <c r="AQ79">
        <v>171.5757687</v>
      </c>
      <c r="AR79" cm="1">
        <f t="array" ref="AR79">SUMPRODUCT($B$162:$U$162,(B79:U79)/($B$11:$U$11))</f>
        <v>29034.234580174703</v>
      </c>
      <c r="AS79">
        <f t="shared" si="10"/>
        <v>-109.15127729416417</v>
      </c>
      <c r="AT79">
        <f t="shared" si="11"/>
        <v>-3.7453190177691997E-3</v>
      </c>
      <c r="AU79" cm="1">
        <f t="array" ref="AU79">SUMPRODUCT($X$162:$AQ$162,(X79:AQ79)/($X$11:$AQ$11))</f>
        <v>25451.758999766244</v>
      </c>
      <c r="AV79">
        <f t="shared" si="12"/>
        <v>74.254791275932803</v>
      </c>
      <c r="AW79">
        <f t="shared" si="13"/>
        <v>-74.254791275932803</v>
      </c>
      <c r="AX79">
        <f t="shared" si="14"/>
        <v>-183.40606857009698</v>
      </c>
    </row>
    <row r="80" spans="1:50" x14ac:dyDescent="0.2">
      <c r="A80" s="3">
        <v>45875</v>
      </c>
      <c r="B80">
        <v>1088</v>
      </c>
      <c r="C80">
        <v>98.66</v>
      </c>
      <c r="D80">
        <v>3.2229999999999999</v>
      </c>
      <c r="E80">
        <v>11.27</v>
      </c>
      <c r="F80">
        <v>79.400000000000006</v>
      </c>
      <c r="G80">
        <v>8.61</v>
      </c>
      <c r="H80">
        <v>35.04</v>
      </c>
      <c r="I80">
        <v>73.8</v>
      </c>
      <c r="J80">
        <v>45.24</v>
      </c>
      <c r="K80">
        <v>348.1</v>
      </c>
      <c r="L80">
        <v>81.94</v>
      </c>
      <c r="M80">
        <v>88.22</v>
      </c>
      <c r="N80">
        <v>6.7750000000000004</v>
      </c>
      <c r="O80">
        <v>168.35</v>
      </c>
      <c r="P80">
        <v>12.77</v>
      </c>
      <c r="Q80">
        <v>16385</v>
      </c>
      <c r="R80">
        <v>0.4224</v>
      </c>
      <c r="S80">
        <v>128</v>
      </c>
      <c r="T80">
        <v>8.9949999999999992</v>
      </c>
      <c r="U80">
        <v>13.48</v>
      </c>
      <c r="V80" s="6"/>
      <c r="W80" s="3">
        <v>45875</v>
      </c>
      <c r="X80">
        <v>2581</v>
      </c>
      <c r="Y80">
        <v>639.5</v>
      </c>
      <c r="Z80">
        <v>79.44</v>
      </c>
      <c r="AA80">
        <v>5.1619999999999999</v>
      </c>
      <c r="AB80">
        <v>545.4</v>
      </c>
      <c r="AC80">
        <v>145.1</v>
      </c>
      <c r="AD80">
        <v>123.6</v>
      </c>
      <c r="AE80">
        <v>3412</v>
      </c>
      <c r="AF80">
        <v>187</v>
      </c>
      <c r="AG80">
        <v>5026</v>
      </c>
      <c r="AH80">
        <v>3232</v>
      </c>
      <c r="AI80">
        <v>248.6</v>
      </c>
      <c r="AJ80">
        <v>60.8</v>
      </c>
      <c r="AK80">
        <v>44.62</v>
      </c>
      <c r="AL80">
        <v>73.349999999999994</v>
      </c>
      <c r="AM80">
        <v>1350</v>
      </c>
      <c r="AN80">
        <v>507</v>
      </c>
      <c r="AO80">
        <v>6065</v>
      </c>
      <c r="AP80">
        <v>87.48</v>
      </c>
      <c r="AQ80">
        <v>172.85411099999999</v>
      </c>
      <c r="AR80" cm="1">
        <f t="array" ref="AR80">SUMPRODUCT($B$162:$U$162,(B80:U80)/($B$11:$U$11))</f>
        <v>29395.488849261099</v>
      </c>
      <c r="AS80">
        <f t="shared" si="10"/>
        <v>361.25426908639565</v>
      </c>
      <c r="AT80">
        <f t="shared" si="11"/>
        <v>1.244235552650208E-2</v>
      </c>
      <c r="AU80" cm="1">
        <f t="array" ref="AU80">SUMPRODUCT($X$162:$AQ$162,(X80:AQ80)/($X$11:$AQ$11))</f>
        <v>25263.852976300324</v>
      </c>
      <c r="AV80">
        <f t="shared" si="12"/>
        <v>-187.90602346591913</v>
      </c>
      <c r="AW80">
        <f t="shared" si="13"/>
        <v>187.90602346591913</v>
      </c>
      <c r="AX80">
        <f t="shared" si="14"/>
        <v>549.16029255231479</v>
      </c>
    </row>
    <row r="81" spans="1:50" x14ac:dyDescent="0.2">
      <c r="A81" s="3">
        <v>45876</v>
      </c>
      <c r="B81">
        <v>1077</v>
      </c>
      <c r="C81">
        <v>96.3</v>
      </c>
      <c r="D81">
        <v>3.2690000000000001</v>
      </c>
      <c r="E81">
        <v>11.29</v>
      </c>
      <c r="F81">
        <v>81.5</v>
      </c>
      <c r="G81">
        <v>8.6419999999999995</v>
      </c>
      <c r="H81">
        <v>34.74</v>
      </c>
      <c r="I81">
        <v>74.75</v>
      </c>
      <c r="J81">
        <v>50.52</v>
      </c>
      <c r="K81">
        <v>353</v>
      </c>
      <c r="L81">
        <v>82.56</v>
      </c>
      <c r="M81">
        <v>88.66</v>
      </c>
      <c r="N81">
        <v>6.92</v>
      </c>
      <c r="O81">
        <v>166.85</v>
      </c>
      <c r="P81">
        <v>12.95</v>
      </c>
      <c r="Q81">
        <v>16430</v>
      </c>
      <c r="R81">
        <v>0.42780000000000001</v>
      </c>
      <c r="S81">
        <v>133.15</v>
      </c>
      <c r="T81">
        <v>9.1950000000000003</v>
      </c>
      <c r="U81">
        <v>13.38</v>
      </c>
      <c r="V81" s="6"/>
      <c r="W81" s="3">
        <v>45876</v>
      </c>
      <c r="X81">
        <v>2594</v>
      </c>
      <c r="Y81">
        <v>651.5</v>
      </c>
      <c r="Z81">
        <v>80</v>
      </c>
      <c r="AA81">
        <v>5.1159999999999997</v>
      </c>
      <c r="AB81">
        <v>549.79999999999995</v>
      </c>
      <c r="AC81">
        <v>150.80000000000001</v>
      </c>
      <c r="AD81">
        <v>124.2</v>
      </c>
      <c r="AE81">
        <v>3415</v>
      </c>
      <c r="AF81">
        <v>185.6</v>
      </c>
      <c r="AG81">
        <v>5014</v>
      </c>
      <c r="AH81">
        <v>3316</v>
      </c>
      <c r="AI81">
        <v>249.1</v>
      </c>
      <c r="AJ81">
        <v>60.9</v>
      </c>
      <c r="AK81">
        <v>44.77</v>
      </c>
      <c r="AL81">
        <v>74.150000000000006</v>
      </c>
      <c r="AM81">
        <v>1300</v>
      </c>
      <c r="AN81">
        <v>499.4</v>
      </c>
      <c r="AO81">
        <v>6140</v>
      </c>
      <c r="AP81">
        <v>89.72</v>
      </c>
      <c r="AQ81">
        <v>171.6869289</v>
      </c>
      <c r="AR81" cm="1">
        <f t="array" ref="AR81">SUMPRODUCT($B$162:$U$162,(B81:U81)/($B$11:$U$11))</f>
        <v>29633.205576402692</v>
      </c>
      <c r="AS81">
        <f t="shared" si="10"/>
        <v>237.71672714159286</v>
      </c>
      <c r="AT81">
        <f t="shared" si="11"/>
        <v>8.0868438133685494E-3</v>
      </c>
      <c r="AU81" cm="1">
        <f t="array" ref="AU81">SUMPRODUCT($X$162:$AQ$162,(X81:AQ81)/($X$11:$AQ$11))</f>
        <v>25378.801900340408</v>
      </c>
      <c r="AV81">
        <f t="shared" si="12"/>
        <v>114.94892404008351</v>
      </c>
      <c r="AW81">
        <f t="shared" si="13"/>
        <v>-114.94892404008351</v>
      </c>
      <c r="AX81">
        <f t="shared" si="14"/>
        <v>122.76780310150934</v>
      </c>
    </row>
    <row r="82" spans="1:50" x14ac:dyDescent="0.2">
      <c r="A82" s="3">
        <v>45877</v>
      </c>
      <c r="B82">
        <v>1071.5</v>
      </c>
      <c r="C82">
        <v>96</v>
      </c>
      <c r="D82">
        <v>3.3130000000000002</v>
      </c>
      <c r="E82">
        <v>11.56</v>
      </c>
      <c r="F82">
        <v>83.52</v>
      </c>
      <c r="G82">
        <v>8.7200000000000006</v>
      </c>
      <c r="H82">
        <v>35.020000000000003</v>
      </c>
      <c r="I82">
        <v>75.25</v>
      </c>
      <c r="J82">
        <v>47.29</v>
      </c>
      <c r="K82">
        <v>355.2</v>
      </c>
      <c r="L82">
        <v>82.38</v>
      </c>
      <c r="M82">
        <v>88.72</v>
      </c>
      <c r="N82">
        <v>6.98</v>
      </c>
      <c r="O82">
        <v>165.4</v>
      </c>
      <c r="P82">
        <v>13.13</v>
      </c>
      <c r="Q82">
        <v>16835</v>
      </c>
      <c r="R82">
        <v>0.43309999999999998</v>
      </c>
      <c r="S82">
        <v>135.25</v>
      </c>
      <c r="T82">
        <v>9.18</v>
      </c>
      <c r="U82">
        <v>13.55</v>
      </c>
      <c r="V82" s="6"/>
      <c r="W82" s="3">
        <v>45877</v>
      </c>
      <c r="X82">
        <v>2569</v>
      </c>
      <c r="Y82">
        <v>645</v>
      </c>
      <c r="Z82">
        <v>79.459999999999994</v>
      </c>
      <c r="AA82">
        <v>5.1040000000000001</v>
      </c>
      <c r="AB82">
        <v>544.6</v>
      </c>
      <c r="AC82">
        <v>151.1</v>
      </c>
      <c r="AD82">
        <v>118.8</v>
      </c>
      <c r="AE82">
        <v>3396</v>
      </c>
      <c r="AF82">
        <v>183.2</v>
      </c>
      <c r="AG82">
        <v>5062</v>
      </c>
      <c r="AH82">
        <v>3280</v>
      </c>
      <c r="AI82">
        <v>246.4</v>
      </c>
      <c r="AJ82">
        <v>60.2</v>
      </c>
      <c r="AK82">
        <v>44.92</v>
      </c>
      <c r="AL82">
        <v>74.55</v>
      </c>
      <c r="AM82">
        <v>1294.5</v>
      </c>
      <c r="AN82">
        <v>496.6</v>
      </c>
      <c r="AO82">
        <v>6150</v>
      </c>
      <c r="AP82">
        <v>89.88</v>
      </c>
      <c r="AQ82">
        <v>171.52018860000001</v>
      </c>
      <c r="AR82" cm="1">
        <f t="array" ref="AR82">SUMPRODUCT($B$162:$U$162,(B82:U82)/($B$11:$U$11))</f>
        <v>29742.239589889876</v>
      </c>
      <c r="AS82">
        <f t="shared" si="10"/>
        <v>109.03401348718398</v>
      </c>
      <c r="AT82">
        <f t="shared" si="11"/>
        <v>3.6794538885125405E-3</v>
      </c>
      <c r="AU82" cm="1">
        <f t="array" ref="AU82">SUMPRODUCT($X$162:$AQ$162,(X82:AQ82)/($X$11:$AQ$11))</f>
        <v>25230.207860199407</v>
      </c>
      <c r="AV82">
        <f t="shared" si="12"/>
        <v>-148.59404014100073</v>
      </c>
      <c r="AW82">
        <f t="shared" si="13"/>
        <v>148.59404014100073</v>
      </c>
      <c r="AX82">
        <f t="shared" si="14"/>
        <v>257.62805362818472</v>
      </c>
    </row>
    <row r="83" spans="1:50" x14ac:dyDescent="0.2">
      <c r="A83" s="3">
        <v>45880</v>
      </c>
      <c r="B83">
        <v>1082</v>
      </c>
      <c r="C83">
        <v>99.52</v>
      </c>
      <c r="D83">
        <v>3.3359999999999999</v>
      </c>
      <c r="E83">
        <v>11.645</v>
      </c>
      <c r="F83">
        <v>82.88</v>
      </c>
      <c r="G83">
        <v>8.7940000000000005</v>
      </c>
      <c r="H83">
        <v>34.92</v>
      </c>
      <c r="I83">
        <v>75.099999999999994</v>
      </c>
      <c r="J83">
        <v>47.04</v>
      </c>
      <c r="K83">
        <v>352.8</v>
      </c>
      <c r="L83">
        <v>82.02</v>
      </c>
      <c r="M83">
        <v>89.06</v>
      </c>
      <c r="N83">
        <v>6.9550000000000001</v>
      </c>
      <c r="O83">
        <v>163.6</v>
      </c>
      <c r="P83">
        <v>12.96</v>
      </c>
      <c r="Q83">
        <v>16310</v>
      </c>
      <c r="R83">
        <v>0.44519999999999998</v>
      </c>
      <c r="S83">
        <v>133.94999999999999</v>
      </c>
      <c r="T83">
        <v>9.17</v>
      </c>
      <c r="U83">
        <v>13.05</v>
      </c>
      <c r="V83" s="6"/>
      <c r="W83" s="3">
        <v>45880</v>
      </c>
      <c r="X83">
        <v>2478</v>
      </c>
      <c r="Y83">
        <v>637</v>
      </c>
      <c r="Z83">
        <v>78.84</v>
      </c>
      <c r="AA83">
        <v>5.1120000000000001</v>
      </c>
      <c r="AB83">
        <v>541.20000000000005</v>
      </c>
      <c r="AC83">
        <v>149.19999999999999</v>
      </c>
      <c r="AD83">
        <v>116.6</v>
      </c>
      <c r="AE83">
        <v>3363</v>
      </c>
      <c r="AF83">
        <v>184.8</v>
      </c>
      <c r="AG83">
        <v>4996</v>
      </c>
      <c r="AH83">
        <v>3258</v>
      </c>
      <c r="AI83">
        <v>246.3</v>
      </c>
      <c r="AJ83">
        <v>60</v>
      </c>
      <c r="AK83">
        <v>43.35</v>
      </c>
      <c r="AL83">
        <v>74.45</v>
      </c>
      <c r="AM83">
        <v>1301</v>
      </c>
      <c r="AN83">
        <v>496</v>
      </c>
      <c r="AO83">
        <v>6060</v>
      </c>
      <c r="AP83">
        <v>89.22</v>
      </c>
      <c r="AQ83">
        <v>120.6643971</v>
      </c>
      <c r="AR83" cm="1">
        <f t="array" ref="AR83">SUMPRODUCT($B$162:$U$162,(B83:U83)/($B$11:$U$11))</f>
        <v>29847.968060140145</v>
      </c>
      <c r="AS83">
        <f t="shared" si="10"/>
        <v>105.72847025026931</v>
      </c>
      <c r="AT83">
        <f t="shared" si="11"/>
        <v>3.5548254505424204E-3</v>
      </c>
      <c r="AU83" cm="1">
        <f t="array" ref="AU83">SUMPRODUCT($X$162:$AQ$162,(X83:AQ83)/($X$11:$AQ$11))</f>
        <v>24626.795188653385</v>
      </c>
      <c r="AV83">
        <f t="shared" si="12"/>
        <v>-603.41267154602247</v>
      </c>
      <c r="AW83">
        <f t="shared" si="13"/>
        <v>603.41267154602247</v>
      </c>
      <c r="AX83">
        <f t="shared" si="14"/>
        <v>709.14114179629178</v>
      </c>
    </row>
    <row r="84" spans="1:50" x14ac:dyDescent="0.2">
      <c r="A84" s="3">
        <v>45881</v>
      </c>
      <c r="B84">
        <v>1090.5</v>
      </c>
      <c r="C84">
        <v>103.7</v>
      </c>
      <c r="D84">
        <v>3.3690000000000002</v>
      </c>
      <c r="E84">
        <v>11.695</v>
      </c>
      <c r="F84">
        <v>83.38</v>
      </c>
      <c r="G84">
        <v>8.9580000000000002</v>
      </c>
      <c r="H84">
        <v>34.64</v>
      </c>
      <c r="I84">
        <v>76.2</v>
      </c>
      <c r="J84">
        <v>47.88</v>
      </c>
      <c r="K84">
        <v>355</v>
      </c>
      <c r="L84">
        <v>82.18</v>
      </c>
      <c r="M84">
        <v>88.54</v>
      </c>
      <c r="N84">
        <v>7.1</v>
      </c>
      <c r="O84">
        <v>162.65</v>
      </c>
      <c r="P84">
        <v>13.13</v>
      </c>
      <c r="Q84">
        <v>16260</v>
      </c>
      <c r="R84">
        <v>0.44800000000000001</v>
      </c>
      <c r="S84">
        <v>135.94999999999999</v>
      </c>
      <c r="T84">
        <v>8.8849999999999998</v>
      </c>
      <c r="U84">
        <v>13.05</v>
      </c>
      <c r="V84" s="6"/>
      <c r="W84" s="3">
        <v>45881</v>
      </c>
      <c r="X84">
        <v>2451</v>
      </c>
      <c r="Y84">
        <v>623.5</v>
      </c>
      <c r="Z84">
        <v>78.52</v>
      </c>
      <c r="AA84">
        <v>5.1159999999999997</v>
      </c>
      <c r="AB84">
        <v>546</v>
      </c>
      <c r="AC84">
        <v>151.4</v>
      </c>
      <c r="AD84">
        <v>115.75</v>
      </c>
      <c r="AE84">
        <v>3366</v>
      </c>
      <c r="AF84">
        <v>183.6</v>
      </c>
      <c r="AG84">
        <v>5194</v>
      </c>
      <c r="AH84">
        <v>3276</v>
      </c>
      <c r="AI84">
        <v>246.4</v>
      </c>
      <c r="AJ84">
        <v>59.8</v>
      </c>
      <c r="AK84">
        <v>44.56</v>
      </c>
      <c r="AL84">
        <v>74.55</v>
      </c>
      <c r="AM84">
        <v>1314</v>
      </c>
      <c r="AN84">
        <v>478.2</v>
      </c>
      <c r="AO84">
        <v>6845</v>
      </c>
      <c r="AP84">
        <v>88.04</v>
      </c>
      <c r="AQ84">
        <v>118.88583389999999</v>
      </c>
      <c r="AR84" cm="1">
        <f t="array" ref="AR84">SUMPRODUCT($B$162:$U$162,(B84:U84)/($B$11:$U$11))</f>
        <v>30167.782244844369</v>
      </c>
      <c r="AS84">
        <f t="shared" si="10"/>
        <v>319.81418470422432</v>
      </c>
      <c r="AT84">
        <f t="shared" si="11"/>
        <v>1.0714772411302365E-2</v>
      </c>
      <c r="AU84" cm="1">
        <f t="array" ref="AU84">SUMPRODUCT($X$162:$AQ$162,(X84:AQ84)/($X$11:$AQ$11))</f>
        <v>24721.704169501758</v>
      </c>
      <c r="AV84">
        <f t="shared" si="12"/>
        <v>94.908980848373176</v>
      </c>
      <c r="AW84">
        <f t="shared" si="13"/>
        <v>-94.908980848373176</v>
      </c>
      <c r="AX84">
        <f t="shared" si="14"/>
        <v>224.90520385585114</v>
      </c>
    </row>
    <row r="85" spans="1:50" x14ac:dyDescent="0.2">
      <c r="A85" s="3">
        <v>45882</v>
      </c>
      <c r="B85">
        <v>1081.5</v>
      </c>
      <c r="C85">
        <v>98.48</v>
      </c>
      <c r="D85">
        <v>3.4180000000000001</v>
      </c>
      <c r="E85">
        <v>11.85</v>
      </c>
      <c r="F85">
        <v>85.14</v>
      </c>
      <c r="G85">
        <v>9.1479999999999997</v>
      </c>
      <c r="H85">
        <v>35.1</v>
      </c>
      <c r="I85">
        <v>73.95</v>
      </c>
      <c r="J85">
        <v>47.83</v>
      </c>
      <c r="K85">
        <v>359</v>
      </c>
      <c r="L85">
        <v>82.36</v>
      </c>
      <c r="M85">
        <v>89.04</v>
      </c>
      <c r="N85">
        <v>7.165</v>
      </c>
      <c r="O85">
        <v>162.1</v>
      </c>
      <c r="P85">
        <v>13.51</v>
      </c>
      <c r="Q85">
        <v>16505</v>
      </c>
      <c r="R85">
        <v>0.44629999999999997</v>
      </c>
      <c r="S85">
        <v>136.75</v>
      </c>
      <c r="T85">
        <v>9</v>
      </c>
      <c r="U85">
        <v>13.1</v>
      </c>
      <c r="V85" s="6"/>
      <c r="W85" s="3">
        <v>45882</v>
      </c>
      <c r="X85">
        <v>2488</v>
      </c>
      <c r="Y85">
        <v>623</v>
      </c>
      <c r="Z85">
        <v>79.260000000000005</v>
      </c>
      <c r="AA85">
        <v>5.1420000000000003</v>
      </c>
      <c r="AB85">
        <v>550.6</v>
      </c>
      <c r="AC85">
        <v>151.1</v>
      </c>
      <c r="AD85">
        <v>112</v>
      </c>
      <c r="AE85">
        <v>3335</v>
      </c>
      <c r="AF85">
        <v>183.2</v>
      </c>
      <c r="AG85">
        <v>5250</v>
      </c>
      <c r="AH85">
        <v>3286</v>
      </c>
      <c r="AI85">
        <v>249.7</v>
      </c>
      <c r="AJ85">
        <v>59.7</v>
      </c>
      <c r="AK85">
        <v>44.5</v>
      </c>
      <c r="AL85">
        <v>74.900000000000006</v>
      </c>
      <c r="AM85">
        <v>1284</v>
      </c>
      <c r="AN85">
        <v>480.2</v>
      </c>
      <c r="AO85">
        <v>7050</v>
      </c>
      <c r="AP85">
        <v>87.48</v>
      </c>
      <c r="AQ85">
        <v>115.49544779999999</v>
      </c>
      <c r="AR85" cm="1">
        <f t="array" ref="AR85">SUMPRODUCT($B$162:$U$162,(B85:U85)/($B$11:$U$11))</f>
        <v>30111.616341980818</v>
      </c>
      <c r="AS85">
        <f t="shared" si="10"/>
        <v>-56.16590286355131</v>
      </c>
      <c r="AT85">
        <f t="shared" si="11"/>
        <v>-1.8617842838993814E-3</v>
      </c>
      <c r="AU85" cm="1">
        <f t="array" ref="AU85">SUMPRODUCT($X$162:$AQ$162,(X85:AQ85)/($X$11:$AQ$11))</f>
        <v>24756.266654607673</v>
      </c>
      <c r="AV85">
        <f t="shared" si="12"/>
        <v>34.562485105914675</v>
      </c>
      <c r="AW85">
        <f t="shared" si="13"/>
        <v>-34.562485105914675</v>
      </c>
      <c r="AX85">
        <f t="shared" si="14"/>
        <v>-90.728387969465984</v>
      </c>
    </row>
    <row r="86" spans="1:50" x14ac:dyDescent="0.2">
      <c r="A86" s="3">
        <v>45883</v>
      </c>
      <c r="B86">
        <v>1101.5</v>
      </c>
      <c r="C86">
        <v>97.82</v>
      </c>
      <c r="D86">
        <v>3.4380000000000002</v>
      </c>
      <c r="E86">
        <v>11.945</v>
      </c>
      <c r="F86">
        <v>83.28</v>
      </c>
      <c r="G86">
        <v>9.1</v>
      </c>
      <c r="H86">
        <v>34.54</v>
      </c>
      <c r="I86">
        <v>74.400000000000006</v>
      </c>
      <c r="J86">
        <v>47.38</v>
      </c>
      <c r="K86">
        <v>357.9</v>
      </c>
      <c r="L86">
        <v>82.34</v>
      </c>
      <c r="M86">
        <v>88.72</v>
      </c>
      <c r="N86">
        <v>7.38</v>
      </c>
      <c r="O86">
        <v>168.1</v>
      </c>
      <c r="P86">
        <v>13.38</v>
      </c>
      <c r="Q86">
        <v>16380</v>
      </c>
      <c r="R86">
        <v>0.45879999999999999</v>
      </c>
      <c r="S86">
        <v>131.55000000000001</v>
      </c>
      <c r="T86">
        <v>9.1349999999999998</v>
      </c>
      <c r="U86">
        <v>13.06</v>
      </c>
      <c r="V86" s="6"/>
      <c r="W86" s="3">
        <v>45883</v>
      </c>
      <c r="X86">
        <v>2483</v>
      </c>
      <c r="Y86">
        <v>617.5</v>
      </c>
      <c r="Z86">
        <v>79.66</v>
      </c>
      <c r="AA86">
        <v>5.21</v>
      </c>
      <c r="AB86">
        <v>551.6</v>
      </c>
      <c r="AC86">
        <v>153.69999999999999</v>
      </c>
      <c r="AD86">
        <v>113.7</v>
      </c>
      <c r="AE86">
        <v>3320</v>
      </c>
      <c r="AF86">
        <v>183.6</v>
      </c>
      <c r="AG86">
        <v>5302</v>
      </c>
      <c r="AH86">
        <v>3232</v>
      </c>
      <c r="AI86">
        <v>250.1</v>
      </c>
      <c r="AJ86">
        <v>59.5</v>
      </c>
      <c r="AK86">
        <v>44.2</v>
      </c>
      <c r="AL86">
        <v>75.45</v>
      </c>
      <c r="AM86">
        <v>1303.5</v>
      </c>
      <c r="AN86">
        <v>481.8</v>
      </c>
      <c r="AO86">
        <v>7065</v>
      </c>
      <c r="AP86">
        <v>87.16</v>
      </c>
      <c r="AQ86">
        <v>113.0499234</v>
      </c>
      <c r="AR86" cm="1">
        <f t="array" ref="AR86">SUMPRODUCT($B$162:$U$162,(B86:U86)/($B$11:$U$11))</f>
        <v>30185.330729694619</v>
      </c>
      <c r="AS86">
        <f t="shared" si="10"/>
        <v>73.714387713800534</v>
      </c>
      <c r="AT86">
        <f t="shared" si="11"/>
        <v>2.448038221416482E-3</v>
      </c>
      <c r="AU86" cm="1">
        <f t="array" ref="AU86">SUMPRODUCT($X$162:$AQ$162,(X86:AQ86)/($X$11:$AQ$11))</f>
        <v>24783.982510974562</v>
      </c>
      <c r="AV86">
        <f t="shared" si="12"/>
        <v>27.715856366889057</v>
      </c>
      <c r="AW86">
        <f t="shared" si="13"/>
        <v>-27.715856366889057</v>
      </c>
      <c r="AX86">
        <f t="shared" si="14"/>
        <v>45.998531346911477</v>
      </c>
    </row>
    <row r="87" spans="1:50" x14ac:dyDescent="0.2">
      <c r="A87" s="3">
        <v>45884</v>
      </c>
      <c r="B87">
        <v>1074</v>
      </c>
      <c r="C87">
        <v>94.84</v>
      </c>
      <c r="D87">
        <v>3.4449999999999998</v>
      </c>
      <c r="E87">
        <v>11.945</v>
      </c>
      <c r="F87">
        <v>83.28</v>
      </c>
      <c r="G87">
        <v>9.1</v>
      </c>
      <c r="H87">
        <v>34.76</v>
      </c>
      <c r="I87">
        <v>72.8</v>
      </c>
      <c r="J87">
        <v>47.94</v>
      </c>
      <c r="K87">
        <v>356.4</v>
      </c>
      <c r="L87">
        <v>82.86</v>
      </c>
      <c r="M87">
        <v>90.1</v>
      </c>
      <c r="N87">
        <v>7.35</v>
      </c>
      <c r="O87">
        <v>166.8</v>
      </c>
      <c r="P87">
        <v>13.36</v>
      </c>
      <c r="Q87">
        <v>16380</v>
      </c>
      <c r="R87">
        <v>0.45879999999999999</v>
      </c>
      <c r="S87">
        <v>131.55000000000001</v>
      </c>
      <c r="T87">
        <v>9.06</v>
      </c>
      <c r="U87">
        <v>12.95</v>
      </c>
      <c r="V87" s="6"/>
      <c r="W87" s="3">
        <v>45884</v>
      </c>
      <c r="X87">
        <v>2504</v>
      </c>
      <c r="Y87">
        <v>613</v>
      </c>
      <c r="Z87">
        <v>79.84</v>
      </c>
      <c r="AA87">
        <v>5.21</v>
      </c>
      <c r="AB87">
        <v>554.4</v>
      </c>
      <c r="AC87">
        <v>154.5</v>
      </c>
      <c r="AD87">
        <v>113.45</v>
      </c>
      <c r="AE87">
        <v>3326</v>
      </c>
      <c r="AF87">
        <v>182.2</v>
      </c>
      <c r="AG87">
        <v>5328</v>
      </c>
      <c r="AH87">
        <v>3210</v>
      </c>
      <c r="AI87">
        <v>256</v>
      </c>
      <c r="AJ87">
        <v>59.6</v>
      </c>
      <c r="AK87">
        <v>45.4</v>
      </c>
      <c r="AL87">
        <v>75.599999999999994</v>
      </c>
      <c r="AM87">
        <v>1297.5</v>
      </c>
      <c r="AN87">
        <v>475.8</v>
      </c>
      <c r="AO87">
        <v>7070</v>
      </c>
      <c r="AP87">
        <v>86.74</v>
      </c>
      <c r="AQ87">
        <v>116.1068289</v>
      </c>
      <c r="AR87" cm="1">
        <f t="array" ref="AR87">SUMPRODUCT($B$162:$U$162,(B87:U87)/($B$11:$U$11))</f>
        <v>29968.939492081092</v>
      </c>
      <c r="AS87">
        <f t="shared" si="10"/>
        <v>-216.39123761352676</v>
      </c>
      <c r="AT87">
        <f t="shared" si="11"/>
        <v>-7.168754901222707E-3</v>
      </c>
      <c r="AU87" cm="1">
        <f t="array" ref="AU87">SUMPRODUCT($X$162:$AQ$162,(X87:AQ87)/($X$11:$AQ$11))</f>
        <v>24843.36832315924</v>
      </c>
      <c r="AV87">
        <f t="shared" si="12"/>
        <v>59.385812184678798</v>
      </c>
      <c r="AW87">
        <f t="shared" si="13"/>
        <v>-59.385812184678798</v>
      </c>
      <c r="AX87">
        <f t="shared" si="14"/>
        <v>-275.77704979820555</v>
      </c>
    </row>
    <row r="88" spans="1:50" x14ac:dyDescent="0.2">
      <c r="A88" s="3">
        <v>45887</v>
      </c>
      <c r="B88">
        <v>1082</v>
      </c>
      <c r="C88">
        <v>96.82</v>
      </c>
      <c r="D88">
        <v>3.4249999999999998</v>
      </c>
      <c r="E88">
        <v>11.914999999999999</v>
      </c>
      <c r="F88">
        <v>82.5</v>
      </c>
      <c r="G88">
        <v>9.0679999999999996</v>
      </c>
      <c r="H88">
        <v>34.840000000000003</v>
      </c>
      <c r="I88">
        <v>73.75</v>
      </c>
      <c r="J88">
        <v>48.29</v>
      </c>
      <c r="K88">
        <v>360.5</v>
      </c>
      <c r="L88">
        <v>82.82</v>
      </c>
      <c r="M88">
        <v>91.06</v>
      </c>
      <c r="N88">
        <v>7.3</v>
      </c>
      <c r="O88">
        <v>162.85</v>
      </c>
      <c r="P88">
        <v>13.36</v>
      </c>
      <c r="Q88">
        <v>16445</v>
      </c>
      <c r="R88">
        <v>0.46929999999999999</v>
      </c>
      <c r="S88">
        <v>131.5</v>
      </c>
      <c r="T88">
        <v>9.1649999999999991</v>
      </c>
      <c r="U88">
        <v>12.85</v>
      </c>
      <c r="V88" s="6"/>
      <c r="W88" s="3">
        <v>45887</v>
      </c>
      <c r="X88">
        <v>2493</v>
      </c>
      <c r="Y88">
        <v>609</v>
      </c>
      <c r="Z88">
        <v>80.72</v>
      </c>
      <c r="AA88">
        <v>5.1859999999999999</v>
      </c>
      <c r="AB88">
        <v>555.79999999999995</v>
      </c>
      <c r="AC88">
        <v>153.9</v>
      </c>
      <c r="AD88">
        <v>112.95</v>
      </c>
      <c r="AE88">
        <v>3345</v>
      </c>
      <c r="AF88">
        <v>183.2</v>
      </c>
      <c r="AG88">
        <v>5306</v>
      </c>
      <c r="AH88">
        <v>3236</v>
      </c>
      <c r="AI88">
        <v>256</v>
      </c>
      <c r="AJ88">
        <v>59.6</v>
      </c>
      <c r="AK88">
        <v>43.95</v>
      </c>
      <c r="AL88">
        <v>75</v>
      </c>
      <c r="AM88">
        <v>1302</v>
      </c>
      <c r="AN88">
        <v>473.8</v>
      </c>
      <c r="AO88">
        <v>7115</v>
      </c>
      <c r="AP88">
        <v>85.46</v>
      </c>
      <c r="AQ88">
        <v>117.5519115</v>
      </c>
      <c r="AR88" cm="1">
        <f t="array" ref="AR88">SUMPRODUCT($B$162:$U$162,(B88:U88)/($B$11:$U$11))</f>
        <v>30088.698334171819</v>
      </c>
      <c r="AS88">
        <f t="shared" si="10"/>
        <v>119.75884209072683</v>
      </c>
      <c r="AT88">
        <f t="shared" si="11"/>
        <v>3.9960987649352298E-3</v>
      </c>
      <c r="AU88" cm="1">
        <f t="array" ref="AU88">SUMPRODUCT($X$162:$AQ$162,(X88:AQ88)/($X$11:$AQ$11))</f>
        <v>24800.349346710431</v>
      </c>
      <c r="AV88">
        <f t="shared" si="12"/>
        <v>-43.018976448809553</v>
      </c>
      <c r="AW88">
        <f t="shared" si="13"/>
        <v>43.018976448809553</v>
      </c>
      <c r="AX88">
        <f t="shared" si="14"/>
        <v>162.77781853953638</v>
      </c>
    </row>
    <row r="89" spans="1:50" x14ac:dyDescent="0.2">
      <c r="A89" s="3">
        <v>45888</v>
      </c>
      <c r="B89">
        <v>1059.5</v>
      </c>
      <c r="C89">
        <v>94.48</v>
      </c>
      <c r="D89">
        <v>3.4279999999999999</v>
      </c>
      <c r="E89">
        <v>11.96</v>
      </c>
      <c r="F89">
        <v>82.94</v>
      </c>
      <c r="G89">
        <v>9.1199999999999992</v>
      </c>
      <c r="H89">
        <v>34.92</v>
      </c>
      <c r="I89">
        <v>72.099999999999994</v>
      </c>
      <c r="J89">
        <v>48.91</v>
      </c>
      <c r="K89">
        <v>360.7</v>
      </c>
      <c r="L89">
        <v>84.26</v>
      </c>
      <c r="M89">
        <v>90.86</v>
      </c>
      <c r="N89">
        <v>7.375</v>
      </c>
      <c r="O89">
        <v>162.69999999999999</v>
      </c>
      <c r="P89">
        <v>13.45</v>
      </c>
      <c r="Q89">
        <v>16900</v>
      </c>
      <c r="R89">
        <v>0.47099999999999997</v>
      </c>
      <c r="S89">
        <v>132.6</v>
      </c>
      <c r="T89">
        <v>9.0950000000000006</v>
      </c>
      <c r="U89">
        <v>13.18</v>
      </c>
      <c r="V89" s="6"/>
      <c r="W89" s="3">
        <v>45888</v>
      </c>
      <c r="X89">
        <v>2537</v>
      </c>
      <c r="Y89">
        <v>623</v>
      </c>
      <c r="Z89">
        <v>82.68</v>
      </c>
      <c r="AA89">
        <v>5.1619999999999999</v>
      </c>
      <c r="AB89">
        <v>560.20000000000005</v>
      </c>
      <c r="AC89">
        <v>155.9</v>
      </c>
      <c r="AD89">
        <v>112.35</v>
      </c>
      <c r="AE89">
        <v>3375</v>
      </c>
      <c r="AF89">
        <v>181.6</v>
      </c>
      <c r="AG89">
        <v>5376</v>
      </c>
      <c r="AH89">
        <v>3254</v>
      </c>
      <c r="AI89">
        <v>260.2</v>
      </c>
      <c r="AJ89">
        <v>59.6</v>
      </c>
      <c r="AK89">
        <v>45.5</v>
      </c>
      <c r="AL89">
        <v>76.05</v>
      </c>
      <c r="AM89">
        <v>1308</v>
      </c>
      <c r="AN89">
        <v>472.4</v>
      </c>
      <c r="AO89">
        <v>7255</v>
      </c>
      <c r="AP89">
        <v>86.74</v>
      </c>
      <c r="AQ89">
        <v>119.2193145</v>
      </c>
      <c r="AR89" cm="1">
        <f t="array" ref="AR89">SUMPRODUCT($B$162:$U$162,(B89:U89)/($B$11:$U$11))</f>
        <v>30026.437516872429</v>
      </c>
      <c r="AS89">
        <f t="shared" si="10"/>
        <v>-62.260817299389601</v>
      </c>
      <c r="AT89">
        <f t="shared" si="11"/>
        <v>-2.0692426308345224E-3</v>
      </c>
      <c r="AU89" cm="1">
        <f t="array" ref="AU89">SUMPRODUCT($X$162:$AQ$162,(X89:AQ89)/($X$11:$AQ$11))</f>
        <v>25101.956359099648</v>
      </c>
      <c r="AV89">
        <f t="shared" si="12"/>
        <v>301.60701238921683</v>
      </c>
      <c r="AW89">
        <f t="shared" si="13"/>
        <v>-301.60701238921683</v>
      </c>
      <c r="AX89">
        <f t="shared" si="14"/>
        <v>-363.86782968860643</v>
      </c>
    </row>
    <row r="90" spans="1:50" x14ac:dyDescent="0.2">
      <c r="A90" s="3">
        <v>45889</v>
      </c>
      <c r="B90">
        <v>1026</v>
      </c>
      <c r="C90">
        <v>91.76</v>
      </c>
      <c r="D90">
        <v>3.4020000000000001</v>
      </c>
      <c r="E90">
        <v>11.92</v>
      </c>
      <c r="F90">
        <v>82.58</v>
      </c>
      <c r="G90">
        <v>9.09</v>
      </c>
      <c r="H90">
        <v>35.380000000000003</v>
      </c>
      <c r="I90">
        <v>70.349999999999994</v>
      </c>
      <c r="J90">
        <v>48.73</v>
      </c>
      <c r="K90">
        <v>369.2</v>
      </c>
      <c r="L90">
        <v>85.26</v>
      </c>
      <c r="M90">
        <v>91.32</v>
      </c>
      <c r="N90">
        <v>7.1950000000000003</v>
      </c>
      <c r="O90">
        <v>164.65</v>
      </c>
      <c r="P90">
        <v>13.12</v>
      </c>
      <c r="Q90">
        <v>16850</v>
      </c>
      <c r="R90">
        <v>0.46339999999999998</v>
      </c>
      <c r="S90">
        <v>131.55000000000001</v>
      </c>
      <c r="T90">
        <v>9</v>
      </c>
      <c r="U90">
        <v>13.2</v>
      </c>
      <c r="V90" s="6"/>
      <c r="W90" s="3">
        <v>45889</v>
      </c>
      <c r="X90">
        <v>2558</v>
      </c>
      <c r="Y90">
        <v>624.5</v>
      </c>
      <c r="Z90">
        <v>84.2</v>
      </c>
      <c r="AA90">
        <v>5.258</v>
      </c>
      <c r="AB90">
        <v>572.20000000000005</v>
      </c>
      <c r="AC90">
        <v>155.4</v>
      </c>
      <c r="AD90">
        <v>118.1</v>
      </c>
      <c r="AE90">
        <v>3460</v>
      </c>
      <c r="AF90">
        <v>183.6</v>
      </c>
      <c r="AG90">
        <v>5332</v>
      </c>
      <c r="AH90">
        <v>3266</v>
      </c>
      <c r="AI90">
        <v>262.39999999999998</v>
      </c>
      <c r="AJ90">
        <v>60.5</v>
      </c>
      <c r="AK90">
        <v>44.88</v>
      </c>
      <c r="AL90">
        <v>76.099999999999994</v>
      </c>
      <c r="AM90">
        <v>1316.5</v>
      </c>
      <c r="AN90">
        <v>489.8</v>
      </c>
      <c r="AO90">
        <v>7220</v>
      </c>
      <c r="AP90">
        <v>86</v>
      </c>
      <c r="AQ90">
        <v>116.5514697</v>
      </c>
      <c r="AR90" cm="1">
        <f t="array" ref="AR90">SUMPRODUCT($B$162:$U$162,(B90:U90)/($B$11:$U$11))</f>
        <v>29703.926935307143</v>
      </c>
      <c r="AS90">
        <f t="shared" si="10"/>
        <v>-322.51058156528597</v>
      </c>
      <c r="AT90">
        <f t="shared" si="11"/>
        <v>-1.0740887305863756E-2</v>
      </c>
      <c r="AU90" cm="1">
        <f t="array" ref="AU90">SUMPRODUCT($X$162:$AQ$162,(X90:AQ90)/($X$11:$AQ$11))</f>
        <v>25293.943799268258</v>
      </c>
      <c r="AV90">
        <f t="shared" si="12"/>
        <v>191.98744016861019</v>
      </c>
      <c r="AW90">
        <f t="shared" si="13"/>
        <v>-191.98744016861019</v>
      </c>
      <c r="AX90">
        <f t="shared" si="14"/>
        <v>-514.49802173389617</v>
      </c>
    </row>
    <row r="91" spans="1:50" x14ac:dyDescent="0.2">
      <c r="A91" s="3">
        <v>45890</v>
      </c>
      <c r="B91">
        <v>1040.5</v>
      </c>
      <c r="C91">
        <v>93</v>
      </c>
      <c r="D91">
        <v>3.4209999999999998</v>
      </c>
      <c r="E91">
        <v>12.05</v>
      </c>
      <c r="F91">
        <v>83.74</v>
      </c>
      <c r="G91">
        <v>9.1300000000000008</v>
      </c>
      <c r="H91">
        <v>35.299999999999997</v>
      </c>
      <c r="I91">
        <v>72</v>
      </c>
      <c r="J91">
        <v>49.22</v>
      </c>
      <c r="K91">
        <v>365.8</v>
      </c>
      <c r="L91">
        <v>84.24</v>
      </c>
      <c r="M91">
        <v>90.7</v>
      </c>
      <c r="N91">
        <v>7.1849999999999996</v>
      </c>
      <c r="O91">
        <v>165.5</v>
      </c>
      <c r="P91">
        <v>13.1</v>
      </c>
      <c r="Q91">
        <v>16915</v>
      </c>
      <c r="R91">
        <v>0.45960000000000001</v>
      </c>
      <c r="S91">
        <v>130.9</v>
      </c>
      <c r="T91">
        <v>8.9700000000000006</v>
      </c>
      <c r="U91">
        <v>13.18</v>
      </c>
      <c r="V91" s="6"/>
      <c r="W91" s="3">
        <v>45890</v>
      </c>
      <c r="X91">
        <v>2512</v>
      </c>
      <c r="Y91">
        <v>619</v>
      </c>
      <c r="Z91">
        <v>83.36</v>
      </c>
      <c r="AA91">
        <v>5.274</v>
      </c>
      <c r="AB91">
        <v>567</v>
      </c>
      <c r="AC91">
        <v>155.5</v>
      </c>
      <c r="AD91">
        <v>114.75</v>
      </c>
      <c r="AE91">
        <v>3412</v>
      </c>
      <c r="AF91">
        <v>184.6</v>
      </c>
      <c r="AG91">
        <v>5354</v>
      </c>
      <c r="AH91">
        <v>3246</v>
      </c>
      <c r="AI91">
        <v>262.5</v>
      </c>
      <c r="AJ91">
        <v>60.4</v>
      </c>
      <c r="AK91">
        <v>43.83</v>
      </c>
      <c r="AL91">
        <v>75.900000000000006</v>
      </c>
      <c r="AM91">
        <v>1295</v>
      </c>
      <c r="AN91">
        <v>488.8</v>
      </c>
      <c r="AO91">
        <v>7250</v>
      </c>
      <c r="AP91">
        <v>85.64</v>
      </c>
      <c r="AQ91">
        <v>116.71821</v>
      </c>
      <c r="AR91" cm="1">
        <f t="array" ref="AR91">SUMPRODUCT($B$162:$U$162,(B91:U91)/($B$11:$U$11))</f>
        <v>29862.67686992243</v>
      </c>
      <c r="AS91">
        <f t="shared" si="10"/>
        <v>158.7499346152872</v>
      </c>
      <c r="AT91">
        <f t="shared" si="11"/>
        <v>5.3444090056185001E-3</v>
      </c>
      <c r="AU91" cm="1">
        <f t="array" ref="AU91">SUMPRODUCT($X$162:$AQ$162,(X91:AQ91)/($X$11:$AQ$11))</f>
        <v>25122.316182820286</v>
      </c>
      <c r="AV91">
        <f t="shared" si="12"/>
        <v>-171.62761644797138</v>
      </c>
      <c r="AW91">
        <f t="shared" si="13"/>
        <v>171.62761644797138</v>
      </c>
      <c r="AX91">
        <f t="shared" si="14"/>
        <v>330.37755106325858</v>
      </c>
    </row>
    <row r="92" spans="1:50" x14ac:dyDescent="0.2">
      <c r="A92" s="3">
        <v>45891</v>
      </c>
      <c r="B92">
        <v>1043</v>
      </c>
      <c r="C92">
        <v>92.9</v>
      </c>
      <c r="D92">
        <v>3.4209999999999998</v>
      </c>
      <c r="E92">
        <v>12.065</v>
      </c>
      <c r="F92">
        <v>73.5</v>
      </c>
      <c r="G92">
        <v>9.1460000000000008</v>
      </c>
      <c r="H92">
        <v>35.380000000000003</v>
      </c>
      <c r="I92">
        <v>71.650000000000006</v>
      </c>
      <c r="J92">
        <v>50.22</v>
      </c>
      <c r="K92">
        <v>364.5</v>
      </c>
      <c r="L92">
        <v>84.94</v>
      </c>
      <c r="M92">
        <v>91.7</v>
      </c>
      <c r="N92">
        <v>7.18</v>
      </c>
      <c r="O92">
        <v>165.1</v>
      </c>
      <c r="P92">
        <v>13.13</v>
      </c>
      <c r="Q92">
        <v>16875</v>
      </c>
      <c r="R92">
        <v>0.46089999999999998</v>
      </c>
      <c r="S92">
        <v>131.35</v>
      </c>
      <c r="T92">
        <v>9.01</v>
      </c>
      <c r="U92">
        <v>13.48</v>
      </c>
      <c r="V92" s="6"/>
      <c r="W92" s="3">
        <v>45891</v>
      </c>
      <c r="X92">
        <v>2554</v>
      </c>
      <c r="Y92">
        <v>624</v>
      </c>
      <c r="Z92">
        <v>84.2</v>
      </c>
      <c r="AA92">
        <v>5.266</v>
      </c>
      <c r="AB92">
        <v>566.6</v>
      </c>
      <c r="AC92">
        <v>154.9</v>
      </c>
      <c r="AD92">
        <v>115.3</v>
      </c>
      <c r="AE92">
        <v>3430</v>
      </c>
      <c r="AF92">
        <v>181.6</v>
      </c>
      <c r="AG92">
        <v>5462</v>
      </c>
      <c r="AH92">
        <v>3260</v>
      </c>
      <c r="AI92">
        <v>261.5</v>
      </c>
      <c r="AJ92">
        <v>60.2</v>
      </c>
      <c r="AK92">
        <v>46.06</v>
      </c>
      <c r="AL92">
        <v>76.7</v>
      </c>
      <c r="AM92">
        <v>1308.5</v>
      </c>
      <c r="AN92">
        <v>492.6</v>
      </c>
      <c r="AO92">
        <v>7340</v>
      </c>
      <c r="AP92">
        <v>87.8</v>
      </c>
      <c r="AQ92">
        <v>118.99699409999999</v>
      </c>
      <c r="AR92" cm="1">
        <f t="array" ref="AR92">SUMPRODUCT($B$162:$U$162,(B92:U92)/($B$11:$U$11))</f>
        <v>29795.752345046028</v>
      </c>
      <c r="AS92">
        <f t="shared" si="10"/>
        <v>-66.924524876401847</v>
      </c>
      <c r="AT92">
        <f t="shared" si="11"/>
        <v>-2.241075881037613E-3</v>
      </c>
      <c r="AU92" cm="1">
        <f t="array" ref="AU92">SUMPRODUCT($X$162:$AQ$162,(X92:AQ92)/($X$11:$AQ$11))</f>
        <v>25357.335294538538</v>
      </c>
      <c r="AV92">
        <f t="shared" si="12"/>
        <v>235.01911171825122</v>
      </c>
      <c r="AW92">
        <f t="shared" si="13"/>
        <v>-235.01911171825122</v>
      </c>
      <c r="AX92">
        <f t="shared" si="14"/>
        <v>-301.94363659465307</v>
      </c>
    </row>
    <row r="93" spans="1:50" x14ac:dyDescent="0.2">
      <c r="A93" s="3">
        <v>45895</v>
      </c>
      <c r="B93">
        <v>1057.5</v>
      </c>
      <c r="C93">
        <v>93.82</v>
      </c>
      <c r="D93">
        <v>3.391</v>
      </c>
      <c r="E93">
        <v>11.9</v>
      </c>
      <c r="F93">
        <v>74.3</v>
      </c>
      <c r="G93">
        <v>9.0120000000000005</v>
      </c>
      <c r="H93">
        <v>34.159999999999997</v>
      </c>
      <c r="I93">
        <v>71.400000000000006</v>
      </c>
      <c r="J93">
        <v>49.92</v>
      </c>
      <c r="K93">
        <v>357.8</v>
      </c>
      <c r="L93">
        <v>83.38</v>
      </c>
      <c r="M93">
        <v>89.06</v>
      </c>
      <c r="N93">
        <v>7.09</v>
      </c>
      <c r="O93">
        <v>164.8</v>
      </c>
      <c r="P93">
        <v>12.88</v>
      </c>
      <c r="Q93">
        <v>17410</v>
      </c>
      <c r="R93">
        <v>0.4551</v>
      </c>
      <c r="S93">
        <v>131.75</v>
      </c>
      <c r="T93">
        <v>9.0449999999999999</v>
      </c>
      <c r="U93">
        <v>13.45</v>
      </c>
      <c r="V93" s="6"/>
      <c r="W93" s="3">
        <v>45895</v>
      </c>
      <c r="X93">
        <v>2551</v>
      </c>
      <c r="Y93">
        <v>622</v>
      </c>
      <c r="Z93">
        <v>82.14</v>
      </c>
      <c r="AA93">
        <v>5.218</v>
      </c>
      <c r="AB93">
        <v>578.20000000000005</v>
      </c>
      <c r="AC93">
        <v>152.9</v>
      </c>
      <c r="AD93">
        <v>111.15</v>
      </c>
      <c r="AE93">
        <v>3405</v>
      </c>
      <c r="AF93">
        <v>182.2</v>
      </c>
      <c r="AG93">
        <v>5518</v>
      </c>
      <c r="AH93">
        <v>3312</v>
      </c>
      <c r="AI93">
        <v>259.2</v>
      </c>
      <c r="AJ93">
        <v>60.1</v>
      </c>
      <c r="AK93">
        <v>41.31</v>
      </c>
      <c r="AL93">
        <v>76.05</v>
      </c>
      <c r="AM93">
        <v>1302.5</v>
      </c>
      <c r="AN93">
        <v>482.8</v>
      </c>
      <c r="AO93">
        <v>7240</v>
      </c>
      <c r="AP93">
        <v>85.72</v>
      </c>
      <c r="AQ93">
        <v>105.26870940000001</v>
      </c>
      <c r="AR93" cm="1">
        <f t="array" ref="AR93">SUMPRODUCT($B$162:$U$162,(B93:U93)/($B$11:$U$11))</f>
        <v>29680.476359463893</v>
      </c>
      <c r="AS93">
        <f t="shared" si="10"/>
        <v>-115.27598558213504</v>
      </c>
      <c r="AT93">
        <f t="shared" si="11"/>
        <v>-3.8688731281961708E-3</v>
      </c>
      <c r="AU93" cm="1">
        <f t="array" ref="AU93">SUMPRODUCT($X$162:$AQ$162,(X93:AQ93)/($X$11:$AQ$11))</f>
        <v>24987.432293428254</v>
      </c>
      <c r="AV93">
        <f t="shared" si="12"/>
        <v>-369.90300111028409</v>
      </c>
      <c r="AW93">
        <f t="shared" si="13"/>
        <v>369.90300111028409</v>
      </c>
      <c r="AX93">
        <f t="shared" si="14"/>
        <v>254.62701552814906</v>
      </c>
    </row>
    <row r="94" spans="1:50" x14ac:dyDescent="0.2">
      <c r="A94" s="3">
        <v>45896</v>
      </c>
      <c r="B94">
        <v>1056.5</v>
      </c>
      <c r="C94">
        <v>91.28</v>
      </c>
      <c r="D94">
        <v>3.2669999999999999</v>
      </c>
      <c r="E94">
        <v>11.664999999999999</v>
      </c>
      <c r="F94">
        <v>73.78</v>
      </c>
      <c r="G94">
        <v>8.77</v>
      </c>
      <c r="H94">
        <v>33.54</v>
      </c>
      <c r="I94">
        <v>69.650000000000006</v>
      </c>
      <c r="J94">
        <v>50.52</v>
      </c>
      <c r="K94">
        <v>362.3</v>
      </c>
      <c r="L94">
        <v>83.32</v>
      </c>
      <c r="M94">
        <v>88.3</v>
      </c>
      <c r="N94">
        <v>7</v>
      </c>
      <c r="O94">
        <v>163.80000000000001</v>
      </c>
      <c r="P94">
        <v>12.75</v>
      </c>
      <c r="Q94">
        <v>17200</v>
      </c>
      <c r="R94">
        <v>0.45390000000000003</v>
      </c>
      <c r="S94">
        <v>128</v>
      </c>
      <c r="T94">
        <v>9.0150000000000006</v>
      </c>
      <c r="U94">
        <v>13.14</v>
      </c>
      <c r="V94" s="6"/>
      <c r="W94" s="3">
        <v>45896</v>
      </c>
      <c r="X94">
        <v>2539</v>
      </c>
      <c r="Y94">
        <v>620.5</v>
      </c>
      <c r="Z94">
        <v>82.54</v>
      </c>
      <c r="AA94">
        <v>5.282</v>
      </c>
      <c r="AB94">
        <v>572.4</v>
      </c>
      <c r="AC94">
        <v>151.80000000000001</v>
      </c>
      <c r="AD94">
        <v>111.35</v>
      </c>
      <c r="AE94">
        <v>3379</v>
      </c>
      <c r="AF94">
        <v>181.6</v>
      </c>
      <c r="AG94">
        <v>5486</v>
      </c>
      <c r="AH94">
        <v>3282</v>
      </c>
      <c r="AI94">
        <v>262.60000000000002</v>
      </c>
      <c r="AJ94">
        <v>59.9</v>
      </c>
      <c r="AK94">
        <v>40.229999999999997</v>
      </c>
      <c r="AL94">
        <v>75.95</v>
      </c>
      <c r="AM94">
        <v>1299</v>
      </c>
      <c r="AN94">
        <v>482</v>
      </c>
      <c r="AO94">
        <v>7200</v>
      </c>
      <c r="AP94">
        <v>86.26</v>
      </c>
      <c r="AQ94">
        <v>105.07417905</v>
      </c>
      <c r="AR94" cm="1">
        <f t="array" ref="AR94">SUMPRODUCT($B$162:$U$162,(B94:U94)/($B$11:$U$11))</f>
        <v>29246.806549332163</v>
      </c>
      <c r="AS94">
        <f t="shared" si="10"/>
        <v>-433.66981013173063</v>
      </c>
      <c r="AT94">
        <f t="shared" si="11"/>
        <v>-1.4611282005029258E-2</v>
      </c>
      <c r="AU94" cm="1">
        <f t="array" ref="AU94">SUMPRODUCT($X$162:$AQ$162,(X94:AQ94)/($X$11:$AQ$11))</f>
        <v>24928.395733473142</v>
      </c>
      <c r="AV94">
        <f t="shared" si="12"/>
        <v>-59.036559955111443</v>
      </c>
      <c r="AW94">
        <f t="shared" si="13"/>
        <v>59.036559955111443</v>
      </c>
      <c r="AX94">
        <f t="shared" si="14"/>
        <v>-374.63325017661919</v>
      </c>
    </row>
    <row r="95" spans="1:50" x14ac:dyDescent="0.2">
      <c r="A95" s="3">
        <v>45897</v>
      </c>
      <c r="B95">
        <v>1058.5</v>
      </c>
      <c r="C95">
        <v>92.42</v>
      </c>
      <c r="D95">
        <v>3.2629999999999999</v>
      </c>
      <c r="E95">
        <v>11.71</v>
      </c>
      <c r="F95">
        <v>73.2</v>
      </c>
      <c r="G95">
        <v>8.8819999999999997</v>
      </c>
      <c r="H95">
        <v>33.22</v>
      </c>
      <c r="I95">
        <v>69.05</v>
      </c>
      <c r="J95">
        <v>50.36</v>
      </c>
      <c r="K95">
        <v>360</v>
      </c>
      <c r="L95">
        <v>84.08</v>
      </c>
      <c r="M95">
        <v>88.26</v>
      </c>
      <c r="N95">
        <v>6.9950000000000001</v>
      </c>
      <c r="O95">
        <v>161.30000000000001</v>
      </c>
      <c r="P95">
        <v>12.79</v>
      </c>
      <c r="Q95">
        <v>17180</v>
      </c>
      <c r="R95">
        <v>0.41399999999999998</v>
      </c>
      <c r="S95">
        <v>128</v>
      </c>
      <c r="T95">
        <v>9.125</v>
      </c>
      <c r="U95">
        <v>12.97</v>
      </c>
      <c r="V95" s="6"/>
      <c r="W95" s="3">
        <v>45897</v>
      </c>
      <c r="X95">
        <v>2522</v>
      </c>
      <c r="Y95">
        <v>621</v>
      </c>
      <c r="Z95">
        <v>82.68</v>
      </c>
      <c r="AA95">
        <v>5.2519999999999998</v>
      </c>
      <c r="AB95">
        <v>569.6</v>
      </c>
      <c r="AC95">
        <v>152.19999999999999</v>
      </c>
      <c r="AD95">
        <v>109.3</v>
      </c>
      <c r="AE95">
        <v>3381</v>
      </c>
      <c r="AF95">
        <v>180.8</v>
      </c>
      <c r="AG95">
        <v>5472</v>
      </c>
      <c r="AH95">
        <v>3300</v>
      </c>
      <c r="AI95">
        <v>261</v>
      </c>
      <c r="AJ95">
        <v>59.7</v>
      </c>
      <c r="AK95">
        <v>39.71</v>
      </c>
      <c r="AL95">
        <v>75.900000000000006</v>
      </c>
      <c r="AM95">
        <v>1292.5</v>
      </c>
      <c r="AN95">
        <v>476.4</v>
      </c>
      <c r="AO95">
        <v>7265</v>
      </c>
      <c r="AP95">
        <v>85.96</v>
      </c>
      <c r="AQ95">
        <v>110.9934597</v>
      </c>
      <c r="AR95" cm="1">
        <f t="array" ref="AR95">SUMPRODUCT($B$162:$U$162,(B95:U95)/($B$11:$U$11))</f>
        <v>29142.367157617064</v>
      </c>
      <c r="AS95">
        <f t="shared" si="10"/>
        <v>-104.43939171509919</v>
      </c>
      <c r="AT95">
        <f t="shared" si="11"/>
        <v>-3.5709673648962603E-3</v>
      </c>
      <c r="AU95" cm="1">
        <f t="array" ref="AU95">SUMPRODUCT($X$162:$AQ$162,(X95:AQ95)/($X$11:$AQ$11))</f>
        <v>24901.931900147265</v>
      </c>
      <c r="AV95">
        <f t="shared" si="12"/>
        <v>-26.463833325877204</v>
      </c>
      <c r="AW95">
        <f t="shared" si="13"/>
        <v>26.463833325877204</v>
      </c>
      <c r="AX95">
        <f t="shared" si="14"/>
        <v>-77.975558389221987</v>
      </c>
    </row>
    <row r="96" spans="1:50" x14ac:dyDescent="0.2">
      <c r="A96" s="3">
        <v>45898</v>
      </c>
      <c r="B96">
        <v>1070</v>
      </c>
      <c r="C96">
        <v>90.72</v>
      </c>
      <c r="D96">
        <v>3.2450000000000001</v>
      </c>
      <c r="E96">
        <v>11.725</v>
      </c>
      <c r="F96">
        <v>71</v>
      </c>
      <c r="G96">
        <v>8.8780000000000001</v>
      </c>
      <c r="H96">
        <v>33.340000000000003</v>
      </c>
      <c r="I96">
        <v>68.8</v>
      </c>
      <c r="J96">
        <v>50.16</v>
      </c>
      <c r="K96">
        <v>362.9</v>
      </c>
      <c r="L96">
        <v>83.5</v>
      </c>
      <c r="M96">
        <v>88.8</v>
      </c>
      <c r="N96">
        <v>6.94</v>
      </c>
      <c r="O96">
        <v>160.94999999999999</v>
      </c>
      <c r="P96">
        <v>12.41</v>
      </c>
      <c r="Q96">
        <v>17250</v>
      </c>
      <c r="R96">
        <v>0.40960000000000002</v>
      </c>
      <c r="S96">
        <v>128</v>
      </c>
      <c r="T96">
        <v>9.0649999999999995</v>
      </c>
      <c r="U96">
        <v>12.74</v>
      </c>
      <c r="V96" s="6"/>
      <c r="W96" s="3">
        <v>45898</v>
      </c>
      <c r="X96">
        <v>2508</v>
      </c>
      <c r="Y96">
        <v>613.5</v>
      </c>
      <c r="Z96">
        <v>82.78</v>
      </c>
      <c r="AA96">
        <v>5.2039999999999997</v>
      </c>
      <c r="AB96">
        <v>567</v>
      </c>
      <c r="AC96">
        <v>152.80000000000001</v>
      </c>
      <c r="AD96">
        <v>107.6</v>
      </c>
      <c r="AE96">
        <v>3370</v>
      </c>
      <c r="AF96">
        <v>181.2</v>
      </c>
      <c r="AG96">
        <v>5446</v>
      </c>
      <c r="AH96">
        <v>3288</v>
      </c>
      <c r="AI96">
        <v>260.3</v>
      </c>
      <c r="AJ96">
        <v>59.8</v>
      </c>
      <c r="AK96">
        <v>38.82</v>
      </c>
      <c r="AL96">
        <v>75.099999999999994</v>
      </c>
      <c r="AM96">
        <v>1269</v>
      </c>
      <c r="AN96">
        <v>473.6</v>
      </c>
      <c r="AO96">
        <v>7295</v>
      </c>
      <c r="AP96">
        <v>84.9</v>
      </c>
      <c r="AQ96">
        <v>107.35296314999999</v>
      </c>
      <c r="AR96" cm="1">
        <f t="array" ref="AR96">SUMPRODUCT($B$162:$U$162,(B96:U96)/($B$11:$U$11))</f>
        <v>29004.543701060527</v>
      </c>
      <c r="AS96">
        <f t="shared" si="10"/>
        <v>-137.82345655653626</v>
      </c>
      <c r="AT96">
        <f t="shared" si="11"/>
        <v>-4.7293157694128229E-3</v>
      </c>
      <c r="AU96" cm="1">
        <f t="array" ref="AU96">SUMPRODUCT($X$162:$AQ$162,(X96:AQ96)/($X$11:$AQ$11))</f>
        <v>24724.741949293519</v>
      </c>
      <c r="AV96">
        <f t="shared" si="12"/>
        <v>-177.18995085374627</v>
      </c>
      <c r="AW96">
        <f t="shared" si="13"/>
        <v>177.18995085374627</v>
      </c>
      <c r="AX96">
        <f t="shared" si="14"/>
        <v>39.366494297210011</v>
      </c>
    </row>
    <row r="97" spans="1:50" x14ac:dyDescent="0.2">
      <c r="A97" s="3">
        <v>45901</v>
      </c>
      <c r="B97">
        <v>1100</v>
      </c>
      <c r="C97">
        <v>89.62</v>
      </c>
      <c r="D97">
        <v>3.2509999999999999</v>
      </c>
      <c r="E97">
        <v>11.71</v>
      </c>
      <c r="F97">
        <v>70.12</v>
      </c>
      <c r="G97">
        <v>8.8960000000000008</v>
      </c>
      <c r="H97">
        <v>33.299999999999997</v>
      </c>
      <c r="I97">
        <v>68.400000000000006</v>
      </c>
      <c r="J97">
        <v>50.2</v>
      </c>
      <c r="K97">
        <v>360.7</v>
      </c>
      <c r="L97">
        <v>83.54</v>
      </c>
      <c r="M97">
        <v>88.88</v>
      </c>
      <c r="N97">
        <v>7.0350000000000001</v>
      </c>
      <c r="O97">
        <v>159.6</v>
      </c>
      <c r="P97">
        <v>12.29</v>
      </c>
      <c r="Q97">
        <v>17290</v>
      </c>
      <c r="R97">
        <v>0.42330000000000001</v>
      </c>
      <c r="S97">
        <v>129.4</v>
      </c>
      <c r="T97">
        <v>10.14</v>
      </c>
      <c r="U97">
        <v>12.73</v>
      </c>
      <c r="V97" s="6"/>
      <c r="W97" s="3">
        <v>45901</v>
      </c>
      <c r="X97">
        <v>2495</v>
      </c>
      <c r="Y97">
        <v>610.5</v>
      </c>
      <c r="Z97">
        <v>82.88</v>
      </c>
      <c r="AA97">
        <v>5.1740000000000004</v>
      </c>
      <c r="AB97">
        <v>571</v>
      </c>
      <c r="AC97">
        <v>149.5</v>
      </c>
      <c r="AD97">
        <v>107</v>
      </c>
      <c r="AE97">
        <v>3392</v>
      </c>
      <c r="AF97">
        <v>181.6</v>
      </c>
      <c r="AG97">
        <v>5410</v>
      </c>
      <c r="AH97">
        <v>3270</v>
      </c>
      <c r="AI97">
        <v>260.2</v>
      </c>
      <c r="AJ97">
        <v>59.9</v>
      </c>
      <c r="AK97">
        <v>38.81</v>
      </c>
      <c r="AL97">
        <v>75.599999999999994</v>
      </c>
      <c r="AM97">
        <v>1266</v>
      </c>
      <c r="AN97">
        <v>466</v>
      </c>
      <c r="AO97">
        <v>7220</v>
      </c>
      <c r="AP97">
        <v>83.8</v>
      </c>
      <c r="AQ97">
        <v>111.1602</v>
      </c>
      <c r="AR97" cm="1">
        <f t="array" ref="AR97">SUMPRODUCT($B$162:$U$162,(B97:U97)/($B$11:$U$11))</f>
        <v>29179.036338119822</v>
      </c>
      <c r="AS97">
        <f t="shared" si="10"/>
        <v>174.49263705929479</v>
      </c>
      <c r="AT97">
        <f t="shared" si="11"/>
        <v>6.0160448948181067E-3</v>
      </c>
      <c r="AU97" cm="1">
        <f t="array" ref="AU97">SUMPRODUCT($X$162:$AQ$162,(X97:AQ97)/($X$11:$AQ$11))</f>
        <v>24659.555728542015</v>
      </c>
      <c r="AV97">
        <f t="shared" si="12"/>
        <v>-65.186220751504152</v>
      </c>
      <c r="AW97">
        <f t="shared" si="13"/>
        <v>65.186220751504152</v>
      </c>
      <c r="AX97">
        <f t="shared" si="14"/>
        <v>239.67885781079895</v>
      </c>
    </row>
    <row r="98" spans="1:50" x14ac:dyDescent="0.2">
      <c r="A98" s="3">
        <v>45902</v>
      </c>
      <c r="B98">
        <v>1069</v>
      </c>
      <c r="C98">
        <v>84.4</v>
      </c>
      <c r="D98">
        <v>3.1909999999999998</v>
      </c>
      <c r="E98">
        <v>11.6</v>
      </c>
      <c r="F98">
        <v>71.14</v>
      </c>
      <c r="G98">
        <v>8.7080000000000002</v>
      </c>
      <c r="H98">
        <v>32.76</v>
      </c>
      <c r="I98">
        <v>67.2</v>
      </c>
      <c r="J98">
        <v>49.19</v>
      </c>
      <c r="K98">
        <v>363.2</v>
      </c>
      <c r="L98">
        <v>82.66</v>
      </c>
      <c r="M98">
        <v>86.46</v>
      </c>
      <c r="N98">
        <v>7.0250000000000004</v>
      </c>
      <c r="O98">
        <v>155.35</v>
      </c>
      <c r="P98">
        <v>10.75</v>
      </c>
      <c r="Q98">
        <v>16965</v>
      </c>
      <c r="R98">
        <v>0.4199</v>
      </c>
      <c r="S98">
        <v>130.75</v>
      </c>
      <c r="T98">
        <v>9.8550000000000004</v>
      </c>
      <c r="U98">
        <v>12.36</v>
      </c>
      <c r="V98" s="6"/>
      <c r="W98" s="3">
        <v>45902</v>
      </c>
      <c r="X98">
        <v>2485</v>
      </c>
      <c r="Y98">
        <v>601.5</v>
      </c>
      <c r="Z98">
        <v>82.92</v>
      </c>
      <c r="AA98">
        <v>5.0960000000000001</v>
      </c>
      <c r="AB98">
        <v>563.6</v>
      </c>
      <c r="AC98">
        <v>147</v>
      </c>
      <c r="AD98">
        <v>104.35</v>
      </c>
      <c r="AE98">
        <v>3398</v>
      </c>
      <c r="AF98">
        <v>181</v>
      </c>
      <c r="AG98">
        <v>5376</v>
      </c>
      <c r="AH98">
        <v>3218</v>
      </c>
      <c r="AI98">
        <v>262</v>
      </c>
      <c r="AJ98">
        <v>59.8</v>
      </c>
      <c r="AK98">
        <v>37.409999999999997</v>
      </c>
      <c r="AL98">
        <v>74.25</v>
      </c>
      <c r="AM98">
        <v>1220.5</v>
      </c>
      <c r="AN98">
        <v>446</v>
      </c>
      <c r="AO98">
        <v>7005</v>
      </c>
      <c r="AP98">
        <v>81.38</v>
      </c>
      <c r="AQ98">
        <v>111.3825204</v>
      </c>
      <c r="AR98" cm="1">
        <f t="array" ref="AR98">SUMPRODUCT($B$162:$U$162,(B98:U98)/($B$11:$U$11))</f>
        <v>28485.965722503966</v>
      </c>
      <c r="AS98">
        <f t="shared" si="10"/>
        <v>-693.07061561585579</v>
      </c>
      <c r="AT98">
        <f t="shared" si="11"/>
        <v>-2.3752347664423024E-2</v>
      </c>
      <c r="AU98" cm="1">
        <f t="array" ref="AU98">SUMPRODUCT($X$162:$AQ$162,(X98:AQ98)/($X$11:$AQ$11))</f>
        <v>24311.437598268407</v>
      </c>
      <c r="AV98">
        <f t="shared" si="12"/>
        <v>-348.11813027360768</v>
      </c>
      <c r="AW98">
        <f t="shared" si="13"/>
        <v>348.11813027360768</v>
      </c>
      <c r="AX98">
        <f t="shared" si="14"/>
        <v>-344.95248534224811</v>
      </c>
    </row>
    <row r="99" spans="1:50" x14ac:dyDescent="0.2">
      <c r="A99" s="3">
        <v>45903</v>
      </c>
      <c r="B99">
        <v>1082</v>
      </c>
      <c r="C99">
        <v>85.94</v>
      </c>
      <c r="D99">
        <v>3.2149999999999999</v>
      </c>
      <c r="E99">
        <v>11.625</v>
      </c>
      <c r="F99">
        <v>71.62</v>
      </c>
      <c r="G99">
        <v>8.7579999999999991</v>
      </c>
      <c r="H99">
        <v>32.700000000000003</v>
      </c>
      <c r="I99">
        <v>67.2</v>
      </c>
      <c r="J99">
        <v>49.66</v>
      </c>
      <c r="K99">
        <v>370.7</v>
      </c>
      <c r="L99">
        <v>81.62</v>
      </c>
      <c r="M99">
        <v>86.78</v>
      </c>
      <c r="N99">
        <v>7.13</v>
      </c>
      <c r="O99">
        <v>154.9</v>
      </c>
      <c r="P99">
        <v>10.66</v>
      </c>
      <c r="Q99">
        <v>17050</v>
      </c>
      <c r="R99">
        <v>0.4173</v>
      </c>
      <c r="S99">
        <v>133.85</v>
      </c>
      <c r="T99">
        <v>9.7449999999999992</v>
      </c>
      <c r="U99">
        <v>12.34</v>
      </c>
      <c r="V99" s="6"/>
      <c r="W99" s="3">
        <v>45903</v>
      </c>
      <c r="X99">
        <v>2465</v>
      </c>
      <c r="Y99">
        <v>606.5</v>
      </c>
      <c r="Z99">
        <v>83.44</v>
      </c>
      <c r="AA99">
        <v>5.0979999999999999</v>
      </c>
      <c r="AB99">
        <v>570.6</v>
      </c>
      <c r="AC99">
        <v>148.80000000000001</v>
      </c>
      <c r="AD99">
        <v>104.4</v>
      </c>
      <c r="AE99">
        <v>3440</v>
      </c>
      <c r="AF99">
        <v>182.4</v>
      </c>
      <c r="AG99">
        <v>5420</v>
      </c>
      <c r="AH99">
        <v>3228</v>
      </c>
      <c r="AI99">
        <v>269.5</v>
      </c>
      <c r="AJ99">
        <v>60.4</v>
      </c>
      <c r="AK99">
        <v>37.35</v>
      </c>
      <c r="AL99">
        <v>75</v>
      </c>
      <c r="AM99">
        <v>1230.5</v>
      </c>
      <c r="AN99">
        <v>446.8</v>
      </c>
      <c r="AO99">
        <v>7130</v>
      </c>
      <c r="AP99">
        <v>81.08</v>
      </c>
      <c r="AQ99">
        <v>109.85406765</v>
      </c>
      <c r="AR99" cm="1">
        <f t="array" ref="AR99">SUMPRODUCT($B$162:$U$162,(B99:U99)/($B$11:$U$11))</f>
        <v>28671.049028687554</v>
      </c>
      <c r="AS99">
        <f t="shared" si="10"/>
        <v>185.08330618358741</v>
      </c>
      <c r="AT99">
        <f t="shared" si="11"/>
        <v>6.4973505896404049E-3</v>
      </c>
      <c r="AU99" cm="1">
        <f t="array" ref="AU99">SUMPRODUCT($X$162:$AQ$162,(X99:AQ99)/($X$11:$AQ$11))</f>
        <v>24452.623307387592</v>
      </c>
      <c r="AV99">
        <f t="shared" si="12"/>
        <v>141.18570911918505</v>
      </c>
      <c r="AW99">
        <f t="shared" si="13"/>
        <v>-141.18570911918505</v>
      </c>
      <c r="AX99">
        <f t="shared" si="14"/>
        <v>43.897597064402362</v>
      </c>
    </row>
    <row r="100" spans="1:50" x14ac:dyDescent="0.2">
      <c r="A100" s="3">
        <v>45904</v>
      </c>
      <c r="B100">
        <v>1069.5</v>
      </c>
      <c r="C100">
        <v>89.12</v>
      </c>
      <c r="D100">
        <v>3.2480000000000002</v>
      </c>
      <c r="E100">
        <v>11.695</v>
      </c>
      <c r="F100">
        <v>73.599999999999994</v>
      </c>
      <c r="G100">
        <v>8.7720000000000002</v>
      </c>
      <c r="H100">
        <v>33.14</v>
      </c>
      <c r="I100">
        <v>68.2</v>
      </c>
      <c r="J100">
        <v>49.14</v>
      </c>
      <c r="K100">
        <v>367.2</v>
      </c>
      <c r="L100">
        <v>81.16</v>
      </c>
      <c r="M100">
        <v>86.28</v>
      </c>
      <c r="N100">
        <v>7.16</v>
      </c>
      <c r="O100">
        <v>155</v>
      </c>
      <c r="P100">
        <v>10.44</v>
      </c>
      <c r="Q100">
        <v>17130</v>
      </c>
      <c r="R100">
        <v>0.43769999999999998</v>
      </c>
      <c r="S100">
        <v>131.1</v>
      </c>
      <c r="T100">
        <v>9</v>
      </c>
      <c r="U100">
        <v>12.46</v>
      </c>
      <c r="V100" s="6"/>
      <c r="W100" s="3">
        <v>45904</v>
      </c>
      <c r="X100">
        <v>2439</v>
      </c>
      <c r="Y100">
        <v>607</v>
      </c>
      <c r="Z100">
        <v>81.34</v>
      </c>
      <c r="AA100">
        <v>5.1559999999999997</v>
      </c>
      <c r="AB100">
        <v>578.20000000000005</v>
      </c>
      <c r="AC100">
        <v>149.4</v>
      </c>
      <c r="AD100">
        <v>107.3</v>
      </c>
      <c r="AE100">
        <v>3483</v>
      </c>
      <c r="AF100">
        <v>184</v>
      </c>
      <c r="AG100">
        <v>5386</v>
      </c>
      <c r="AH100">
        <v>3218</v>
      </c>
      <c r="AI100">
        <v>275.7</v>
      </c>
      <c r="AJ100">
        <v>60.6</v>
      </c>
      <c r="AK100">
        <v>37.369999999999997</v>
      </c>
      <c r="AL100">
        <v>75.3</v>
      </c>
      <c r="AM100">
        <v>1229.5</v>
      </c>
      <c r="AN100">
        <v>459.2</v>
      </c>
      <c r="AO100">
        <v>7085</v>
      </c>
      <c r="AP100">
        <v>80.88</v>
      </c>
      <c r="AQ100">
        <v>110.604399</v>
      </c>
      <c r="AR100" cm="1">
        <f t="array" ref="AR100">SUMPRODUCT($B$162:$U$162,(B100:U100)/($B$11:$U$11))</f>
        <v>28803.39367939789</v>
      </c>
      <c r="AS100">
        <f t="shared" si="10"/>
        <v>132.34465071033628</v>
      </c>
      <c r="AT100">
        <f t="shared" si="11"/>
        <v>4.6159682046482686E-3</v>
      </c>
      <c r="AU100" cm="1">
        <f t="array" ref="AU100">SUMPRODUCT($X$162:$AQ$162,(X100:AQ100)/($X$11:$AQ$11))</f>
        <v>24493.735809785932</v>
      </c>
      <c r="AV100">
        <f t="shared" si="12"/>
        <v>41.112502398340439</v>
      </c>
      <c r="AW100">
        <f t="shared" si="13"/>
        <v>-41.112502398340439</v>
      </c>
      <c r="AX100">
        <f t="shared" si="14"/>
        <v>91.232148311995843</v>
      </c>
    </row>
    <row r="101" spans="1:50" x14ac:dyDescent="0.2">
      <c r="A101" s="3">
        <v>45905</v>
      </c>
      <c r="B101">
        <v>1075.5</v>
      </c>
      <c r="C101">
        <v>87.58</v>
      </c>
      <c r="D101">
        <v>3.2189999999999999</v>
      </c>
      <c r="E101">
        <v>11.494999999999999</v>
      </c>
      <c r="F101">
        <v>71.260000000000005</v>
      </c>
      <c r="G101">
        <v>8.6739999999999995</v>
      </c>
      <c r="H101">
        <v>33.54</v>
      </c>
      <c r="I101">
        <v>68.5</v>
      </c>
      <c r="J101">
        <v>48.88</v>
      </c>
      <c r="K101">
        <v>365.7</v>
      </c>
      <c r="L101">
        <v>82.02</v>
      </c>
      <c r="M101">
        <v>87.58</v>
      </c>
      <c r="N101">
        <v>7.1449999999999996</v>
      </c>
      <c r="O101">
        <v>154.5</v>
      </c>
      <c r="P101">
        <v>11.46</v>
      </c>
      <c r="Q101">
        <v>17395</v>
      </c>
      <c r="R101">
        <v>0.43319999999999997</v>
      </c>
      <c r="S101">
        <v>132.5</v>
      </c>
      <c r="T101">
        <v>9.1999999999999993</v>
      </c>
      <c r="U101">
        <v>12.55</v>
      </c>
      <c r="V101" s="6"/>
      <c r="W101" s="3">
        <v>45905</v>
      </c>
      <c r="X101">
        <v>2465</v>
      </c>
      <c r="Y101">
        <v>610</v>
      </c>
      <c r="Z101">
        <v>82.32</v>
      </c>
      <c r="AA101">
        <v>5.1719999999999997</v>
      </c>
      <c r="AB101">
        <v>577.4</v>
      </c>
      <c r="AC101">
        <v>153</v>
      </c>
      <c r="AD101">
        <v>108.2</v>
      </c>
      <c r="AE101">
        <v>3504</v>
      </c>
      <c r="AF101">
        <v>185</v>
      </c>
      <c r="AG101">
        <v>5538</v>
      </c>
      <c r="AH101">
        <v>3242</v>
      </c>
      <c r="AI101">
        <v>274.2</v>
      </c>
      <c r="AJ101">
        <v>60.8</v>
      </c>
      <c r="AK101">
        <v>38.159999999999997</v>
      </c>
      <c r="AL101">
        <v>75.7</v>
      </c>
      <c r="AM101">
        <v>1213.5</v>
      </c>
      <c r="AN101">
        <v>465.4</v>
      </c>
      <c r="AO101">
        <v>7195</v>
      </c>
      <c r="AP101">
        <v>81.78</v>
      </c>
      <c r="AQ101">
        <v>113.6613045</v>
      </c>
      <c r="AR101" cm="1">
        <f t="array" ref="AR101">SUMPRODUCT($B$162:$U$162,(B101:U101)/($B$11:$U$11))</f>
        <v>28802.624265284689</v>
      </c>
      <c r="AS101">
        <f t="shared" si="10"/>
        <v>-0.769414113201492</v>
      </c>
      <c r="AT101">
        <f t="shared" si="11"/>
        <v>-2.6712620108781948E-5</v>
      </c>
      <c r="AU101" cm="1">
        <f t="array" ref="AU101">SUMPRODUCT($X$162:$AQ$162,(X101:AQ101)/($X$11:$AQ$11))</f>
        <v>24712.247362503393</v>
      </c>
      <c r="AV101">
        <f t="shared" si="12"/>
        <v>218.51155271746029</v>
      </c>
      <c r="AW101">
        <f t="shared" si="13"/>
        <v>-218.51155271746029</v>
      </c>
      <c r="AX101">
        <f t="shared" si="14"/>
        <v>-219.28096683066178</v>
      </c>
    </row>
    <row r="102" spans="1:50" x14ac:dyDescent="0.2">
      <c r="A102" s="3">
        <v>45908</v>
      </c>
      <c r="B102">
        <v>1092.5</v>
      </c>
      <c r="C102">
        <v>89.5</v>
      </c>
      <c r="D102">
        <v>3.2450000000000001</v>
      </c>
      <c r="E102">
        <v>11.95</v>
      </c>
      <c r="F102">
        <v>72.86</v>
      </c>
      <c r="G102">
        <v>8.8160000000000007</v>
      </c>
      <c r="H102">
        <v>33.32</v>
      </c>
      <c r="I102">
        <v>69.75</v>
      </c>
      <c r="J102">
        <v>48.02</v>
      </c>
      <c r="K102">
        <v>359</v>
      </c>
      <c r="L102">
        <v>82.22</v>
      </c>
      <c r="M102">
        <v>87.6</v>
      </c>
      <c r="N102">
        <v>7.29</v>
      </c>
      <c r="O102">
        <v>154.19999999999999</v>
      </c>
      <c r="P102">
        <v>11.81</v>
      </c>
      <c r="Q102">
        <v>17690</v>
      </c>
      <c r="R102">
        <v>0.43959999999999999</v>
      </c>
      <c r="S102">
        <v>133.55000000000001</v>
      </c>
      <c r="T102">
        <v>9.26</v>
      </c>
      <c r="U102">
        <v>12.56</v>
      </c>
      <c r="V102" s="6"/>
      <c r="W102" s="3">
        <v>45908</v>
      </c>
      <c r="X102">
        <v>2525</v>
      </c>
      <c r="Y102">
        <v>613</v>
      </c>
      <c r="Z102">
        <v>82.92</v>
      </c>
      <c r="AA102">
        <v>5.1420000000000003</v>
      </c>
      <c r="AB102">
        <v>570.20000000000005</v>
      </c>
      <c r="AC102">
        <v>155.30000000000001</v>
      </c>
      <c r="AD102">
        <v>110.05</v>
      </c>
      <c r="AE102">
        <v>3497</v>
      </c>
      <c r="AF102">
        <v>185.2</v>
      </c>
      <c r="AG102">
        <v>5592</v>
      </c>
      <c r="AH102">
        <v>3284</v>
      </c>
      <c r="AI102">
        <v>270.10000000000002</v>
      </c>
      <c r="AJ102">
        <v>60.8</v>
      </c>
      <c r="AK102">
        <v>38.340000000000003</v>
      </c>
      <c r="AL102">
        <v>75.75</v>
      </c>
      <c r="AM102">
        <v>1210</v>
      </c>
      <c r="AN102">
        <v>460</v>
      </c>
      <c r="AO102">
        <v>7220</v>
      </c>
      <c r="AP102">
        <v>82.96</v>
      </c>
      <c r="AQ102">
        <v>112.6608627</v>
      </c>
      <c r="AR102" cm="1">
        <f t="array" ref="AR102">SUMPRODUCT($B$162:$U$162,(B102:U102)/($B$11:$U$11))</f>
        <v>29142.34477120153</v>
      </c>
      <c r="AS102">
        <f t="shared" si="10"/>
        <v>339.72050591684092</v>
      </c>
      <c r="AT102">
        <f t="shared" si="11"/>
        <v>1.1794776156084597E-2</v>
      </c>
      <c r="AU102" cm="1">
        <f t="array" ref="AU102">SUMPRODUCT($X$162:$AQ$162,(X102:AQ102)/($X$11:$AQ$11))</f>
        <v>24809.554310666943</v>
      </c>
      <c r="AV102">
        <f t="shared" si="12"/>
        <v>97.30694816355026</v>
      </c>
      <c r="AW102">
        <f t="shared" si="13"/>
        <v>-97.30694816355026</v>
      </c>
      <c r="AX102">
        <f t="shared" si="14"/>
        <v>242.41355775329066</v>
      </c>
    </row>
    <row r="103" spans="1:50" x14ac:dyDescent="0.2">
      <c r="A103" s="3">
        <v>45909</v>
      </c>
      <c r="B103">
        <v>1087</v>
      </c>
      <c r="C103">
        <v>90.98</v>
      </c>
      <c r="D103">
        <v>3.302</v>
      </c>
      <c r="E103">
        <v>12.21</v>
      </c>
      <c r="F103">
        <v>72.180000000000007</v>
      </c>
      <c r="G103">
        <v>9.0239999999999991</v>
      </c>
      <c r="H103">
        <v>33.159999999999997</v>
      </c>
      <c r="I103">
        <v>69.599999999999994</v>
      </c>
      <c r="J103">
        <v>48.45</v>
      </c>
      <c r="K103">
        <v>360.1</v>
      </c>
      <c r="L103">
        <v>81.62</v>
      </c>
      <c r="M103">
        <v>87.3</v>
      </c>
      <c r="N103">
        <v>7.41</v>
      </c>
      <c r="O103">
        <v>154.15</v>
      </c>
      <c r="P103">
        <v>11.4</v>
      </c>
      <c r="Q103">
        <v>17495</v>
      </c>
      <c r="R103">
        <v>0.44629999999999997</v>
      </c>
      <c r="S103">
        <v>134.25</v>
      </c>
      <c r="T103">
        <v>9.11</v>
      </c>
      <c r="U103">
        <v>12.41</v>
      </c>
      <c r="V103" s="6"/>
      <c r="W103" s="3">
        <v>45909</v>
      </c>
      <c r="X103">
        <v>2529</v>
      </c>
      <c r="Y103">
        <v>613</v>
      </c>
      <c r="Z103">
        <v>82.56</v>
      </c>
      <c r="AA103">
        <v>5.1139999999999999</v>
      </c>
      <c r="AB103">
        <v>568.4</v>
      </c>
      <c r="AC103">
        <v>156</v>
      </c>
      <c r="AD103">
        <v>109.15</v>
      </c>
      <c r="AE103">
        <v>3529</v>
      </c>
      <c r="AF103">
        <v>185.2</v>
      </c>
      <c r="AG103">
        <v>5474</v>
      </c>
      <c r="AH103">
        <v>3252</v>
      </c>
      <c r="AI103">
        <v>269.7</v>
      </c>
      <c r="AJ103">
        <v>61</v>
      </c>
      <c r="AK103">
        <v>37.5</v>
      </c>
      <c r="AL103">
        <v>75.7</v>
      </c>
      <c r="AM103">
        <v>1232</v>
      </c>
      <c r="AN103">
        <v>461.6</v>
      </c>
      <c r="AO103">
        <v>7110</v>
      </c>
      <c r="AP103">
        <v>83.02</v>
      </c>
      <c r="AQ103">
        <v>112.827603</v>
      </c>
      <c r="AR103" cm="1">
        <f t="array" ref="AR103">SUMPRODUCT($B$162:$U$162,(B103:U103)/($B$11:$U$11))</f>
        <v>29266.000489139627</v>
      </c>
      <c r="AS103">
        <f t="shared" si="10"/>
        <v>123.65571793809795</v>
      </c>
      <c r="AT103">
        <f t="shared" si="11"/>
        <v>4.2431629612829092E-3</v>
      </c>
      <c r="AU103" cm="1">
        <f t="array" ref="AU103">SUMPRODUCT($X$162:$AQ$162,(X103:AQ103)/($X$11:$AQ$11))</f>
        <v>24748.113726752887</v>
      </c>
      <c r="AV103">
        <f t="shared" si="12"/>
        <v>-61.440583914056333</v>
      </c>
      <c r="AW103">
        <f t="shared" si="13"/>
        <v>61.440583914056333</v>
      </c>
      <c r="AX103">
        <f t="shared" si="14"/>
        <v>185.09630185215428</v>
      </c>
    </row>
    <row r="104" spans="1:50" x14ac:dyDescent="0.2">
      <c r="A104" s="3">
        <v>45910</v>
      </c>
      <c r="B104">
        <v>1099.5</v>
      </c>
      <c r="C104">
        <v>95.14</v>
      </c>
      <c r="D104">
        <v>3.3639999999999999</v>
      </c>
      <c r="E104">
        <v>12.22</v>
      </c>
      <c r="F104">
        <v>71.16</v>
      </c>
      <c r="G104">
        <v>9.1300000000000008</v>
      </c>
      <c r="H104">
        <v>33.24</v>
      </c>
      <c r="I104">
        <v>70.900000000000006</v>
      </c>
      <c r="J104">
        <v>48.2</v>
      </c>
      <c r="K104">
        <v>365</v>
      </c>
      <c r="L104">
        <v>80.14</v>
      </c>
      <c r="M104">
        <v>87.42</v>
      </c>
      <c r="N104">
        <v>7.5549999999999997</v>
      </c>
      <c r="O104">
        <v>156.69999999999999</v>
      </c>
      <c r="P104">
        <v>11.1</v>
      </c>
      <c r="Q104">
        <v>17730</v>
      </c>
      <c r="R104">
        <v>0.43740000000000001</v>
      </c>
      <c r="S104">
        <v>133.5</v>
      </c>
      <c r="T104">
        <v>8.83</v>
      </c>
      <c r="U104">
        <v>11.93</v>
      </c>
      <c r="V104" s="6"/>
      <c r="W104" s="3">
        <v>45910</v>
      </c>
      <c r="X104">
        <v>2505</v>
      </c>
      <c r="Y104">
        <v>608</v>
      </c>
      <c r="Z104">
        <v>80.819999999999993</v>
      </c>
      <c r="AA104">
        <v>5.1059999999999999</v>
      </c>
      <c r="AB104">
        <v>556.6</v>
      </c>
      <c r="AC104">
        <v>149.5</v>
      </c>
      <c r="AD104">
        <v>105.5</v>
      </c>
      <c r="AE104">
        <v>3405</v>
      </c>
      <c r="AF104">
        <v>184.6</v>
      </c>
      <c r="AG104">
        <v>5420</v>
      </c>
      <c r="AH104">
        <v>3296</v>
      </c>
      <c r="AI104">
        <v>266.10000000000002</v>
      </c>
      <c r="AJ104">
        <v>60.5</v>
      </c>
      <c r="AK104">
        <v>37.229999999999997</v>
      </c>
      <c r="AL104">
        <v>75.599999999999994</v>
      </c>
      <c r="AM104">
        <v>1253</v>
      </c>
      <c r="AN104">
        <v>461</v>
      </c>
      <c r="AO104">
        <v>7105</v>
      </c>
      <c r="AP104">
        <v>83.4</v>
      </c>
      <c r="AQ104">
        <v>113.4389841</v>
      </c>
      <c r="AR104" cm="1">
        <f t="array" ref="AR104">SUMPRODUCT($B$162:$U$162,(B104:U104)/($B$11:$U$11))</f>
        <v>29489.927740296549</v>
      </c>
      <c r="AS104">
        <f t="shared" si="10"/>
        <v>223.92725115692156</v>
      </c>
      <c r="AT104">
        <f t="shared" si="11"/>
        <v>7.6514469833355303E-3</v>
      </c>
      <c r="AU104" cm="1">
        <f t="array" ref="AU104">SUMPRODUCT($X$162:$AQ$162,(X104:AQ104)/($X$11:$AQ$11))</f>
        <v>24539.504339829495</v>
      </c>
      <c r="AV104">
        <f t="shared" si="12"/>
        <v>-208.60938692339187</v>
      </c>
      <c r="AW104">
        <f t="shared" si="13"/>
        <v>208.60938692339187</v>
      </c>
      <c r="AX104">
        <f t="shared" si="14"/>
        <v>432.53663808031342</v>
      </c>
    </row>
    <row r="105" spans="1:50" x14ac:dyDescent="0.2">
      <c r="A105" s="3">
        <v>45911</v>
      </c>
      <c r="B105">
        <v>1123.5</v>
      </c>
      <c r="C105">
        <v>94.06</v>
      </c>
      <c r="D105">
        <v>3.3580000000000001</v>
      </c>
      <c r="E105">
        <v>12.305</v>
      </c>
      <c r="F105">
        <v>72.599999999999994</v>
      </c>
      <c r="G105">
        <v>9.2439999999999998</v>
      </c>
      <c r="H105">
        <v>33.340000000000003</v>
      </c>
      <c r="I105">
        <v>71.150000000000006</v>
      </c>
      <c r="J105">
        <v>48.25</v>
      </c>
      <c r="K105">
        <v>364.1</v>
      </c>
      <c r="L105">
        <v>80.98</v>
      </c>
      <c r="M105">
        <v>88.34</v>
      </c>
      <c r="N105">
        <v>7.4850000000000003</v>
      </c>
      <c r="O105">
        <v>157</v>
      </c>
      <c r="P105">
        <v>11.12</v>
      </c>
      <c r="Q105">
        <v>18300</v>
      </c>
      <c r="R105">
        <v>0.44230000000000003</v>
      </c>
      <c r="S105">
        <v>133.85</v>
      </c>
      <c r="T105">
        <v>8.6950000000000003</v>
      </c>
      <c r="U105">
        <v>11.8</v>
      </c>
      <c r="V105" s="6"/>
      <c r="W105" s="3">
        <v>45911</v>
      </c>
      <c r="X105">
        <v>2517</v>
      </c>
      <c r="Y105">
        <v>604</v>
      </c>
      <c r="Z105">
        <v>81.16</v>
      </c>
      <c r="AA105">
        <v>5.1159999999999997</v>
      </c>
      <c r="AB105">
        <v>558.4</v>
      </c>
      <c r="AC105">
        <v>152.1</v>
      </c>
      <c r="AD105">
        <v>106.8</v>
      </c>
      <c r="AE105">
        <v>3421</v>
      </c>
      <c r="AF105">
        <v>184</v>
      </c>
      <c r="AG105">
        <v>5392</v>
      </c>
      <c r="AH105">
        <v>3332</v>
      </c>
      <c r="AI105">
        <v>268.39999999999998</v>
      </c>
      <c r="AJ105">
        <v>60.3</v>
      </c>
      <c r="AK105">
        <v>36.81</v>
      </c>
      <c r="AL105">
        <v>76.05</v>
      </c>
      <c r="AM105">
        <v>1256</v>
      </c>
      <c r="AN105">
        <v>464.8</v>
      </c>
      <c r="AO105">
        <v>7050</v>
      </c>
      <c r="AP105">
        <v>82.96</v>
      </c>
      <c r="AQ105">
        <v>112.5497025</v>
      </c>
      <c r="AR105" cm="1">
        <f t="array" ref="AR105">SUMPRODUCT($B$162:$U$162,(B105:U105)/($B$11:$U$11))</f>
        <v>29627.070085044455</v>
      </c>
      <c r="AS105">
        <f t="shared" si="10"/>
        <v>137.14234474790646</v>
      </c>
      <c r="AT105">
        <f t="shared" si="11"/>
        <v>4.6504808677612086E-3</v>
      </c>
      <c r="AU105" cm="1">
        <f t="array" ref="AU105">SUMPRODUCT($X$162:$AQ$162,(X105:AQ105)/($X$11:$AQ$11))</f>
        <v>24571.942842050459</v>
      </c>
      <c r="AV105">
        <f t="shared" si="12"/>
        <v>32.438502220964438</v>
      </c>
      <c r="AW105">
        <f t="shared" si="13"/>
        <v>-32.438502220964438</v>
      </c>
      <c r="AX105">
        <f t="shared" si="14"/>
        <v>104.70384252694203</v>
      </c>
    </row>
    <row r="106" spans="1:50" x14ac:dyDescent="0.2">
      <c r="A106" s="3">
        <v>45912</v>
      </c>
      <c r="B106">
        <v>1130</v>
      </c>
      <c r="C106">
        <v>93.16</v>
      </c>
      <c r="D106">
        <v>3.3820000000000001</v>
      </c>
      <c r="E106">
        <v>12.56</v>
      </c>
      <c r="F106">
        <v>71.88</v>
      </c>
      <c r="G106">
        <v>9.3339999999999996</v>
      </c>
      <c r="H106">
        <v>33.6</v>
      </c>
      <c r="I106">
        <v>72.2</v>
      </c>
      <c r="J106">
        <v>47.86</v>
      </c>
      <c r="K106">
        <v>361.9</v>
      </c>
      <c r="L106">
        <v>80.48</v>
      </c>
      <c r="M106">
        <v>89.34</v>
      </c>
      <c r="N106">
        <v>7.53</v>
      </c>
      <c r="O106">
        <v>160.35</v>
      </c>
      <c r="P106">
        <v>10.99</v>
      </c>
      <c r="Q106">
        <v>18190</v>
      </c>
      <c r="R106">
        <v>0.44259999999999999</v>
      </c>
      <c r="S106">
        <v>139.15</v>
      </c>
      <c r="T106">
        <v>8.85</v>
      </c>
      <c r="U106">
        <v>11.87</v>
      </c>
      <c r="V106" s="6"/>
      <c r="W106" s="3">
        <v>45912</v>
      </c>
      <c r="X106">
        <v>2498</v>
      </c>
      <c r="Y106">
        <v>601.5</v>
      </c>
      <c r="Z106">
        <v>80.260000000000005</v>
      </c>
      <c r="AA106">
        <v>5.14</v>
      </c>
      <c r="AB106">
        <v>547.6</v>
      </c>
      <c r="AC106">
        <v>148.69999999999999</v>
      </c>
      <c r="AD106">
        <v>112.3</v>
      </c>
      <c r="AE106">
        <v>3411</v>
      </c>
      <c r="AF106">
        <v>185.6</v>
      </c>
      <c r="AG106">
        <v>5314</v>
      </c>
      <c r="AH106">
        <v>3306</v>
      </c>
      <c r="AI106">
        <v>264.5</v>
      </c>
      <c r="AJ106">
        <v>60.4</v>
      </c>
      <c r="AK106">
        <v>36.369999999999997</v>
      </c>
      <c r="AL106">
        <v>76</v>
      </c>
      <c r="AM106">
        <v>1251</v>
      </c>
      <c r="AN106">
        <v>469.6</v>
      </c>
      <c r="AO106">
        <v>6970</v>
      </c>
      <c r="AP106">
        <v>83.08</v>
      </c>
      <c r="AQ106">
        <v>111.3269403</v>
      </c>
      <c r="AR106" cm="1">
        <f t="array" ref="AR106">SUMPRODUCT($B$162:$U$162,(B106:U106)/($B$11:$U$11))</f>
        <v>29774.023707619464</v>
      </c>
      <c r="AS106">
        <f t="shared" si="10"/>
        <v>146.95362257500892</v>
      </c>
      <c r="AT106">
        <f t="shared" si="11"/>
        <v>4.9601132394523351E-3</v>
      </c>
      <c r="AU106" cm="1">
        <f t="array" ref="AU106">SUMPRODUCT($X$162:$AQ$162,(X106:AQ106)/($X$11:$AQ$11))</f>
        <v>24459.91092351851</v>
      </c>
      <c r="AV106">
        <f t="shared" si="12"/>
        <v>-112.03191853194949</v>
      </c>
      <c r="AW106">
        <f t="shared" si="13"/>
        <v>112.03191853194949</v>
      </c>
      <c r="AX106">
        <f t="shared" si="14"/>
        <v>258.98554110695841</v>
      </c>
    </row>
    <row r="107" spans="1:50" x14ac:dyDescent="0.2">
      <c r="A107" s="3">
        <v>45915</v>
      </c>
      <c r="B107">
        <v>1145.5</v>
      </c>
      <c r="C107">
        <v>95.74</v>
      </c>
      <c r="D107">
        <v>3.3460000000000001</v>
      </c>
      <c r="E107">
        <v>12.755000000000001</v>
      </c>
      <c r="F107">
        <v>71.819999999999993</v>
      </c>
      <c r="G107">
        <v>9.5060000000000002</v>
      </c>
      <c r="H107">
        <v>33.44</v>
      </c>
      <c r="I107">
        <v>72.099999999999994</v>
      </c>
      <c r="J107">
        <v>46.75</v>
      </c>
      <c r="K107">
        <v>356.7</v>
      </c>
      <c r="L107">
        <v>79.66</v>
      </c>
      <c r="M107">
        <v>90.18</v>
      </c>
      <c r="N107">
        <v>7.6</v>
      </c>
      <c r="O107">
        <v>166.9</v>
      </c>
      <c r="P107">
        <v>10.82</v>
      </c>
      <c r="Q107">
        <v>18315</v>
      </c>
      <c r="R107">
        <v>0.44669999999999999</v>
      </c>
      <c r="S107">
        <v>141</v>
      </c>
      <c r="T107">
        <v>8.7949999999999999</v>
      </c>
      <c r="U107">
        <v>11.99</v>
      </c>
      <c r="V107" s="6"/>
      <c r="W107" s="3">
        <v>45915</v>
      </c>
      <c r="X107">
        <v>2517</v>
      </c>
      <c r="Y107">
        <v>593.5</v>
      </c>
      <c r="Z107">
        <v>79.12</v>
      </c>
      <c r="AA107">
        <v>5.1059999999999999</v>
      </c>
      <c r="AB107">
        <v>547.20000000000005</v>
      </c>
      <c r="AC107">
        <v>150</v>
      </c>
      <c r="AD107">
        <v>110.6</v>
      </c>
      <c r="AE107">
        <v>3394</v>
      </c>
      <c r="AF107">
        <v>185.4</v>
      </c>
      <c r="AG107">
        <v>5332</v>
      </c>
      <c r="AH107">
        <v>3328</v>
      </c>
      <c r="AI107">
        <v>260.39999999999998</v>
      </c>
      <c r="AJ107">
        <v>59.5</v>
      </c>
      <c r="AK107">
        <v>36.17</v>
      </c>
      <c r="AL107">
        <v>75.150000000000006</v>
      </c>
      <c r="AM107">
        <v>1267</v>
      </c>
      <c r="AN107">
        <v>471</v>
      </c>
      <c r="AO107">
        <v>6955</v>
      </c>
      <c r="AP107">
        <v>83.16</v>
      </c>
      <c r="AQ107">
        <v>110.13196815000001</v>
      </c>
      <c r="AR107" cm="1">
        <f t="array" ref="AR107">SUMPRODUCT($B$162:$U$162,(B107:U107)/($B$11:$U$11))</f>
        <v>29968.584692565681</v>
      </c>
      <c r="AS107">
        <f t="shared" si="10"/>
        <v>194.56098494621619</v>
      </c>
      <c r="AT107">
        <f t="shared" si="11"/>
        <v>6.5345882322389581E-3</v>
      </c>
      <c r="AU107" cm="1">
        <f t="array" ref="AU107">SUMPRODUCT($X$162:$AQ$162,(X107:AQ107)/($X$11:$AQ$11))</f>
        <v>24371.917559086014</v>
      </c>
      <c r="AV107">
        <f t="shared" si="12"/>
        <v>-87.993364432495582</v>
      </c>
      <c r="AW107">
        <f t="shared" si="13"/>
        <v>87.993364432495582</v>
      </c>
      <c r="AX107">
        <f t="shared" si="14"/>
        <v>282.55434937871178</v>
      </c>
    </row>
    <row r="108" spans="1:50" x14ac:dyDescent="0.2">
      <c r="A108" s="3">
        <v>45916</v>
      </c>
      <c r="B108">
        <v>1130.5</v>
      </c>
      <c r="C108">
        <v>94.04</v>
      </c>
      <c r="D108">
        <v>3.2610000000000001</v>
      </c>
      <c r="E108">
        <v>12.79</v>
      </c>
      <c r="F108">
        <v>70.540000000000006</v>
      </c>
      <c r="G108">
        <v>9.36</v>
      </c>
      <c r="H108">
        <v>32.799999999999997</v>
      </c>
      <c r="I108">
        <v>70.650000000000006</v>
      </c>
      <c r="J108">
        <v>46.94</v>
      </c>
      <c r="K108">
        <v>339.7</v>
      </c>
      <c r="L108">
        <v>78.22</v>
      </c>
      <c r="M108">
        <v>89.16</v>
      </c>
      <c r="N108">
        <v>7.45</v>
      </c>
      <c r="O108">
        <v>163.35</v>
      </c>
      <c r="P108">
        <v>10.83</v>
      </c>
      <c r="Q108">
        <v>18100</v>
      </c>
      <c r="R108">
        <v>0.44209999999999999</v>
      </c>
      <c r="S108">
        <v>139.35</v>
      </c>
      <c r="T108">
        <v>8.2750000000000004</v>
      </c>
      <c r="U108">
        <v>12.18</v>
      </c>
      <c r="V108" s="6"/>
      <c r="W108" s="3">
        <v>45916</v>
      </c>
      <c r="X108">
        <v>2556</v>
      </c>
      <c r="Y108">
        <v>583</v>
      </c>
      <c r="Z108">
        <v>77.52</v>
      </c>
      <c r="AA108">
        <v>5.0659999999999998</v>
      </c>
      <c r="AB108">
        <v>548.79999999999995</v>
      </c>
      <c r="AC108">
        <v>153</v>
      </c>
      <c r="AD108">
        <v>110.35</v>
      </c>
      <c r="AE108">
        <v>3356</v>
      </c>
      <c r="AF108">
        <v>182.8</v>
      </c>
      <c r="AG108">
        <v>5372</v>
      </c>
      <c r="AH108">
        <v>3286</v>
      </c>
      <c r="AI108">
        <v>258.39999999999998</v>
      </c>
      <c r="AJ108">
        <v>59.2</v>
      </c>
      <c r="AK108">
        <v>35.729999999999997</v>
      </c>
      <c r="AL108">
        <v>74.3</v>
      </c>
      <c r="AM108">
        <v>1238.5</v>
      </c>
      <c r="AN108">
        <v>461</v>
      </c>
      <c r="AO108">
        <v>6865</v>
      </c>
      <c r="AP108">
        <v>80.72</v>
      </c>
      <c r="AQ108">
        <v>106.2135711</v>
      </c>
      <c r="AR108" cm="1">
        <f t="array" ref="AR108">SUMPRODUCT($B$162:$U$162,(B108:U108)/($B$11:$U$11))</f>
        <v>29505.837285270642</v>
      </c>
      <c r="AS108">
        <f t="shared" si="10"/>
        <v>-462.74740729503901</v>
      </c>
      <c r="AT108">
        <f t="shared" si="11"/>
        <v>-1.5441083122281429E-2</v>
      </c>
      <c r="AU108" cm="1">
        <f t="array" ref="AU108">SUMPRODUCT($X$162:$AQ$162,(X108:AQ108)/($X$11:$AQ$11))</f>
        <v>24141.240634771737</v>
      </c>
      <c r="AV108">
        <f t="shared" si="12"/>
        <v>-230.67692431427713</v>
      </c>
      <c r="AW108">
        <f t="shared" si="13"/>
        <v>230.67692431427713</v>
      </c>
      <c r="AX108">
        <f t="shared" si="14"/>
        <v>-232.07048298076188</v>
      </c>
    </row>
    <row r="109" spans="1:50" x14ac:dyDescent="0.2">
      <c r="A109" s="3">
        <v>45917</v>
      </c>
      <c r="B109">
        <v>1116</v>
      </c>
      <c r="C109">
        <v>92</v>
      </c>
      <c r="D109">
        <v>3.1840000000000002</v>
      </c>
      <c r="E109">
        <v>12.61</v>
      </c>
      <c r="F109">
        <v>69.98</v>
      </c>
      <c r="G109">
        <v>9.2360000000000007</v>
      </c>
      <c r="H109">
        <v>32.78</v>
      </c>
      <c r="I109">
        <v>69.7</v>
      </c>
      <c r="J109">
        <v>47.89</v>
      </c>
      <c r="K109">
        <v>341.9</v>
      </c>
      <c r="L109">
        <v>76.3</v>
      </c>
      <c r="M109">
        <v>88.48</v>
      </c>
      <c r="N109">
        <v>7.49</v>
      </c>
      <c r="O109">
        <v>169.2</v>
      </c>
      <c r="P109">
        <v>10.91</v>
      </c>
      <c r="Q109">
        <v>18250</v>
      </c>
      <c r="R109">
        <v>0.4491</v>
      </c>
      <c r="S109">
        <v>135.25</v>
      </c>
      <c r="T109">
        <v>8.3049999999999997</v>
      </c>
      <c r="U109">
        <v>12.22</v>
      </c>
      <c r="V109" s="6"/>
      <c r="W109" s="3">
        <v>45917</v>
      </c>
      <c r="X109">
        <v>2580</v>
      </c>
      <c r="Y109">
        <v>576</v>
      </c>
      <c r="Z109">
        <v>77.28</v>
      </c>
      <c r="AA109">
        <v>5.0460000000000003</v>
      </c>
      <c r="AB109">
        <v>545.79999999999995</v>
      </c>
      <c r="AC109">
        <v>154</v>
      </c>
      <c r="AD109">
        <v>109.95</v>
      </c>
      <c r="AE109">
        <v>3303</v>
      </c>
      <c r="AF109">
        <v>182.6</v>
      </c>
      <c r="AG109">
        <v>5380</v>
      </c>
      <c r="AH109">
        <v>3272</v>
      </c>
      <c r="AI109">
        <v>260.39999999999998</v>
      </c>
      <c r="AJ109">
        <v>58.8</v>
      </c>
      <c r="AK109">
        <v>36.14</v>
      </c>
      <c r="AL109">
        <v>75</v>
      </c>
      <c r="AM109">
        <v>1250</v>
      </c>
      <c r="AN109">
        <v>466.4</v>
      </c>
      <c r="AO109">
        <v>6950</v>
      </c>
      <c r="AP109">
        <v>81.739999999999995</v>
      </c>
      <c r="AQ109">
        <v>106.5</v>
      </c>
      <c r="AR109" cm="1">
        <f t="array" ref="AR109">SUMPRODUCT($B$162:$U$162,(B109:U109)/($B$11:$U$11))</f>
        <v>29291.441066289575</v>
      </c>
      <c r="AS109">
        <f t="shared" si="10"/>
        <v>-214.39621898106634</v>
      </c>
      <c r="AT109">
        <f t="shared" si="11"/>
        <v>-7.2662306413548983E-3</v>
      </c>
      <c r="AU109" cm="1">
        <f t="array" ref="AU109">SUMPRODUCT($X$162:$AQ$162,(X109:AQ109)/($X$11:$AQ$11))</f>
        <v>24175.386391867341</v>
      </c>
      <c r="AV109">
        <f t="shared" si="12"/>
        <v>34.145757095604495</v>
      </c>
      <c r="AW109">
        <f t="shared" si="13"/>
        <v>-34.145757095604495</v>
      </c>
      <c r="AX109">
        <f t="shared" si="14"/>
        <v>-248.54197607667084</v>
      </c>
    </row>
    <row r="110" spans="1:50" x14ac:dyDescent="0.2">
      <c r="A110" s="3">
        <v>45918</v>
      </c>
      <c r="B110">
        <v>1129.5</v>
      </c>
      <c r="C110">
        <v>95.18</v>
      </c>
      <c r="D110">
        <v>3.2229999999999999</v>
      </c>
      <c r="E110">
        <v>12.78</v>
      </c>
      <c r="F110">
        <v>69.92</v>
      </c>
      <c r="G110">
        <v>9.2919999999999998</v>
      </c>
      <c r="H110">
        <v>32.799999999999997</v>
      </c>
      <c r="I110">
        <v>70.900000000000006</v>
      </c>
      <c r="J110">
        <v>47.34</v>
      </c>
      <c r="K110">
        <v>340.1</v>
      </c>
      <c r="L110">
        <v>75</v>
      </c>
      <c r="M110">
        <v>87.9</v>
      </c>
      <c r="N110">
        <v>7.55</v>
      </c>
      <c r="O110">
        <v>166.9</v>
      </c>
      <c r="P110">
        <v>11.17</v>
      </c>
      <c r="Q110">
        <v>18110</v>
      </c>
      <c r="R110">
        <v>0.44359999999999999</v>
      </c>
      <c r="S110">
        <v>134.44999999999999</v>
      </c>
      <c r="T110">
        <v>8.5449999999999999</v>
      </c>
      <c r="U110">
        <v>12.26</v>
      </c>
      <c r="V110" s="6"/>
      <c r="W110" s="3">
        <v>45918</v>
      </c>
      <c r="X110">
        <v>2701</v>
      </c>
      <c r="Y110">
        <v>575.5</v>
      </c>
      <c r="Z110">
        <v>78.180000000000007</v>
      </c>
      <c r="AA110">
        <v>5.0179999999999998</v>
      </c>
      <c r="AB110">
        <v>543.79999999999995</v>
      </c>
      <c r="AC110">
        <v>155</v>
      </c>
      <c r="AD110">
        <v>116.5</v>
      </c>
      <c r="AE110">
        <v>3320</v>
      </c>
      <c r="AF110">
        <v>182.2</v>
      </c>
      <c r="AG110">
        <v>5362</v>
      </c>
      <c r="AH110">
        <v>3382</v>
      </c>
      <c r="AI110">
        <v>261.5</v>
      </c>
      <c r="AJ110">
        <v>58.7</v>
      </c>
      <c r="AK110">
        <v>37.229999999999997</v>
      </c>
      <c r="AL110">
        <v>74.900000000000006</v>
      </c>
      <c r="AM110">
        <v>1259.5</v>
      </c>
      <c r="AN110">
        <v>462</v>
      </c>
      <c r="AO110">
        <v>7075</v>
      </c>
      <c r="AP110">
        <v>84.38</v>
      </c>
      <c r="AQ110">
        <v>105.05</v>
      </c>
      <c r="AR110" cm="1">
        <f t="array" ref="AR110">SUMPRODUCT($B$162:$U$162,(B110:U110)/($B$11:$U$11))</f>
        <v>29511.064884511146</v>
      </c>
      <c r="AS110">
        <f t="shared" si="10"/>
        <v>219.62381822157113</v>
      </c>
      <c r="AT110">
        <f t="shared" si="11"/>
        <v>7.4978836897965362E-3</v>
      </c>
      <c r="AU110" cm="1">
        <f t="array" ref="AU110">SUMPRODUCT($X$162:$AQ$162,(X110:AQ110)/($X$11:$AQ$11))</f>
        <v>24448.457036609801</v>
      </c>
      <c r="AV110">
        <f t="shared" si="12"/>
        <v>273.07064474245999</v>
      </c>
      <c r="AW110">
        <f t="shared" si="13"/>
        <v>-273.07064474245999</v>
      </c>
      <c r="AX110">
        <f t="shared" si="14"/>
        <v>-53.446826520888862</v>
      </c>
    </row>
    <row r="111" spans="1:50" x14ac:dyDescent="0.2">
      <c r="A111" s="3">
        <v>45919</v>
      </c>
      <c r="B111">
        <v>1150</v>
      </c>
      <c r="C111">
        <v>95.24</v>
      </c>
      <c r="D111">
        <v>3.339</v>
      </c>
      <c r="E111">
        <v>12.675000000000001</v>
      </c>
      <c r="F111">
        <v>70.22</v>
      </c>
      <c r="G111">
        <v>9.4260000000000002</v>
      </c>
      <c r="H111">
        <v>33.020000000000003</v>
      </c>
      <c r="I111">
        <v>69.849999999999994</v>
      </c>
      <c r="J111">
        <v>47.67</v>
      </c>
      <c r="K111">
        <v>338.4</v>
      </c>
      <c r="L111">
        <v>74.459999999999994</v>
      </c>
      <c r="M111">
        <v>88.38</v>
      </c>
      <c r="N111">
        <v>7.6550000000000002</v>
      </c>
      <c r="O111">
        <v>167.8</v>
      </c>
      <c r="P111">
        <v>11.17</v>
      </c>
      <c r="Q111">
        <v>17870</v>
      </c>
      <c r="R111">
        <v>0.44219999999999998</v>
      </c>
      <c r="S111">
        <v>135.55000000000001</v>
      </c>
      <c r="T111">
        <v>8.5</v>
      </c>
      <c r="U111">
        <v>12.23</v>
      </c>
      <c r="V111" s="6"/>
      <c r="W111" s="3">
        <v>45919</v>
      </c>
      <c r="X111">
        <v>2711</v>
      </c>
      <c r="Y111">
        <v>578</v>
      </c>
      <c r="Z111">
        <v>75.72</v>
      </c>
      <c r="AA111">
        <v>5.05</v>
      </c>
      <c r="AB111">
        <v>543.20000000000005</v>
      </c>
      <c r="AC111">
        <v>156</v>
      </c>
      <c r="AD111">
        <v>114.1</v>
      </c>
      <c r="AE111">
        <v>3315</v>
      </c>
      <c r="AF111">
        <v>183.4</v>
      </c>
      <c r="AG111">
        <v>5234</v>
      </c>
      <c r="AH111">
        <v>3382</v>
      </c>
      <c r="AI111">
        <v>265.10000000000002</v>
      </c>
      <c r="AJ111">
        <v>59</v>
      </c>
      <c r="AK111">
        <v>37.049999999999997</v>
      </c>
      <c r="AL111">
        <v>74.900000000000006</v>
      </c>
      <c r="AM111">
        <v>1249.5</v>
      </c>
      <c r="AN111">
        <v>457.6</v>
      </c>
      <c r="AO111">
        <v>7010</v>
      </c>
      <c r="AP111">
        <v>85.24</v>
      </c>
      <c r="AQ111">
        <v>105.4</v>
      </c>
      <c r="AR111" cm="1">
        <f t="array" ref="AR111">SUMPRODUCT($B$162:$U$162,(B111:U111)/($B$11:$U$11))</f>
        <v>29694.252027749837</v>
      </c>
      <c r="AS111">
        <f t="shared" si="10"/>
        <v>183.18714323869062</v>
      </c>
      <c r="AT111">
        <f t="shared" si="11"/>
        <v>6.2074053903367066E-3</v>
      </c>
      <c r="AU111" cm="1">
        <f t="array" ref="AU111">SUMPRODUCT($X$162:$AQ$162,(X111:AQ111)/($X$11:$AQ$11))</f>
        <v>24374.542241438718</v>
      </c>
      <c r="AV111">
        <f t="shared" si="12"/>
        <v>-73.914795171083824</v>
      </c>
      <c r="AW111">
        <f t="shared" si="13"/>
        <v>73.914795171083824</v>
      </c>
      <c r="AX111">
        <f t="shared" si="14"/>
        <v>257.10193840977445</v>
      </c>
    </row>
    <row r="112" spans="1:50" x14ac:dyDescent="0.2">
      <c r="A112" s="3">
        <v>45922</v>
      </c>
      <c r="B112">
        <v>1149</v>
      </c>
      <c r="C112">
        <v>96.92</v>
      </c>
      <c r="D112">
        <v>3.2080000000000002</v>
      </c>
      <c r="E112">
        <v>12.7</v>
      </c>
      <c r="F112">
        <v>69.040000000000006</v>
      </c>
      <c r="G112">
        <v>9.4600000000000009</v>
      </c>
      <c r="H112">
        <v>32.96</v>
      </c>
      <c r="I112">
        <v>69.8</v>
      </c>
      <c r="J112">
        <v>48.14</v>
      </c>
      <c r="K112">
        <v>332.6</v>
      </c>
      <c r="L112">
        <v>73.94</v>
      </c>
      <c r="M112">
        <v>87.82</v>
      </c>
      <c r="N112">
        <v>7.5549999999999997</v>
      </c>
      <c r="O112">
        <v>167.85</v>
      </c>
      <c r="P112">
        <v>10.91</v>
      </c>
      <c r="Q112">
        <v>17935</v>
      </c>
      <c r="R112">
        <v>0.43790000000000001</v>
      </c>
      <c r="S112">
        <v>140.19999999999999</v>
      </c>
      <c r="T112">
        <v>8.6549999999999994</v>
      </c>
      <c r="U112">
        <v>12</v>
      </c>
      <c r="V112" s="6"/>
      <c r="W112" s="3">
        <v>45922</v>
      </c>
      <c r="X112">
        <v>2673</v>
      </c>
      <c r="Y112">
        <v>575.5</v>
      </c>
      <c r="Z112">
        <v>75.2</v>
      </c>
      <c r="AA112">
        <v>5.0380000000000003</v>
      </c>
      <c r="AB112">
        <v>540.79999999999995</v>
      </c>
      <c r="AC112">
        <v>152</v>
      </c>
      <c r="AD112">
        <v>113.55</v>
      </c>
      <c r="AE112">
        <v>3273</v>
      </c>
      <c r="AF112">
        <v>184.2</v>
      </c>
      <c r="AG112">
        <v>5192</v>
      </c>
      <c r="AH112">
        <v>3378</v>
      </c>
      <c r="AI112">
        <v>271.10000000000002</v>
      </c>
      <c r="AJ112">
        <v>59.1</v>
      </c>
      <c r="AK112">
        <v>36.770000000000003</v>
      </c>
      <c r="AL112">
        <v>75.05</v>
      </c>
      <c r="AM112">
        <v>1286</v>
      </c>
      <c r="AN112">
        <v>455.2</v>
      </c>
      <c r="AO112">
        <v>7005</v>
      </c>
      <c r="AP112">
        <v>85.52</v>
      </c>
      <c r="AQ112">
        <v>110.8</v>
      </c>
      <c r="AR112" cm="1">
        <f t="array" ref="AR112">SUMPRODUCT($B$162:$U$162,(B112:U112)/($B$11:$U$11))</f>
        <v>29590.880143347385</v>
      </c>
      <c r="AS112">
        <f t="shared" si="10"/>
        <v>-103.37188440245154</v>
      </c>
      <c r="AT112">
        <f t="shared" si="11"/>
        <v>-3.4812085620424815E-3</v>
      </c>
      <c r="AU112" cm="1">
        <f t="array" ref="AU112">SUMPRODUCT($X$162:$AQ$162,(X112:AQ112)/($X$11:$AQ$11))</f>
        <v>24357.400953320197</v>
      </c>
      <c r="AV112">
        <f t="shared" si="12"/>
        <v>-17.141288118520606</v>
      </c>
      <c r="AW112">
        <f t="shared" si="13"/>
        <v>17.141288118520606</v>
      </c>
      <c r="AX112">
        <f t="shared" si="14"/>
        <v>-86.230596283930936</v>
      </c>
    </row>
    <row r="113" spans="1:50" x14ac:dyDescent="0.2">
      <c r="A113" s="3">
        <v>45923</v>
      </c>
      <c r="B113">
        <v>1164</v>
      </c>
      <c r="C113">
        <v>96.46</v>
      </c>
      <c r="D113">
        <v>3.258</v>
      </c>
      <c r="E113">
        <v>12.46</v>
      </c>
      <c r="F113">
        <v>69.34</v>
      </c>
      <c r="G113">
        <v>9.4320000000000004</v>
      </c>
      <c r="H113">
        <v>32.799999999999997</v>
      </c>
      <c r="I113">
        <v>69.55</v>
      </c>
      <c r="J113">
        <v>47.73</v>
      </c>
      <c r="K113">
        <v>330.7</v>
      </c>
      <c r="L113">
        <v>72.959999999999994</v>
      </c>
      <c r="M113">
        <v>87.68</v>
      </c>
      <c r="N113">
        <v>7.5449999999999999</v>
      </c>
      <c r="O113">
        <v>167.6</v>
      </c>
      <c r="P113">
        <v>10.87</v>
      </c>
      <c r="Q113">
        <v>17835</v>
      </c>
      <c r="R113">
        <v>0.42959999999999998</v>
      </c>
      <c r="S113">
        <v>142.19999999999999</v>
      </c>
      <c r="T113">
        <v>8.77</v>
      </c>
      <c r="U113">
        <v>11.82</v>
      </c>
      <c r="V113" s="6"/>
      <c r="W113" s="3">
        <v>45923</v>
      </c>
      <c r="X113">
        <v>2707</v>
      </c>
      <c r="Y113">
        <v>575.5</v>
      </c>
      <c r="Z113">
        <v>75.680000000000007</v>
      </c>
      <c r="AA113">
        <v>5.0259999999999998</v>
      </c>
      <c r="AB113">
        <v>539</v>
      </c>
      <c r="AC113">
        <v>155.6</v>
      </c>
      <c r="AD113">
        <v>113.7</v>
      </c>
      <c r="AE113">
        <v>3269</v>
      </c>
      <c r="AF113">
        <v>183.2</v>
      </c>
      <c r="AG113">
        <v>5226</v>
      </c>
      <c r="AH113">
        <v>3386</v>
      </c>
      <c r="AI113">
        <v>265.2</v>
      </c>
      <c r="AJ113">
        <v>58.6</v>
      </c>
      <c r="AK113">
        <v>37.24</v>
      </c>
      <c r="AL113">
        <v>74.900000000000006</v>
      </c>
      <c r="AM113">
        <v>1253.5</v>
      </c>
      <c r="AN113">
        <v>457.8</v>
      </c>
      <c r="AO113">
        <v>7080</v>
      </c>
      <c r="AP113">
        <v>85.32</v>
      </c>
      <c r="AQ113">
        <v>115.2</v>
      </c>
      <c r="AR113" cm="1">
        <f t="array" ref="AR113">SUMPRODUCT($B$162:$U$162,(B113:U113)/($B$11:$U$11))</f>
        <v>29571.922473090537</v>
      </c>
      <c r="AS113">
        <f t="shared" si="10"/>
        <v>-18.95767025684836</v>
      </c>
      <c r="AT113">
        <f t="shared" si="11"/>
        <v>-6.40659222199913E-4</v>
      </c>
      <c r="AU113" cm="1">
        <f t="array" ref="AU113">SUMPRODUCT($X$162:$AQ$162,(X113:AQ113)/($X$11:$AQ$11))</f>
        <v>24412.215614560479</v>
      </c>
      <c r="AV113">
        <f t="shared" si="12"/>
        <v>54.814661240281566</v>
      </c>
      <c r="AW113">
        <f t="shared" si="13"/>
        <v>-54.814661240281566</v>
      </c>
      <c r="AX113">
        <f t="shared" si="14"/>
        <v>-73.772331497129926</v>
      </c>
    </row>
    <row r="114" spans="1:50" x14ac:dyDescent="0.2">
      <c r="A114" s="3">
        <v>45924</v>
      </c>
      <c r="B114">
        <v>1173.5</v>
      </c>
      <c r="C114">
        <v>98.66</v>
      </c>
      <c r="D114">
        <v>3.2919999999999998</v>
      </c>
      <c r="E114">
        <v>12.615</v>
      </c>
      <c r="F114">
        <v>69.459999999999994</v>
      </c>
      <c r="G114">
        <v>9.4160000000000004</v>
      </c>
      <c r="H114">
        <v>32.82</v>
      </c>
      <c r="I114">
        <v>69.349999999999994</v>
      </c>
      <c r="J114">
        <v>47.16</v>
      </c>
      <c r="K114">
        <v>330.3</v>
      </c>
      <c r="L114">
        <v>73.680000000000007</v>
      </c>
      <c r="M114">
        <v>87.62</v>
      </c>
      <c r="N114">
        <v>7.72</v>
      </c>
      <c r="O114">
        <v>167</v>
      </c>
      <c r="P114">
        <v>11.07</v>
      </c>
      <c r="Q114">
        <v>17955</v>
      </c>
      <c r="R114">
        <v>0.4304</v>
      </c>
      <c r="S114">
        <v>152.4</v>
      </c>
      <c r="T114">
        <v>8.67</v>
      </c>
      <c r="U114">
        <v>11.6</v>
      </c>
      <c r="V114" s="6"/>
      <c r="W114" s="3">
        <v>45924</v>
      </c>
      <c r="X114">
        <v>2699</v>
      </c>
      <c r="Y114">
        <v>567</v>
      </c>
      <c r="Z114">
        <v>74.400000000000006</v>
      </c>
      <c r="AA114">
        <v>5.0220000000000002</v>
      </c>
      <c r="AB114">
        <v>524.6</v>
      </c>
      <c r="AC114">
        <v>154.6</v>
      </c>
      <c r="AD114">
        <v>112.9</v>
      </c>
      <c r="AE114">
        <v>3234</v>
      </c>
      <c r="AF114">
        <v>183.8</v>
      </c>
      <c r="AG114">
        <v>5104</v>
      </c>
      <c r="AH114">
        <v>3338</v>
      </c>
      <c r="AI114">
        <v>259.89999999999998</v>
      </c>
      <c r="AJ114">
        <v>58.2</v>
      </c>
      <c r="AK114">
        <v>34.96</v>
      </c>
      <c r="AL114">
        <v>74.900000000000006</v>
      </c>
      <c r="AM114">
        <v>1252.5</v>
      </c>
      <c r="AN114">
        <v>456.8</v>
      </c>
      <c r="AO114">
        <v>7005</v>
      </c>
      <c r="AP114">
        <v>83.96</v>
      </c>
      <c r="AQ114">
        <v>118.1</v>
      </c>
      <c r="AR114" cm="1">
        <f t="array" ref="AR114">SUMPRODUCT($B$162:$U$162,(B114:U114)/($B$11:$U$11))</f>
        <v>29830.945741648167</v>
      </c>
      <c r="AS114">
        <f t="shared" si="10"/>
        <v>259.02326855763022</v>
      </c>
      <c r="AT114">
        <f t="shared" si="11"/>
        <v>8.7590946714177775E-3</v>
      </c>
      <c r="AU114" cm="1">
        <f t="array" ref="AU114">SUMPRODUCT($X$162:$AQ$162,(X114:AQ114)/($X$11:$AQ$11))</f>
        <v>24148.103446030716</v>
      </c>
      <c r="AV114">
        <f t="shared" si="12"/>
        <v>-264.11216852976213</v>
      </c>
      <c r="AW114">
        <f t="shared" si="13"/>
        <v>264.11216852976213</v>
      </c>
      <c r="AX114">
        <f t="shared" si="14"/>
        <v>523.13543708739235</v>
      </c>
    </row>
    <row r="115" spans="1:50" x14ac:dyDescent="0.2">
      <c r="A115" s="3">
        <v>45925</v>
      </c>
      <c r="B115">
        <v>1170.5</v>
      </c>
      <c r="C115">
        <v>97.16</v>
      </c>
      <c r="D115">
        <v>3.2629999999999999</v>
      </c>
      <c r="E115">
        <v>12.845000000000001</v>
      </c>
      <c r="F115">
        <v>68.459999999999994</v>
      </c>
      <c r="G115">
        <v>9.4179999999999993</v>
      </c>
      <c r="H115">
        <v>32.82</v>
      </c>
      <c r="I115">
        <v>67.150000000000006</v>
      </c>
      <c r="J115">
        <v>46.35</v>
      </c>
      <c r="K115">
        <v>326.60000000000002</v>
      </c>
      <c r="L115">
        <v>71.3</v>
      </c>
      <c r="M115">
        <v>87.64</v>
      </c>
      <c r="N115">
        <v>7.75</v>
      </c>
      <c r="O115">
        <v>165.95</v>
      </c>
      <c r="P115">
        <v>10.57</v>
      </c>
      <c r="Q115">
        <v>17860</v>
      </c>
      <c r="R115">
        <v>0.43690000000000001</v>
      </c>
      <c r="S115">
        <v>151.6</v>
      </c>
      <c r="T115">
        <v>8.81</v>
      </c>
      <c r="U115">
        <v>11.32</v>
      </c>
      <c r="V115" s="6"/>
      <c r="W115" s="3">
        <v>45925</v>
      </c>
      <c r="X115">
        <v>2664</v>
      </c>
      <c r="Y115">
        <v>565.5</v>
      </c>
      <c r="Z115">
        <v>73.2</v>
      </c>
      <c r="AA115">
        <v>5.0199999999999996</v>
      </c>
      <c r="AB115">
        <v>518</v>
      </c>
      <c r="AC115">
        <v>150.5</v>
      </c>
      <c r="AD115">
        <v>112.6</v>
      </c>
      <c r="AE115">
        <v>3186</v>
      </c>
      <c r="AF115">
        <v>183.6</v>
      </c>
      <c r="AG115">
        <v>4995</v>
      </c>
      <c r="AH115">
        <v>3372</v>
      </c>
      <c r="AI115">
        <v>255</v>
      </c>
      <c r="AJ115">
        <v>58</v>
      </c>
      <c r="AK115">
        <v>34.68</v>
      </c>
      <c r="AL115">
        <v>74.599999999999994</v>
      </c>
      <c r="AM115">
        <v>1239.5</v>
      </c>
      <c r="AN115">
        <v>453.6</v>
      </c>
      <c r="AO115">
        <v>6875</v>
      </c>
      <c r="AP115">
        <v>81.34</v>
      </c>
      <c r="AQ115">
        <v>117.65</v>
      </c>
      <c r="AR115" cm="1">
        <f t="array" ref="AR115">SUMPRODUCT($B$162:$U$162,(B115:U115)/($B$11:$U$11))</f>
        <v>29609.144241707971</v>
      </c>
      <c r="AS115">
        <f t="shared" si="10"/>
        <v>-221.80149994019666</v>
      </c>
      <c r="AT115">
        <f t="shared" si="11"/>
        <v>-7.4352822019494447E-3</v>
      </c>
      <c r="AU115" cm="1">
        <f t="array" ref="AU115">SUMPRODUCT($X$162:$AQ$162,(X115:AQ115)/($X$11:$AQ$11))</f>
        <v>23900.244482042293</v>
      </c>
      <c r="AV115">
        <f t="shared" si="12"/>
        <v>-247.85896398842306</v>
      </c>
      <c r="AW115">
        <f t="shared" si="13"/>
        <v>247.85896398842306</v>
      </c>
      <c r="AX115">
        <f t="shared" si="14"/>
        <v>26.057464048226393</v>
      </c>
    </row>
    <row r="116" spans="1:50" x14ac:dyDescent="0.2">
      <c r="A116" s="3">
        <v>45926</v>
      </c>
      <c r="B116">
        <v>1182.5</v>
      </c>
      <c r="C116">
        <v>98.72</v>
      </c>
      <c r="D116">
        <v>3.3370000000000002</v>
      </c>
      <c r="E116">
        <v>12.98</v>
      </c>
      <c r="F116">
        <v>70.52</v>
      </c>
      <c r="G116">
        <v>9.6180000000000003</v>
      </c>
      <c r="H116">
        <v>33.04</v>
      </c>
      <c r="I116">
        <v>66.599999999999994</v>
      </c>
      <c r="J116">
        <v>46.74</v>
      </c>
      <c r="K116">
        <v>330</v>
      </c>
      <c r="L116">
        <v>71.78</v>
      </c>
      <c r="M116">
        <v>87.7</v>
      </c>
      <c r="N116">
        <v>7.7</v>
      </c>
      <c r="O116">
        <v>167.05</v>
      </c>
      <c r="P116">
        <v>10.3</v>
      </c>
      <c r="Q116">
        <v>17760</v>
      </c>
      <c r="R116">
        <v>0.443</v>
      </c>
      <c r="S116">
        <v>152</v>
      </c>
      <c r="T116">
        <v>8.6999999999999993</v>
      </c>
      <c r="U116">
        <v>11.18</v>
      </c>
      <c r="V116" s="6"/>
      <c r="W116" s="3">
        <v>45926</v>
      </c>
      <c r="X116">
        <v>2650</v>
      </c>
      <c r="Y116">
        <v>561</v>
      </c>
      <c r="Z116">
        <v>72.86</v>
      </c>
      <c r="AA116">
        <v>5.0460000000000003</v>
      </c>
      <c r="AB116">
        <v>522.20000000000005</v>
      </c>
      <c r="AC116">
        <v>148.5</v>
      </c>
      <c r="AD116">
        <v>112.25</v>
      </c>
      <c r="AE116">
        <v>3201</v>
      </c>
      <c r="AF116">
        <v>184.4</v>
      </c>
      <c r="AG116">
        <v>4999</v>
      </c>
      <c r="AH116">
        <v>3352</v>
      </c>
      <c r="AI116">
        <v>253.5</v>
      </c>
      <c r="AJ116">
        <v>58.5</v>
      </c>
      <c r="AK116">
        <v>34.46</v>
      </c>
      <c r="AL116">
        <v>75.05</v>
      </c>
      <c r="AM116">
        <v>1234</v>
      </c>
      <c r="AN116">
        <v>454.6</v>
      </c>
      <c r="AO116">
        <v>6795</v>
      </c>
      <c r="AP116">
        <v>82.94</v>
      </c>
      <c r="AQ116">
        <v>115.1</v>
      </c>
      <c r="AR116" cm="1">
        <f t="array" ref="AR116">SUMPRODUCT($B$162:$U$162,(B116:U116)/($B$11:$U$11))</f>
        <v>29847.788393166906</v>
      </c>
      <c r="AS116">
        <f t="shared" si="10"/>
        <v>238.64415145893508</v>
      </c>
      <c r="AT116">
        <f t="shared" si="11"/>
        <v>8.0598125197679504E-3</v>
      </c>
      <c r="AU116" cm="1">
        <f t="array" ref="AU116">SUMPRODUCT($X$162:$AQ$162,(X116:AQ116)/($X$11:$AQ$11))</f>
        <v>23852.098462925958</v>
      </c>
      <c r="AV116">
        <f t="shared" si="12"/>
        <v>-48.146019116335083</v>
      </c>
      <c r="AW116">
        <f t="shared" si="13"/>
        <v>48.146019116335083</v>
      </c>
      <c r="AX116">
        <f t="shared" si="14"/>
        <v>286.79017057527017</v>
      </c>
    </row>
    <row r="117" spans="1:50" x14ac:dyDescent="0.2">
      <c r="A117" s="3">
        <v>45929</v>
      </c>
      <c r="B117">
        <v>1163.5</v>
      </c>
      <c r="C117">
        <v>99.1</v>
      </c>
      <c r="D117">
        <v>3.2930000000000001</v>
      </c>
      <c r="E117">
        <v>12.62</v>
      </c>
      <c r="F117">
        <v>70.180000000000007</v>
      </c>
      <c r="G117">
        <v>9.4260000000000002</v>
      </c>
      <c r="H117">
        <v>33.04</v>
      </c>
      <c r="I117">
        <v>66.5</v>
      </c>
      <c r="J117">
        <v>47.5</v>
      </c>
      <c r="K117">
        <v>330.5</v>
      </c>
      <c r="L117">
        <v>72.5</v>
      </c>
      <c r="M117">
        <v>88.92</v>
      </c>
      <c r="N117">
        <v>7.6550000000000002</v>
      </c>
      <c r="O117">
        <v>165.8</v>
      </c>
      <c r="P117">
        <v>10.4</v>
      </c>
      <c r="Q117">
        <v>17625</v>
      </c>
      <c r="R117">
        <v>0.44119999999999998</v>
      </c>
      <c r="S117">
        <v>160</v>
      </c>
      <c r="T117">
        <v>8.67</v>
      </c>
      <c r="U117">
        <v>11.49</v>
      </c>
      <c r="V117" s="6"/>
      <c r="W117" s="3">
        <v>45929</v>
      </c>
      <c r="X117">
        <v>2700</v>
      </c>
      <c r="Y117">
        <v>562</v>
      </c>
      <c r="Z117">
        <v>73.540000000000006</v>
      </c>
      <c r="AA117">
        <v>5.07</v>
      </c>
      <c r="AB117">
        <v>519.79999999999995</v>
      </c>
      <c r="AC117">
        <v>149.5</v>
      </c>
      <c r="AD117">
        <v>113.9</v>
      </c>
      <c r="AE117">
        <v>3217</v>
      </c>
      <c r="AF117">
        <v>185.4</v>
      </c>
      <c r="AG117">
        <v>5010</v>
      </c>
      <c r="AH117">
        <v>3390</v>
      </c>
      <c r="AI117">
        <v>256.10000000000002</v>
      </c>
      <c r="AJ117">
        <v>58.5</v>
      </c>
      <c r="AK117">
        <v>36.200000000000003</v>
      </c>
      <c r="AL117">
        <v>75.75</v>
      </c>
      <c r="AM117">
        <v>1249</v>
      </c>
      <c r="AN117">
        <v>459.8</v>
      </c>
      <c r="AO117">
        <v>6760</v>
      </c>
      <c r="AP117">
        <v>83.48</v>
      </c>
      <c r="AQ117">
        <v>116.85</v>
      </c>
      <c r="AR117" cm="1">
        <f t="array" ref="AR117">SUMPRODUCT($B$162:$U$162,(B117:U117)/($B$11:$U$11))</f>
        <v>29780.768084347925</v>
      </c>
      <c r="AS117">
        <f t="shared" si="10"/>
        <v>-67.020308818980993</v>
      </c>
      <c r="AT117">
        <f t="shared" si="11"/>
        <v>-2.2454028397737025E-3</v>
      </c>
      <c r="AU117" cm="1">
        <f t="array" ref="AU117">SUMPRODUCT($X$162:$AQ$162,(X117:AQ117)/($X$11:$AQ$11))</f>
        <v>24063.926843568548</v>
      </c>
      <c r="AV117">
        <f t="shared" si="12"/>
        <v>211.82838064258976</v>
      </c>
      <c r="AW117">
        <f t="shared" si="13"/>
        <v>-211.82838064258976</v>
      </c>
      <c r="AX117">
        <f t="shared" si="14"/>
        <v>-278.84868946157076</v>
      </c>
    </row>
    <row r="118" spans="1:50" x14ac:dyDescent="0.2">
      <c r="A118" s="3">
        <v>45930</v>
      </c>
      <c r="B118">
        <v>1190</v>
      </c>
      <c r="C118">
        <v>99.42</v>
      </c>
      <c r="D118">
        <v>3.3</v>
      </c>
      <c r="E118">
        <v>12.725</v>
      </c>
      <c r="F118">
        <v>70.48</v>
      </c>
      <c r="G118">
        <v>9.4359999999999999</v>
      </c>
      <c r="H118">
        <v>33.159999999999997</v>
      </c>
      <c r="I118">
        <v>66.95</v>
      </c>
      <c r="J118">
        <v>47.17</v>
      </c>
      <c r="K118">
        <v>332.4</v>
      </c>
      <c r="L118">
        <v>72.52</v>
      </c>
      <c r="M118">
        <v>89.44</v>
      </c>
      <c r="N118">
        <v>7.7149999999999999</v>
      </c>
      <c r="O118">
        <v>166.6</v>
      </c>
      <c r="P118">
        <v>10.45</v>
      </c>
      <c r="Q118">
        <v>17680</v>
      </c>
      <c r="R118">
        <v>0.44529999999999997</v>
      </c>
      <c r="S118">
        <v>160</v>
      </c>
      <c r="T118">
        <v>8.6649999999999991</v>
      </c>
      <c r="U118">
        <v>11.54</v>
      </c>
      <c r="V118" s="6"/>
      <c r="W118" s="3">
        <v>45930</v>
      </c>
      <c r="X118">
        <v>2704</v>
      </c>
      <c r="Y118">
        <v>562.5</v>
      </c>
      <c r="Z118">
        <v>74.040000000000006</v>
      </c>
      <c r="AA118">
        <v>5.1180000000000003</v>
      </c>
      <c r="AB118">
        <v>527.20000000000005</v>
      </c>
      <c r="AC118">
        <v>149</v>
      </c>
      <c r="AD118">
        <v>116.15</v>
      </c>
      <c r="AE118">
        <v>3232</v>
      </c>
      <c r="AF118">
        <v>186.4</v>
      </c>
      <c r="AG118">
        <v>4965</v>
      </c>
      <c r="AH118">
        <v>3450</v>
      </c>
      <c r="AI118">
        <v>259.89999999999998</v>
      </c>
      <c r="AJ118">
        <v>58.1</v>
      </c>
      <c r="AK118">
        <v>37.04</v>
      </c>
      <c r="AL118">
        <v>76.05</v>
      </c>
      <c r="AM118">
        <v>1270</v>
      </c>
      <c r="AN118">
        <v>467.6</v>
      </c>
      <c r="AO118">
        <v>6815</v>
      </c>
      <c r="AP118">
        <v>83.6</v>
      </c>
      <c r="AQ118">
        <v>113.55</v>
      </c>
      <c r="AR118" cm="1">
        <f t="array" ref="AR118">SUMPRODUCT($B$162:$U$162,(B118:U118)/($B$11:$U$11))</f>
        <v>29962.448183011293</v>
      </c>
      <c r="AS118">
        <f t="shared" si="10"/>
        <v>181.68009866336797</v>
      </c>
      <c r="AT118">
        <f t="shared" si="11"/>
        <v>6.1005847179225192E-3</v>
      </c>
      <c r="AU118" cm="1">
        <f t="array" ref="AU118">SUMPRODUCT($X$162:$AQ$162,(X118:AQ118)/($X$11:$AQ$11))</f>
        <v>24201.274536628884</v>
      </c>
      <c r="AV118">
        <f t="shared" si="12"/>
        <v>137.34769306033559</v>
      </c>
      <c r="AW118">
        <f t="shared" si="13"/>
        <v>-137.34769306033559</v>
      </c>
      <c r="AX118">
        <f t="shared" si="14"/>
        <v>44.332405603032385</v>
      </c>
    </row>
    <row r="119" spans="1:50" x14ac:dyDescent="0.2">
      <c r="A119" s="3">
        <v>45931</v>
      </c>
      <c r="B119">
        <v>1177</v>
      </c>
      <c r="C119">
        <v>104.15</v>
      </c>
      <c r="D119">
        <v>3.2930000000000001</v>
      </c>
      <c r="E119">
        <v>12.9</v>
      </c>
      <c r="F119">
        <v>71.180000000000007</v>
      </c>
      <c r="G119">
        <v>9.6140000000000008</v>
      </c>
      <c r="H119">
        <v>32.92</v>
      </c>
      <c r="I119">
        <v>65.650000000000006</v>
      </c>
      <c r="J119">
        <v>44.71</v>
      </c>
      <c r="K119">
        <v>333.1</v>
      </c>
      <c r="L119">
        <v>72.64</v>
      </c>
      <c r="M119">
        <v>89.18</v>
      </c>
      <c r="N119">
        <v>7.91</v>
      </c>
      <c r="O119">
        <v>170.8</v>
      </c>
      <c r="P119">
        <v>10.51</v>
      </c>
      <c r="Q119">
        <v>17550</v>
      </c>
      <c r="R119">
        <v>0.46100000000000002</v>
      </c>
      <c r="S119">
        <v>166.05</v>
      </c>
      <c r="T119">
        <v>8.65</v>
      </c>
      <c r="U119">
        <v>11.8</v>
      </c>
      <c r="V119" s="6"/>
      <c r="W119" s="3">
        <v>45931</v>
      </c>
      <c r="X119">
        <v>2769</v>
      </c>
      <c r="Y119">
        <v>565.5</v>
      </c>
      <c r="Z119">
        <v>74.680000000000007</v>
      </c>
      <c r="AA119">
        <v>5.0780000000000003</v>
      </c>
      <c r="AB119">
        <v>534.6</v>
      </c>
      <c r="AC119">
        <v>151.6</v>
      </c>
      <c r="AD119">
        <v>114.25</v>
      </c>
      <c r="AE119">
        <v>3215</v>
      </c>
      <c r="AF119">
        <v>184.6</v>
      </c>
      <c r="AG119">
        <v>5040</v>
      </c>
      <c r="AH119">
        <v>3460</v>
      </c>
      <c r="AI119">
        <v>282.3</v>
      </c>
      <c r="AJ119">
        <v>58</v>
      </c>
      <c r="AK119">
        <v>37.369999999999997</v>
      </c>
      <c r="AL119">
        <v>76.5</v>
      </c>
      <c r="AM119">
        <v>1278.5</v>
      </c>
      <c r="AN119">
        <v>469.8</v>
      </c>
      <c r="AO119">
        <v>6960</v>
      </c>
      <c r="AP119">
        <v>83.06</v>
      </c>
      <c r="AQ119">
        <v>117</v>
      </c>
      <c r="AR119" cm="1">
        <f t="array" ref="AR119">SUMPRODUCT($B$162:$U$162,(B119:U119)/($B$11:$U$11))</f>
        <v>30208.104430432373</v>
      </c>
      <c r="AS119">
        <f t="shared" si="10"/>
        <v>245.65624742108048</v>
      </c>
      <c r="AT119">
        <f t="shared" si="11"/>
        <v>8.1988042472567191E-3</v>
      </c>
      <c r="AU119" cm="1">
        <f t="array" ref="AU119">SUMPRODUCT($X$162:$AQ$162,(X119:AQ119)/($X$11:$AQ$11))</f>
        <v>24452.463255703915</v>
      </c>
      <c r="AV119">
        <f t="shared" si="12"/>
        <v>251.18871907503126</v>
      </c>
      <c r="AW119">
        <f t="shared" si="13"/>
        <v>-251.18871907503126</v>
      </c>
      <c r="AX119">
        <f t="shared" si="14"/>
        <v>-5.532471653950779</v>
      </c>
    </row>
    <row r="120" spans="1:50" x14ac:dyDescent="0.2">
      <c r="A120" s="3">
        <v>45932</v>
      </c>
      <c r="B120">
        <v>1167.5</v>
      </c>
      <c r="C120">
        <v>108.45</v>
      </c>
      <c r="D120">
        <v>3.2829999999999999</v>
      </c>
      <c r="E120">
        <v>12.63</v>
      </c>
      <c r="F120">
        <v>73.8</v>
      </c>
      <c r="G120">
        <v>9.6980000000000004</v>
      </c>
      <c r="H120">
        <v>32.96</v>
      </c>
      <c r="I120">
        <v>65.7</v>
      </c>
      <c r="J120">
        <v>45.92</v>
      </c>
      <c r="K120">
        <v>329.7</v>
      </c>
      <c r="L120">
        <v>72.88</v>
      </c>
      <c r="M120">
        <v>88.9</v>
      </c>
      <c r="N120">
        <v>7.9</v>
      </c>
      <c r="O120">
        <v>168.95</v>
      </c>
      <c r="P120">
        <v>10.7</v>
      </c>
      <c r="Q120">
        <v>17585</v>
      </c>
      <c r="R120">
        <v>0.47</v>
      </c>
      <c r="S120">
        <v>167.35</v>
      </c>
      <c r="T120">
        <v>8.7249999999999996</v>
      </c>
      <c r="U120">
        <v>11.91</v>
      </c>
      <c r="V120" s="6"/>
      <c r="W120" s="3">
        <v>45932</v>
      </c>
      <c r="X120">
        <v>2838</v>
      </c>
      <c r="Y120">
        <v>571</v>
      </c>
      <c r="Z120">
        <v>74.8</v>
      </c>
      <c r="AA120">
        <v>5.0380000000000003</v>
      </c>
      <c r="AB120">
        <v>542.4</v>
      </c>
      <c r="AC120">
        <v>152.80000000000001</v>
      </c>
      <c r="AD120">
        <v>115.05</v>
      </c>
      <c r="AE120">
        <v>3236</v>
      </c>
      <c r="AF120">
        <v>183.2</v>
      </c>
      <c r="AG120">
        <v>4999</v>
      </c>
      <c r="AH120">
        <v>3502</v>
      </c>
      <c r="AI120">
        <v>284.3</v>
      </c>
      <c r="AJ120">
        <v>58</v>
      </c>
      <c r="AK120">
        <v>37.01</v>
      </c>
      <c r="AL120">
        <v>77.150000000000006</v>
      </c>
      <c r="AM120">
        <v>1283</v>
      </c>
      <c r="AN120">
        <v>474.6</v>
      </c>
      <c r="AO120">
        <v>7095</v>
      </c>
      <c r="AP120">
        <v>83.88</v>
      </c>
      <c r="AQ120">
        <v>117</v>
      </c>
      <c r="AR120" cm="1">
        <f t="array" ref="AR120">SUMPRODUCT($B$162:$U$162,(B120:U120)/($B$11:$U$11))</f>
        <v>30414.277091039243</v>
      </c>
      <c r="AS120">
        <f t="shared" si="10"/>
        <v>206.17266060686961</v>
      </c>
      <c r="AT120">
        <f t="shared" si="11"/>
        <v>6.8250777231544379E-3</v>
      </c>
      <c r="AU120" cm="1">
        <f t="array" ref="AU120">SUMPRODUCT($X$162:$AQ$162,(X120:AQ120)/($X$11:$AQ$11))</f>
        <v>24611.950160429642</v>
      </c>
      <c r="AV120">
        <f t="shared" si="12"/>
        <v>159.48690472572707</v>
      </c>
      <c r="AW120">
        <f t="shared" si="13"/>
        <v>-159.48690472572707</v>
      </c>
      <c r="AX120">
        <f t="shared" si="14"/>
        <v>46.685755881142541</v>
      </c>
    </row>
    <row r="121" spans="1:50" x14ac:dyDescent="0.2">
      <c r="A121" s="3">
        <v>45933</v>
      </c>
      <c r="B121">
        <v>1168.5</v>
      </c>
      <c r="C121">
        <v>106.05</v>
      </c>
      <c r="D121">
        <v>3.32</v>
      </c>
      <c r="E121">
        <v>12.815</v>
      </c>
      <c r="F121">
        <v>73.680000000000007</v>
      </c>
      <c r="G121">
        <v>9.6839999999999993</v>
      </c>
      <c r="H121">
        <v>32.54</v>
      </c>
      <c r="I121">
        <v>64.5</v>
      </c>
      <c r="J121">
        <v>46.52</v>
      </c>
      <c r="K121">
        <v>331.3</v>
      </c>
      <c r="L121">
        <v>73.14</v>
      </c>
      <c r="M121">
        <v>88.9</v>
      </c>
      <c r="N121">
        <v>7.96</v>
      </c>
      <c r="O121">
        <v>169.6</v>
      </c>
      <c r="P121">
        <v>10.95</v>
      </c>
      <c r="Q121">
        <v>17400</v>
      </c>
      <c r="R121">
        <v>0.48209999999999997</v>
      </c>
      <c r="S121">
        <v>171.65</v>
      </c>
      <c r="T121">
        <v>8.8049999999999997</v>
      </c>
      <c r="U121">
        <v>11.87</v>
      </c>
      <c r="V121" s="6"/>
      <c r="W121" s="3">
        <v>45933</v>
      </c>
      <c r="X121">
        <v>2871</v>
      </c>
      <c r="Y121">
        <v>572.5</v>
      </c>
      <c r="Z121">
        <v>75.22</v>
      </c>
      <c r="AA121">
        <v>5.05</v>
      </c>
      <c r="AB121">
        <v>553.6</v>
      </c>
      <c r="AC121">
        <v>148.4</v>
      </c>
      <c r="AD121">
        <v>112.25</v>
      </c>
      <c r="AE121">
        <v>3244</v>
      </c>
      <c r="AF121">
        <v>184.2</v>
      </c>
      <c r="AG121">
        <v>5084</v>
      </c>
      <c r="AH121">
        <v>3502</v>
      </c>
      <c r="AI121">
        <v>286.8</v>
      </c>
      <c r="AJ121">
        <v>57.6</v>
      </c>
      <c r="AK121">
        <v>37.299999999999997</v>
      </c>
      <c r="AL121">
        <v>77.5</v>
      </c>
      <c r="AM121">
        <v>1291.5</v>
      </c>
      <c r="AN121">
        <v>478</v>
      </c>
      <c r="AO121">
        <v>7290</v>
      </c>
      <c r="AP121">
        <v>84.96</v>
      </c>
      <c r="AQ121">
        <v>120.6</v>
      </c>
      <c r="AR121" cm="1">
        <f t="array" ref="AR121">SUMPRODUCT($B$162:$U$162,(B121:U121)/($B$11:$U$11))</f>
        <v>30462.659544031518</v>
      </c>
      <c r="AS121">
        <f t="shared" si="10"/>
        <v>48.382452992274921</v>
      </c>
      <c r="AT121">
        <f t="shared" si="11"/>
        <v>1.590780962751559E-3</v>
      </c>
      <c r="AU121" cm="1">
        <f t="array" ref="AU121">SUMPRODUCT($X$162:$AQ$162,(X121:AQ121)/($X$11:$AQ$11))</f>
        <v>24767.152808671231</v>
      </c>
      <c r="AV121">
        <f t="shared" si="12"/>
        <v>155.20264824158949</v>
      </c>
      <c r="AW121">
        <f t="shared" si="13"/>
        <v>-155.20264824158949</v>
      </c>
      <c r="AX121">
        <f t="shared" si="14"/>
        <v>-106.82019524931457</v>
      </c>
    </row>
    <row r="122" spans="1:50" x14ac:dyDescent="0.2">
      <c r="A122" s="3">
        <v>45936</v>
      </c>
      <c r="B122">
        <v>1154.5</v>
      </c>
      <c r="C122">
        <v>106.75</v>
      </c>
      <c r="D122">
        <v>3.3069999999999999</v>
      </c>
      <c r="E122">
        <v>12.92</v>
      </c>
      <c r="F122">
        <v>73.28</v>
      </c>
      <c r="G122">
        <v>9.8000000000000007</v>
      </c>
      <c r="H122">
        <v>32</v>
      </c>
      <c r="I122">
        <v>64.95</v>
      </c>
      <c r="J122">
        <v>48.22</v>
      </c>
      <c r="K122">
        <v>326.89999999999998</v>
      </c>
      <c r="L122">
        <v>72.92</v>
      </c>
      <c r="M122">
        <v>88.42</v>
      </c>
      <c r="N122">
        <v>7.83</v>
      </c>
      <c r="O122">
        <v>170.55</v>
      </c>
      <c r="P122">
        <v>10.66</v>
      </c>
      <c r="Q122">
        <v>17495</v>
      </c>
      <c r="R122">
        <v>0.4829</v>
      </c>
      <c r="S122">
        <v>173.8</v>
      </c>
      <c r="T122">
        <v>8.6950000000000003</v>
      </c>
      <c r="U122">
        <v>11.7</v>
      </c>
      <c r="V122" s="6"/>
      <c r="W122" s="3">
        <v>45936</v>
      </c>
      <c r="X122">
        <v>2842</v>
      </c>
      <c r="Y122">
        <v>573.5</v>
      </c>
      <c r="Z122">
        <v>74.5</v>
      </c>
      <c r="AA122">
        <v>5.0460000000000003</v>
      </c>
      <c r="AB122">
        <v>557.20000000000005</v>
      </c>
      <c r="AC122">
        <v>147.9</v>
      </c>
      <c r="AD122">
        <v>112.85</v>
      </c>
      <c r="AE122">
        <v>3230</v>
      </c>
      <c r="AF122">
        <v>184.2</v>
      </c>
      <c r="AG122">
        <v>5052</v>
      </c>
      <c r="AH122">
        <v>3524</v>
      </c>
      <c r="AI122">
        <v>288.39999999999998</v>
      </c>
      <c r="AJ122">
        <v>57.5</v>
      </c>
      <c r="AK122">
        <v>36.869999999999997</v>
      </c>
      <c r="AL122">
        <v>77.150000000000006</v>
      </c>
      <c r="AM122">
        <v>1293.5</v>
      </c>
      <c r="AN122">
        <v>475.8</v>
      </c>
      <c r="AO122">
        <v>7285</v>
      </c>
      <c r="AP122">
        <v>84.66</v>
      </c>
      <c r="AQ122">
        <v>122.35</v>
      </c>
      <c r="AR122" cm="1">
        <f t="array" ref="AR122">SUMPRODUCT($B$162:$U$162,(B122:U122)/($B$11:$U$11))</f>
        <v>30442.897394031475</v>
      </c>
      <c r="AS122">
        <f t="shared" si="10"/>
        <v>-19.762150000042311</v>
      </c>
      <c r="AT122">
        <f t="shared" si="11"/>
        <v>-6.4873357401629139E-4</v>
      </c>
      <c r="AU122" cm="1">
        <f t="array" ref="AU122">SUMPRODUCT($X$162:$AQ$162,(X122:AQ122)/($X$11:$AQ$11))</f>
        <v>24726.394746278824</v>
      </c>
      <c r="AV122">
        <f t="shared" si="12"/>
        <v>-40.758062392407737</v>
      </c>
      <c r="AW122">
        <f t="shared" si="13"/>
        <v>40.758062392407737</v>
      </c>
      <c r="AX122">
        <f t="shared" si="14"/>
        <v>20.995912392365426</v>
      </c>
    </row>
    <row r="123" spans="1:50" x14ac:dyDescent="0.2">
      <c r="A123" s="3">
        <v>45937</v>
      </c>
      <c r="B123">
        <v>1153.5</v>
      </c>
      <c r="C123">
        <v>104.9</v>
      </c>
      <c r="D123">
        <v>3.2749999999999999</v>
      </c>
      <c r="E123">
        <v>12.695</v>
      </c>
      <c r="F123">
        <v>73.56</v>
      </c>
      <c r="G123">
        <v>9.6240000000000006</v>
      </c>
      <c r="H123">
        <v>31.46</v>
      </c>
      <c r="I123">
        <v>64.2</v>
      </c>
      <c r="J123">
        <v>47.5</v>
      </c>
      <c r="K123">
        <v>330.3</v>
      </c>
      <c r="L123">
        <v>74.319999999999993</v>
      </c>
      <c r="M123">
        <v>87.14</v>
      </c>
      <c r="N123">
        <v>7.85</v>
      </c>
      <c r="O123">
        <v>170.05</v>
      </c>
      <c r="P123">
        <v>10.34</v>
      </c>
      <c r="Q123">
        <v>17830</v>
      </c>
      <c r="R123">
        <v>0.48559999999999998</v>
      </c>
      <c r="S123">
        <v>178</v>
      </c>
      <c r="T123">
        <v>8.7349999999999994</v>
      </c>
      <c r="U123">
        <v>11.62</v>
      </c>
      <c r="V123" s="6"/>
      <c r="W123" s="3">
        <v>45937</v>
      </c>
      <c r="X123">
        <v>2872</v>
      </c>
      <c r="Y123">
        <v>568.5</v>
      </c>
      <c r="Z123">
        <v>76.22</v>
      </c>
      <c r="AA123">
        <v>5.0620000000000003</v>
      </c>
      <c r="AB123">
        <v>540.20000000000005</v>
      </c>
      <c r="AC123">
        <v>146.30000000000001</v>
      </c>
      <c r="AD123">
        <v>110.8</v>
      </c>
      <c r="AE123">
        <v>3300</v>
      </c>
      <c r="AF123">
        <v>183</v>
      </c>
      <c r="AG123">
        <v>5086</v>
      </c>
      <c r="AH123">
        <v>3534</v>
      </c>
      <c r="AI123">
        <v>288.5</v>
      </c>
      <c r="AJ123">
        <v>57.4</v>
      </c>
      <c r="AK123">
        <v>36.380000000000003</v>
      </c>
      <c r="AL123">
        <v>77.3</v>
      </c>
      <c r="AM123">
        <v>1284.5</v>
      </c>
      <c r="AN123">
        <v>478.6</v>
      </c>
      <c r="AO123">
        <v>7120</v>
      </c>
      <c r="AP123">
        <v>85.9</v>
      </c>
      <c r="AQ123">
        <v>121.25</v>
      </c>
      <c r="AR123" cm="1">
        <f t="array" ref="AR123">SUMPRODUCT($B$162:$U$162,(B123:U123)/($B$11:$U$11))</f>
        <v>30278.611795872734</v>
      </c>
      <c r="AS123">
        <f t="shared" si="10"/>
        <v>-164.28559815874178</v>
      </c>
      <c r="AT123">
        <f t="shared" si="11"/>
        <v>-5.3965165021037098E-3</v>
      </c>
      <c r="AU123" cm="1">
        <f t="array" ref="AU123">SUMPRODUCT($X$162:$AQ$162,(X123:AQ123)/($X$11:$AQ$11))</f>
        <v>24710.087797451848</v>
      </c>
      <c r="AV123">
        <f t="shared" si="12"/>
        <v>-16.306948826975713</v>
      </c>
      <c r="AW123">
        <f t="shared" si="13"/>
        <v>16.306948826975713</v>
      </c>
      <c r="AX123">
        <f t="shared" si="14"/>
        <v>-147.97864933176606</v>
      </c>
    </row>
    <row r="124" spans="1:50" x14ac:dyDescent="0.2">
      <c r="A124" s="3">
        <v>45938</v>
      </c>
      <c r="B124">
        <v>1152.5</v>
      </c>
      <c r="C124">
        <v>108.4</v>
      </c>
      <c r="D124">
        <v>3.3079999999999998</v>
      </c>
      <c r="E124">
        <v>12.99</v>
      </c>
      <c r="F124">
        <v>73.62</v>
      </c>
      <c r="G124">
        <v>9.7040000000000006</v>
      </c>
      <c r="H124">
        <v>31.78</v>
      </c>
      <c r="I124">
        <v>64.650000000000006</v>
      </c>
      <c r="J124">
        <v>48.54</v>
      </c>
      <c r="K124">
        <v>340.8</v>
      </c>
      <c r="L124">
        <v>74.319999999999993</v>
      </c>
      <c r="M124">
        <v>87.28</v>
      </c>
      <c r="N124">
        <v>7.96</v>
      </c>
      <c r="O124">
        <v>169.8</v>
      </c>
      <c r="P124">
        <v>10.44</v>
      </c>
      <c r="Q124">
        <v>17690</v>
      </c>
      <c r="R124">
        <v>0.47220000000000001</v>
      </c>
      <c r="S124">
        <v>186.55</v>
      </c>
      <c r="T124">
        <v>8.69</v>
      </c>
      <c r="U124">
        <v>11.47</v>
      </c>
      <c r="V124" s="6"/>
      <c r="W124" s="3">
        <v>45938</v>
      </c>
      <c r="X124">
        <v>2823</v>
      </c>
      <c r="Y124">
        <v>563</v>
      </c>
      <c r="Z124">
        <v>76.86</v>
      </c>
      <c r="AA124">
        <v>5.1020000000000003</v>
      </c>
      <c r="AB124">
        <v>544.79999999999995</v>
      </c>
      <c r="AC124">
        <v>145</v>
      </c>
      <c r="AD124">
        <v>110.85</v>
      </c>
      <c r="AE124">
        <v>3388</v>
      </c>
      <c r="AF124">
        <v>182.6</v>
      </c>
      <c r="AG124">
        <v>5148</v>
      </c>
      <c r="AH124">
        <v>3568</v>
      </c>
      <c r="AI124">
        <v>291.3</v>
      </c>
      <c r="AJ124">
        <v>58.3</v>
      </c>
      <c r="AK124">
        <v>36.17</v>
      </c>
      <c r="AL124">
        <v>77.7</v>
      </c>
      <c r="AM124">
        <v>1306.5</v>
      </c>
      <c r="AN124">
        <v>477</v>
      </c>
      <c r="AO124">
        <v>6960</v>
      </c>
      <c r="AP124">
        <v>84.06</v>
      </c>
      <c r="AQ124">
        <v>122.2</v>
      </c>
      <c r="AR124" cm="1">
        <f t="array" ref="AR124">SUMPRODUCT($B$162:$U$162,(B124:U124)/($B$11:$U$11))</f>
        <v>30597.550187422006</v>
      </c>
      <c r="AS124">
        <f t="shared" si="10"/>
        <v>318.93839154927264</v>
      </c>
      <c r="AT124">
        <f t="shared" si="11"/>
        <v>1.0533454892167393E-2</v>
      </c>
      <c r="AU124" cm="1">
        <f t="array" ref="AU124">SUMPRODUCT($X$162:$AQ$162,(X124:AQ124)/($X$11:$AQ$11))</f>
        <v>24723.656871403673</v>
      </c>
      <c r="AV124">
        <f t="shared" si="12"/>
        <v>13.569073951824976</v>
      </c>
      <c r="AW124">
        <f t="shared" si="13"/>
        <v>-13.569073951824976</v>
      </c>
      <c r="AX124">
        <f t="shared" si="14"/>
        <v>305.36931759744766</v>
      </c>
    </row>
    <row r="125" spans="1:50" x14ac:dyDescent="0.2">
      <c r="A125" s="3">
        <v>45939</v>
      </c>
      <c r="B125">
        <v>1155</v>
      </c>
      <c r="C125">
        <v>109.75</v>
      </c>
      <c r="D125">
        <v>3.2519999999999998</v>
      </c>
      <c r="E125">
        <v>12.935</v>
      </c>
      <c r="F125">
        <v>73.180000000000007</v>
      </c>
      <c r="G125">
        <v>9.798</v>
      </c>
      <c r="H125">
        <v>32.020000000000003</v>
      </c>
      <c r="I125">
        <v>64.099999999999994</v>
      </c>
      <c r="J125">
        <v>49.49</v>
      </c>
      <c r="K125">
        <v>340.1</v>
      </c>
      <c r="L125">
        <v>74.099999999999994</v>
      </c>
      <c r="M125">
        <v>87.38</v>
      </c>
      <c r="N125">
        <v>7.87</v>
      </c>
      <c r="O125">
        <v>169.75</v>
      </c>
      <c r="P125">
        <v>10.36</v>
      </c>
      <c r="Q125">
        <v>17445</v>
      </c>
      <c r="R125">
        <v>0.48559999999999998</v>
      </c>
      <c r="S125">
        <v>189.8</v>
      </c>
      <c r="T125">
        <v>8.75</v>
      </c>
      <c r="U125">
        <v>11.38</v>
      </c>
      <c r="V125" s="6"/>
      <c r="W125" s="3">
        <v>45939</v>
      </c>
      <c r="X125">
        <v>2761</v>
      </c>
      <c r="Y125">
        <v>561.5</v>
      </c>
      <c r="Z125">
        <v>77.16</v>
      </c>
      <c r="AA125">
        <v>5.12</v>
      </c>
      <c r="AB125">
        <v>544.20000000000005</v>
      </c>
      <c r="AC125">
        <v>142.69999999999999</v>
      </c>
      <c r="AD125">
        <v>110</v>
      </c>
      <c r="AE125">
        <v>3377</v>
      </c>
      <c r="AF125">
        <v>181.6</v>
      </c>
      <c r="AG125">
        <v>5140</v>
      </c>
      <c r="AH125">
        <v>3570</v>
      </c>
      <c r="AI125">
        <v>293.60000000000002</v>
      </c>
      <c r="AJ125">
        <v>58.4</v>
      </c>
      <c r="AK125">
        <v>36.119999999999997</v>
      </c>
      <c r="AL125">
        <v>77.849999999999994</v>
      </c>
      <c r="AM125">
        <v>1311.5</v>
      </c>
      <c r="AN125">
        <v>484.8</v>
      </c>
      <c r="AO125">
        <v>6970</v>
      </c>
      <c r="AP125">
        <v>85.08</v>
      </c>
      <c r="AQ125">
        <v>119</v>
      </c>
      <c r="AR125" cm="1">
        <f t="array" ref="AR125">SUMPRODUCT($B$162:$U$162,(B125:U125)/($B$11:$U$11))</f>
        <v>30646.788834555493</v>
      </c>
      <c r="AS125">
        <f t="shared" si="10"/>
        <v>49.238647133486666</v>
      </c>
      <c r="AT125">
        <f t="shared" si="11"/>
        <v>1.6092349495917535E-3</v>
      </c>
      <c r="AU125" cm="1">
        <f t="array" ref="AU125">SUMPRODUCT($X$162:$AQ$162,(X125:AQ125)/($X$11:$AQ$11))</f>
        <v>24671.583305987591</v>
      </c>
      <c r="AV125">
        <f t="shared" si="12"/>
        <v>-52.073565416081692</v>
      </c>
      <c r="AW125">
        <f t="shared" si="13"/>
        <v>52.073565416081692</v>
      </c>
      <c r="AX125">
        <f t="shared" si="14"/>
        <v>101.31221254956836</v>
      </c>
    </row>
    <row r="126" spans="1:50" x14ac:dyDescent="0.2">
      <c r="A126" s="3">
        <v>45940</v>
      </c>
      <c r="B126">
        <v>1138.5</v>
      </c>
      <c r="C126">
        <v>106</v>
      </c>
      <c r="D126">
        <v>3.1669999999999998</v>
      </c>
      <c r="E126">
        <v>12.664999999999999</v>
      </c>
      <c r="F126">
        <v>74</v>
      </c>
      <c r="G126">
        <v>9.5779999999999994</v>
      </c>
      <c r="H126">
        <v>31.98</v>
      </c>
      <c r="I126">
        <v>63.4</v>
      </c>
      <c r="J126">
        <v>49.17</v>
      </c>
      <c r="K126">
        <v>338.6</v>
      </c>
      <c r="L126">
        <v>72.98</v>
      </c>
      <c r="M126">
        <v>88.06</v>
      </c>
      <c r="N126">
        <v>7.6749999999999998</v>
      </c>
      <c r="O126">
        <v>168.9</v>
      </c>
      <c r="P126">
        <v>10.210000000000001</v>
      </c>
      <c r="Q126">
        <v>17250</v>
      </c>
      <c r="R126">
        <v>0.4748</v>
      </c>
      <c r="S126">
        <v>188</v>
      </c>
      <c r="T126">
        <v>8.4</v>
      </c>
      <c r="U126">
        <v>10.82</v>
      </c>
      <c r="V126" s="6"/>
      <c r="W126" s="3">
        <v>45940</v>
      </c>
      <c r="X126">
        <v>2737</v>
      </c>
      <c r="Y126">
        <v>556</v>
      </c>
      <c r="Z126">
        <v>76.38</v>
      </c>
      <c r="AA126">
        <v>5.1639999999999997</v>
      </c>
      <c r="AB126">
        <v>527.4</v>
      </c>
      <c r="AC126">
        <v>142.9</v>
      </c>
      <c r="AD126">
        <v>109.3</v>
      </c>
      <c r="AE126">
        <v>3341</v>
      </c>
      <c r="AF126">
        <v>182.6</v>
      </c>
      <c r="AG126">
        <v>5108</v>
      </c>
      <c r="AH126">
        <v>3494</v>
      </c>
      <c r="AI126">
        <v>290.2</v>
      </c>
      <c r="AJ126">
        <v>58.5</v>
      </c>
      <c r="AK126">
        <v>35.659999999999997</v>
      </c>
      <c r="AL126">
        <v>77.599999999999994</v>
      </c>
      <c r="AM126">
        <v>1325</v>
      </c>
      <c r="AN126">
        <v>490.6</v>
      </c>
      <c r="AO126">
        <v>6885</v>
      </c>
      <c r="AP126">
        <v>83.56</v>
      </c>
      <c r="AQ126">
        <v>122.55</v>
      </c>
      <c r="AR126" cm="1">
        <f t="array" ref="AR126">SUMPRODUCT($B$162:$U$162,(B126:U126)/($B$11:$U$11))</f>
        <v>30107.324014089372</v>
      </c>
      <c r="AS126">
        <f t="shared" si="10"/>
        <v>-539.46482046612073</v>
      </c>
      <c r="AT126">
        <f t="shared" si="11"/>
        <v>-1.7602654013064267E-2</v>
      </c>
      <c r="AU126" cm="1">
        <f t="array" ref="AU126">SUMPRODUCT($X$162:$AQ$162,(X126:AQ126)/($X$11:$AQ$11))</f>
        <v>24536.757691311686</v>
      </c>
      <c r="AV126">
        <f t="shared" si="12"/>
        <v>-134.82561467590494</v>
      </c>
      <c r="AW126">
        <f t="shared" si="13"/>
        <v>134.82561467590494</v>
      </c>
      <c r="AX126">
        <f t="shared" si="14"/>
        <v>-404.63920579021578</v>
      </c>
    </row>
    <row r="127" spans="1:50" x14ac:dyDescent="0.2">
      <c r="A127" s="3">
        <v>45943</v>
      </c>
      <c r="B127">
        <v>1128.5</v>
      </c>
      <c r="C127">
        <v>108.5</v>
      </c>
      <c r="D127">
        <v>3.2210000000000001</v>
      </c>
      <c r="E127">
        <v>12.675000000000001</v>
      </c>
      <c r="F127">
        <v>74.44</v>
      </c>
      <c r="G127">
        <v>9.64</v>
      </c>
      <c r="H127">
        <v>32.119999999999997</v>
      </c>
      <c r="I127">
        <v>63.65</v>
      </c>
      <c r="J127">
        <v>48.96</v>
      </c>
      <c r="K127">
        <v>342.1</v>
      </c>
      <c r="L127">
        <v>73.42</v>
      </c>
      <c r="M127">
        <v>87.94</v>
      </c>
      <c r="N127">
        <v>7.625</v>
      </c>
      <c r="O127">
        <v>169.85</v>
      </c>
      <c r="P127">
        <v>10.31</v>
      </c>
      <c r="Q127">
        <v>17225</v>
      </c>
      <c r="R127">
        <v>0.48430000000000001</v>
      </c>
      <c r="S127">
        <v>192.25</v>
      </c>
      <c r="T127">
        <v>8.42</v>
      </c>
      <c r="U127">
        <v>10.93</v>
      </c>
      <c r="V127" s="6"/>
      <c r="W127" s="3">
        <v>45943</v>
      </c>
      <c r="X127">
        <v>2738</v>
      </c>
      <c r="Y127">
        <v>558</v>
      </c>
      <c r="Z127">
        <v>76.44</v>
      </c>
      <c r="AA127">
        <v>5.1360000000000001</v>
      </c>
      <c r="AB127">
        <v>529.4</v>
      </c>
      <c r="AC127">
        <v>141.5</v>
      </c>
      <c r="AD127">
        <v>110.15</v>
      </c>
      <c r="AE127">
        <v>3367</v>
      </c>
      <c r="AF127">
        <v>184.4</v>
      </c>
      <c r="AG127">
        <v>5204</v>
      </c>
      <c r="AH127">
        <v>3472</v>
      </c>
      <c r="AI127">
        <v>290.10000000000002</v>
      </c>
      <c r="AJ127">
        <v>58.9</v>
      </c>
      <c r="AK127">
        <v>36.29</v>
      </c>
      <c r="AL127">
        <v>77.45</v>
      </c>
      <c r="AM127">
        <v>1347.5</v>
      </c>
      <c r="AN127">
        <v>498.6</v>
      </c>
      <c r="AO127">
        <v>6930</v>
      </c>
      <c r="AP127">
        <v>82.14</v>
      </c>
      <c r="AQ127">
        <v>124</v>
      </c>
      <c r="AR127" cm="1">
        <f t="array" ref="AR127">SUMPRODUCT($B$162:$U$162,(B127:U127)/($B$11:$U$11))</f>
        <v>30324.214134053309</v>
      </c>
      <c r="AS127">
        <f t="shared" si="10"/>
        <v>216.89011996393674</v>
      </c>
      <c r="AT127">
        <f t="shared" si="11"/>
        <v>7.2038989537044351E-3</v>
      </c>
      <c r="AU127" cm="1">
        <f t="array" ref="AU127">SUMPRODUCT($X$162:$AQ$162,(X127:AQ127)/($X$11:$AQ$11))</f>
        <v>24630.776444004601</v>
      </c>
      <c r="AV127">
        <f t="shared" si="12"/>
        <v>94.018752692914859</v>
      </c>
      <c r="AW127">
        <f t="shared" si="13"/>
        <v>-94.018752692914859</v>
      </c>
      <c r="AX127">
        <f t="shared" si="14"/>
        <v>122.87136727102188</v>
      </c>
    </row>
    <row r="128" spans="1:50" x14ac:dyDescent="0.2">
      <c r="A128" s="3">
        <v>45944</v>
      </c>
      <c r="B128">
        <v>1124</v>
      </c>
      <c r="C128">
        <v>106.15</v>
      </c>
      <c r="D128">
        <v>3.2559999999999998</v>
      </c>
      <c r="E128">
        <v>12.5</v>
      </c>
      <c r="F128">
        <v>73.819999999999993</v>
      </c>
      <c r="G128">
        <v>9.5259999999999998</v>
      </c>
      <c r="H128">
        <v>32.799999999999997</v>
      </c>
      <c r="I128">
        <v>62.95</v>
      </c>
      <c r="J128">
        <v>48.99</v>
      </c>
      <c r="K128">
        <v>343.5</v>
      </c>
      <c r="L128">
        <v>72.459999999999994</v>
      </c>
      <c r="M128">
        <v>88.84</v>
      </c>
      <c r="N128">
        <v>7.63</v>
      </c>
      <c r="O128">
        <v>173</v>
      </c>
      <c r="P128">
        <v>10.11</v>
      </c>
      <c r="Q128">
        <v>16700</v>
      </c>
      <c r="R128">
        <v>0.47589999999999999</v>
      </c>
      <c r="S128">
        <v>186.25</v>
      </c>
      <c r="T128">
        <v>8.1999999999999993</v>
      </c>
      <c r="U128">
        <v>10.67</v>
      </c>
      <c r="V128" s="6"/>
      <c r="W128" s="3">
        <v>45944</v>
      </c>
      <c r="X128">
        <v>2662</v>
      </c>
      <c r="Y128">
        <v>559.5</v>
      </c>
      <c r="Z128">
        <v>75.44</v>
      </c>
      <c r="AA128">
        <v>5.1719999999999997</v>
      </c>
      <c r="AB128">
        <v>523.4</v>
      </c>
      <c r="AC128">
        <v>139.80000000000001</v>
      </c>
      <c r="AD128">
        <v>109.95</v>
      </c>
      <c r="AE128">
        <v>3380</v>
      </c>
      <c r="AF128">
        <v>185.2</v>
      </c>
      <c r="AG128">
        <v>5148</v>
      </c>
      <c r="AH128">
        <v>3456</v>
      </c>
      <c r="AI128">
        <v>286.2</v>
      </c>
      <c r="AJ128">
        <v>51.1</v>
      </c>
      <c r="AK128">
        <v>35.54</v>
      </c>
      <c r="AL128">
        <v>77.2</v>
      </c>
      <c r="AM128">
        <v>1357.5</v>
      </c>
      <c r="AN128">
        <v>498.6</v>
      </c>
      <c r="AO128">
        <v>6645</v>
      </c>
      <c r="AP128">
        <v>81.44</v>
      </c>
      <c r="AQ128">
        <v>119.4</v>
      </c>
      <c r="AR128" cm="1">
        <f t="array" ref="AR128">SUMPRODUCT($B$162:$U$162,(B128:U128)/($B$11:$U$11))</f>
        <v>30082.775997123808</v>
      </c>
      <c r="AS128">
        <f t="shared" si="10"/>
        <v>-241.43813692950062</v>
      </c>
      <c r="AT128">
        <f t="shared" si="11"/>
        <v>-7.9618926268685275E-3</v>
      </c>
      <c r="AU128" cm="1">
        <f t="array" ref="AU128">SUMPRODUCT($X$162:$AQ$162,(X128:AQ128)/($X$11:$AQ$11))</f>
        <v>24286.326565985357</v>
      </c>
      <c r="AV128">
        <f t="shared" si="12"/>
        <v>-344.44987801924435</v>
      </c>
      <c r="AW128">
        <f t="shared" si="13"/>
        <v>344.44987801924435</v>
      </c>
      <c r="AX128">
        <f t="shared" si="14"/>
        <v>103.01174108974374</v>
      </c>
    </row>
    <row r="129" spans="1:50" x14ac:dyDescent="0.2">
      <c r="A129" s="3">
        <v>45945</v>
      </c>
      <c r="B129">
        <v>1112.5</v>
      </c>
      <c r="C129">
        <v>105.9</v>
      </c>
      <c r="D129">
        <v>3.226</v>
      </c>
      <c r="E129">
        <v>12.15</v>
      </c>
      <c r="F129">
        <v>76</v>
      </c>
      <c r="G129">
        <v>9.2360000000000007</v>
      </c>
      <c r="H129">
        <v>32.86</v>
      </c>
      <c r="I129">
        <v>63</v>
      </c>
      <c r="J129">
        <v>48.68</v>
      </c>
      <c r="K129">
        <v>341.6</v>
      </c>
      <c r="L129">
        <v>72.5</v>
      </c>
      <c r="M129">
        <v>88.5</v>
      </c>
      <c r="N129">
        <v>7.62</v>
      </c>
      <c r="O129">
        <v>170.1</v>
      </c>
      <c r="P129">
        <v>10.220000000000001</v>
      </c>
      <c r="Q129">
        <v>16930</v>
      </c>
      <c r="R129">
        <v>0.47899999999999998</v>
      </c>
      <c r="S129">
        <v>190.25</v>
      </c>
      <c r="T129">
        <v>8.24</v>
      </c>
      <c r="U129">
        <v>10.85</v>
      </c>
      <c r="V129" s="6"/>
      <c r="W129" s="3">
        <v>45945</v>
      </c>
      <c r="X129">
        <v>2670</v>
      </c>
      <c r="Y129">
        <v>566.5</v>
      </c>
      <c r="Z129">
        <v>75.72</v>
      </c>
      <c r="AA129">
        <v>5.18</v>
      </c>
      <c r="AB129">
        <v>536.79999999999995</v>
      </c>
      <c r="AC129">
        <v>134</v>
      </c>
      <c r="AD129">
        <v>109.75</v>
      </c>
      <c r="AE129">
        <v>3442</v>
      </c>
      <c r="AF129">
        <v>186.2</v>
      </c>
      <c r="AG129">
        <v>5264</v>
      </c>
      <c r="AH129">
        <v>3468</v>
      </c>
      <c r="AI129">
        <v>284.10000000000002</v>
      </c>
      <c r="AJ129">
        <v>53.6</v>
      </c>
      <c r="AK129">
        <v>36.35</v>
      </c>
      <c r="AL129">
        <v>77.5</v>
      </c>
      <c r="AM129">
        <v>1350.5</v>
      </c>
      <c r="AN129">
        <v>513</v>
      </c>
      <c r="AO129">
        <v>6660</v>
      </c>
      <c r="AP129">
        <v>82.6</v>
      </c>
      <c r="AQ129">
        <v>120.7</v>
      </c>
      <c r="AR129" cm="1">
        <f t="array" ref="AR129">SUMPRODUCT($B$162:$U$162,(B129:U129)/($B$11:$U$11))</f>
        <v>29992.364452165068</v>
      </c>
      <c r="AS129">
        <f t="shared" si="10"/>
        <v>-90.411544958740706</v>
      </c>
      <c r="AT129">
        <f t="shared" si="11"/>
        <v>-3.0054255952770559E-3</v>
      </c>
      <c r="AU129" cm="1">
        <f t="array" ref="AU129">SUMPRODUCT($X$162:$AQ$162,(X129:AQ129)/($X$11:$AQ$11))</f>
        <v>24476.600753760053</v>
      </c>
      <c r="AV129">
        <f t="shared" si="12"/>
        <v>190.27418777469575</v>
      </c>
      <c r="AW129">
        <f t="shared" si="13"/>
        <v>-190.27418777469575</v>
      </c>
      <c r="AX129">
        <f t="shared" si="14"/>
        <v>-280.68573273343645</v>
      </c>
    </row>
    <row r="130" spans="1:50" x14ac:dyDescent="0.2">
      <c r="A130" s="3">
        <v>45946</v>
      </c>
      <c r="B130">
        <v>1140</v>
      </c>
      <c r="C130">
        <v>105.3</v>
      </c>
      <c r="D130">
        <v>3.2290000000000001</v>
      </c>
      <c r="E130">
        <v>12.205</v>
      </c>
      <c r="F130">
        <v>75.400000000000006</v>
      </c>
      <c r="G130">
        <v>9.3960000000000008</v>
      </c>
      <c r="H130">
        <v>33.159999999999997</v>
      </c>
      <c r="I130">
        <v>63.7</v>
      </c>
      <c r="J130">
        <v>48.68</v>
      </c>
      <c r="K130">
        <v>345.1</v>
      </c>
      <c r="L130">
        <v>74.959999999999994</v>
      </c>
      <c r="M130">
        <v>90.32</v>
      </c>
      <c r="N130">
        <v>7.64</v>
      </c>
      <c r="O130">
        <v>175.15</v>
      </c>
      <c r="P130">
        <v>10.35</v>
      </c>
      <c r="Q130">
        <v>16670</v>
      </c>
      <c r="R130">
        <v>0.50660000000000005</v>
      </c>
      <c r="S130">
        <v>191.25</v>
      </c>
      <c r="T130">
        <v>8.32</v>
      </c>
      <c r="U130">
        <v>10.94</v>
      </c>
      <c r="V130" s="6"/>
      <c r="W130" s="3">
        <v>45946</v>
      </c>
      <c r="X130">
        <v>2898</v>
      </c>
      <c r="Y130">
        <v>566</v>
      </c>
      <c r="Z130">
        <v>78.8</v>
      </c>
      <c r="AA130">
        <v>5.2359999999999998</v>
      </c>
      <c r="AB130">
        <v>548.20000000000005</v>
      </c>
      <c r="AC130">
        <v>136.1</v>
      </c>
      <c r="AD130">
        <v>109.5</v>
      </c>
      <c r="AE130">
        <v>3539</v>
      </c>
      <c r="AF130">
        <v>186.4</v>
      </c>
      <c r="AG130">
        <v>5362</v>
      </c>
      <c r="AH130">
        <v>3480</v>
      </c>
      <c r="AI130">
        <v>285.3</v>
      </c>
      <c r="AJ130">
        <v>53.5</v>
      </c>
      <c r="AK130">
        <v>36.46</v>
      </c>
      <c r="AL130">
        <v>77.8</v>
      </c>
      <c r="AM130">
        <v>1343.5</v>
      </c>
      <c r="AN130">
        <v>512</v>
      </c>
      <c r="AO130">
        <v>6815</v>
      </c>
      <c r="AP130">
        <v>89.62</v>
      </c>
      <c r="AQ130">
        <v>120.75</v>
      </c>
      <c r="AR130" cm="1">
        <f t="array" ref="AR130">SUMPRODUCT($B$162:$U$162,(B130:U130)/($B$11:$U$11))</f>
        <v>30302.174451240178</v>
      </c>
      <c r="AS130">
        <f t="shared" si="10"/>
        <v>309.80999907511068</v>
      </c>
      <c r="AT130">
        <f t="shared" si="11"/>
        <v>1.0329629048394295E-2</v>
      </c>
      <c r="AU130" cm="1">
        <f t="array" ref="AU130">SUMPRODUCT($X$162:$AQ$162,(X130:AQ130)/($X$11:$AQ$11))</f>
        <v>24966.422617772962</v>
      </c>
      <c r="AV130">
        <f t="shared" si="12"/>
        <v>489.82186401290892</v>
      </c>
      <c r="AW130">
        <f t="shared" si="13"/>
        <v>-489.82186401290892</v>
      </c>
      <c r="AX130">
        <f t="shared" si="14"/>
        <v>-180.01186493779824</v>
      </c>
    </row>
    <row r="131" spans="1:50" x14ac:dyDescent="0.2">
      <c r="A131" s="3">
        <v>45947</v>
      </c>
      <c r="B131">
        <v>1103</v>
      </c>
      <c r="C131">
        <v>100.9</v>
      </c>
      <c r="D131">
        <v>3.01</v>
      </c>
      <c r="E131">
        <v>12.01</v>
      </c>
      <c r="F131">
        <v>74.459999999999994</v>
      </c>
      <c r="G131">
        <v>9.2460000000000004</v>
      </c>
      <c r="H131">
        <v>32.74</v>
      </c>
      <c r="I131">
        <v>61.3</v>
      </c>
      <c r="J131">
        <v>48.42</v>
      </c>
      <c r="K131">
        <v>351.8</v>
      </c>
      <c r="L131">
        <v>75.52</v>
      </c>
      <c r="M131">
        <v>89.44</v>
      </c>
      <c r="N131">
        <v>7.375</v>
      </c>
      <c r="O131">
        <v>174.25</v>
      </c>
      <c r="P131">
        <v>10.43</v>
      </c>
      <c r="Q131">
        <v>16825</v>
      </c>
      <c r="R131">
        <v>0.50700000000000001</v>
      </c>
      <c r="S131">
        <v>187.75</v>
      </c>
      <c r="T131">
        <v>8.2050000000000001</v>
      </c>
      <c r="U131">
        <v>10.83</v>
      </c>
      <c r="V131" s="6"/>
      <c r="W131" s="3">
        <v>45947</v>
      </c>
      <c r="X131">
        <v>2874</v>
      </c>
      <c r="Y131">
        <v>574.5</v>
      </c>
      <c r="Z131">
        <v>79.760000000000005</v>
      </c>
      <c r="AA131">
        <v>5.258</v>
      </c>
      <c r="AB131">
        <v>553.6</v>
      </c>
      <c r="AC131">
        <v>118.5</v>
      </c>
      <c r="AD131">
        <v>109.15</v>
      </c>
      <c r="AE131">
        <v>3570</v>
      </c>
      <c r="AF131">
        <v>186.4</v>
      </c>
      <c r="AG131">
        <v>5314</v>
      </c>
      <c r="AH131">
        <v>3454</v>
      </c>
      <c r="AI131">
        <v>283.7</v>
      </c>
      <c r="AJ131">
        <v>53.6</v>
      </c>
      <c r="AK131">
        <v>35.86</v>
      </c>
      <c r="AL131">
        <v>77</v>
      </c>
      <c r="AM131">
        <v>1303.5</v>
      </c>
      <c r="AN131">
        <v>507.5</v>
      </c>
      <c r="AO131">
        <v>6840</v>
      </c>
      <c r="AP131">
        <v>89.34</v>
      </c>
      <c r="AQ131">
        <v>119.75</v>
      </c>
      <c r="AR131" cm="1">
        <f t="array" ref="AR131">SUMPRODUCT($B$162:$U$162,(B131:U131)/($B$11:$U$11))</f>
        <v>29606.818231815625</v>
      </c>
      <c r="AS131">
        <f t="shared" si="10"/>
        <v>-695.35621942455327</v>
      </c>
      <c r="AT131">
        <f t="shared" si="11"/>
        <v>-2.2947403347025941E-2</v>
      </c>
      <c r="AU131" cm="1">
        <f t="array" ref="AU131">SUMPRODUCT($X$162:$AQ$162,(X131:AQ131)/($X$11:$AQ$11))</f>
        <v>24803.737269270638</v>
      </c>
      <c r="AV131">
        <f t="shared" si="12"/>
        <v>-162.6853485023239</v>
      </c>
      <c r="AW131">
        <f t="shared" si="13"/>
        <v>162.6853485023239</v>
      </c>
      <c r="AX131">
        <f t="shared" si="14"/>
        <v>-532.67087092222937</v>
      </c>
    </row>
    <row r="132" spans="1:50" x14ac:dyDescent="0.2">
      <c r="A132" s="3">
        <v>45950</v>
      </c>
      <c r="B132">
        <v>1127</v>
      </c>
      <c r="C132">
        <v>101.95</v>
      </c>
      <c r="D132">
        <v>3.15</v>
      </c>
      <c r="E132">
        <v>12.315</v>
      </c>
      <c r="F132">
        <v>75.62</v>
      </c>
      <c r="G132">
        <v>9.5500000000000007</v>
      </c>
      <c r="H132">
        <v>32.6</v>
      </c>
      <c r="I132">
        <v>62.35</v>
      </c>
      <c r="J132">
        <v>48.95</v>
      </c>
      <c r="K132">
        <v>351.2</v>
      </c>
      <c r="L132">
        <v>75.84</v>
      </c>
      <c r="M132">
        <v>89.54</v>
      </c>
      <c r="N132">
        <v>7.52</v>
      </c>
      <c r="O132">
        <v>171.9</v>
      </c>
      <c r="P132">
        <v>10.63</v>
      </c>
      <c r="Q132">
        <v>16825</v>
      </c>
      <c r="R132">
        <v>0.51160000000000005</v>
      </c>
      <c r="S132">
        <v>194.1</v>
      </c>
      <c r="T132">
        <v>8.5150000000000006</v>
      </c>
      <c r="U132">
        <v>11.22</v>
      </c>
      <c r="V132" s="6"/>
      <c r="W132" s="3">
        <v>45950</v>
      </c>
      <c r="X132">
        <v>2871</v>
      </c>
      <c r="Y132">
        <v>567</v>
      </c>
      <c r="Z132">
        <v>79.8</v>
      </c>
      <c r="AA132">
        <v>5.2960000000000003</v>
      </c>
      <c r="AB132">
        <v>553</v>
      </c>
      <c r="AC132">
        <v>120.8</v>
      </c>
      <c r="AD132">
        <v>110.2</v>
      </c>
      <c r="AE132">
        <v>3565</v>
      </c>
      <c r="AF132">
        <v>188.2</v>
      </c>
      <c r="AG132">
        <v>5366</v>
      </c>
      <c r="AH132">
        <v>3476</v>
      </c>
      <c r="AI132">
        <v>281.10000000000002</v>
      </c>
      <c r="AJ132">
        <v>53.3</v>
      </c>
      <c r="AK132">
        <v>37.090000000000003</v>
      </c>
      <c r="AL132">
        <v>77.7</v>
      </c>
      <c r="AM132">
        <v>1322</v>
      </c>
      <c r="AN132">
        <v>506.5</v>
      </c>
      <c r="AO132">
        <v>6835</v>
      </c>
      <c r="AP132">
        <v>88.34</v>
      </c>
      <c r="AQ132">
        <v>120.2</v>
      </c>
      <c r="AR132" cm="1">
        <f t="array" ref="AR132">SUMPRODUCT($B$162:$U$162,(B132:U132)/($B$11:$U$11))</f>
        <v>30138.144188884406</v>
      </c>
      <c r="AS132">
        <f t="shared" si="10"/>
        <v>531.32595706878055</v>
      </c>
      <c r="AT132">
        <f t="shared" si="11"/>
        <v>1.7946067453402215E-2</v>
      </c>
      <c r="AU132" cm="1">
        <f t="array" ref="AU132">SUMPRODUCT($X$162:$AQ$162,(X132:AQ132)/($X$11:$AQ$11))</f>
        <v>24865.374639974467</v>
      </c>
      <c r="AV132">
        <f t="shared" si="12"/>
        <v>61.63737070382922</v>
      </c>
      <c r="AW132">
        <f t="shared" si="13"/>
        <v>-61.63737070382922</v>
      </c>
      <c r="AX132">
        <f t="shared" si="14"/>
        <v>469.68858636495133</v>
      </c>
    </row>
    <row r="133" spans="1:50" x14ac:dyDescent="0.2">
      <c r="A133" s="3">
        <v>45951</v>
      </c>
      <c r="B133">
        <v>1134.5</v>
      </c>
      <c r="C133">
        <v>99.48</v>
      </c>
      <c r="D133">
        <v>3.1269999999999998</v>
      </c>
      <c r="E133">
        <v>12.21</v>
      </c>
      <c r="F133">
        <v>75.52</v>
      </c>
      <c r="G133">
        <v>9.98</v>
      </c>
      <c r="H133">
        <v>32.880000000000003</v>
      </c>
      <c r="I133">
        <v>62.05</v>
      </c>
      <c r="J133">
        <v>48.78</v>
      </c>
      <c r="K133">
        <v>348.8</v>
      </c>
      <c r="L133">
        <v>75.5</v>
      </c>
      <c r="M133">
        <v>90.36</v>
      </c>
      <c r="N133">
        <v>7.5750000000000002</v>
      </c>
      <c r="O133">
        <v>173.65</v>
      </c>
      <c r="P133">
        <v>10.73</v>
      </c>
      <c r="Q133">
        <v>16660</v>
      </c>
      <c r="R133">
        <v>0.50819999999999999</v>
      </c>
      <c r="S133">
        <v>185.5</v>
      </c>
      <c r="T133">
        <v>8.48</v>
      </c>
      <c r="U133">
        <v>11.47</v>
      </c>
      <c r="V133" s="6"/>
      <c r="W133" s="3">
        <v>45951</v>
      </c>
      <c r="X133">
        <v>2880</v>
      </c>
      <c r="Y133">
        <v>570</v>
      </c>
      <c r="Z133">
        <v>80.680000000000007</v>
      </c>
      <c r="AA133">
        <v>5.3559999999999999</v>
      </c>
      <c r="AB133">
        <v>558.4</v>
      </c>
      <c r="AC133">
        <v>128.4</v>
      </c>
      <c r="AD133">
        <v>111.35</v>
      </c>
      <c r="AE133">
        <v>3585</v>
      </c>
      <c r="AF133">
        <v>189.6</v>
      </c>
      <c r="AG133">
        <v>5410</v>
      </c>
      <c r="AH133">
        <v>3466</v>
      </c>
      <c r="AI133">
        <v>280.8</v>
      </c>
      <c r="AJ133">
        <v>53.8</v>
      </c>
      <c r="AK133">
        <v>37.67</v>
      </c>
      <c r="AL133">
        <v>77.8</v>
      </c>
      <c r="AM133">
        <v>1330.5</v>
      </c>
      <c r="AN133">
        <v>517</v>
      </c>
      <c r="AO133">
        <v>6925</v>
      </c>
      <c r="AP133">
        <v>87.4</v>
      </c>
      <c r="AQ133">
        <v>119.5</v>
      </c>
      <c r="AR133" cm="1">
        <f t="array" ref="AR133">SUMPRODUCT($B$162:$U$162,(B133:U133)/($B$11:$U$11))</f>
        <v>30048.656537780749</v>
      </c>
      <c r="AS133">
        <f t="shared" si="10"/>
        <v>-89.48765110365639</v>
      </c>
      <c r="AT133">
        <f t="shared" si="11"/>
        <v>-2.969248887483289E-3</v>
      </c>
      <c r="AU133" cm="1">
        <f t="array" ref="AU133">SUMPRODUCT($X$162:$AQ$162,(X133:AQ133)/($X$11:$AQ$11))</f>
        <v>25062.790556512042</v>
      </c>
      <c r="AV133">
        <f t="shared" si="12"/>
        <v>197.41591653757496</v>
      </c>
      <c r="AW133">
        <f t="shared" si="13"/>
        <v>-197.41591653757496</v>
      </c>
      <c r="AX133">
        <f t="shared" si="14"/>
        <v>-286.90356764123135</v>
      </c>
    </row>
    <row r="134" spans="1:50" x14ac:dyDescent="0.2">
      <c r="A134" s="3">
        <v>45952</v>
      </c>
      <c r="B134">
        <v>1102.5</v>
      </c>
      <c r="C134">
        <v>95.8</v>
      </c>
      <c r="D134">
        <v>3.1280000000000001</v>
      </c>
      <c r="E134">
        <v>12.055</v>
      </c>
      <c r="F134">
        <v>76.540000000000006</v>
      </c>
      <c r="G134">
        <v>9.6739999999999995</v>
      </c>
      <c r="H134">
        <v>33.36</v>
      </c>
      <c r="I134">
        <v>63</v>
      </c>
      <c r="J134">
        <v>48.17</v>
      </c>
      <c r="K134">
        <v>354.5</v>
      </c>
      <c r="L134">
        <v>75.66</v>
      </c>
      <c r="M134">
        <v>91.58</v>
      </c>
      <c r="N134">
        <v>7.5750000000000002</v>
      </c>
      <c r="O134">
        <v>174.8</v>
      </c>
      <c r="P134">
        <v>10.65</v>
      </c>
      <c r="Q134">
        <v>17350</v>
      </c>
      <c r="R134">
        <v>0.50780000000000003</v>
      </c>
      <c r="S134">
        <v>186.1</v>
      </c>
      <c r="T134">
        <v>6.6449999999999996</v>
      </c>
      <c r="U134">
        <v>11.43</v>
      </c>
      <c r="V134" s="6"/>
      <c r="W134" s="3">
        <v>45952</v>
      </c>
      <c r="X134">
        <v>2943</v>
      </c>
      <c r="Y134">
        <v>570.5</v>
      </c>
      <c r="Z134">
        <v>80.760000000000005</v>
      </c>
      <c r="AA134">
        <v>5.36</v>
      </c>
      <c r="AB134">
        <v>560</v>
      </c>
      <c r="AC134">
        <v>130.30000000000001</v>
      </c>
      <c r="AD134">
        <v>112.75</v>
      </c>
      <c r="AE134">
        <v>3568</v>
      </c>
      <c r="AF134">
        <v>192</v>
      </c>
      <c r="AG134">
        <v>5430</v>
      </c>
      <c r="AH134">
        <v>3482</v>
      </c>
      <c r="AI134">
        <v>280.5</v>
      </c>
      <c r="AJ134">
        <v>53.7</v>
      </c>
      <c r="AK134">
        <v>37.1</v>
      </c>
      <c r="AL134">
        <v>77.900000000000006</v>
      </c>
      <c r="AM134">
        <v>1353</v>
      </c>
      <c r="AN134">
        <v>528.5</v>
      </c>
      <c r="AO134">
        <v>6980</v>
      </c>
      <c r="AP134">
        <v>85.44</v>
      </c>
      <c r="AQ134">
        <v>117.95</v>
      </c>
      <c r="AR134" cm="1">
        <f t="array" ref="AR134">SUMPRODUCT($B$162:$U$162,(B134:U134)/($B$11:$U$11))</f>
        <v>29715.89231965207</v>
      </c>
      <c r="AS134">
        <f t="shared" si="10"/>
        <v>-332.7642181286792</v>
      </c>
      <c r="AT134">
        <f t="shared" si="11"/>
        <v>-1.1074179563079212E-2</v>
      </c>
      <c r="AU134" cm="1">
        <f t="array" ref="AU134">SUMPRODUCT($X$162:$AQ$162,(X134:AQ134)/($X$11:$AQ$11))</f>
        <v>25169.637745948494</v>
      </c>
      <c r="AV134">
        <f t="shared" si="12"/>
        <v>106.84718943645203</v>
      </c>
      <c r="AW134">
        <f t="shared" si="13"/>
        <v>-106.84718943645203</v>
      </c>
      <c r="AX134">
        <f t="shared" si="14"/>
        <v>-439.61140756513123</v>
      </c>
    </row>
    <row r="135" spans="1:50" x14ac:dyDescent="0.2">
      <c r="A135" s="3">
        <v>45953</v>
      </c>
      <c r="B135">
        <v>1108.5</v>
      </c>
      <c r="C135">
        <v>98.88</v>
      </c>
      <c r="D135">
        <v>3.097</v>
      </c>
      <c r="E135">
        <v>12.16</v>
      </c>
      <c r="F135">
        <v>77.36</v>
      </c>
      <c r="G135">
        <v>9.4779999999999998</v>
      </c>
      <c r="H135">
        <v>33.5</v>
      </c>
      <c r="I135">
        <v>63.5</v>
      </c>
      <c r="J135">
        <v>49.17</v>
      </c>
      <c r="K135">
        <v>351.2</v>
      </c>
      <c r="L135">
        <v>75.540000000000006</v>
      </c>
      <c r="M135">
        <v>91.16</v>
      </c>
      <c r="N135">
        <v>7.4450000000000003</v>
      </c>
      <c r="O135">
        <v>178.6</v>
      </c>
      <c r="P135">
        <v>10.77</v>
      </c>
      <c r="Q135">
        <v>17320</v>
      </c>
      <c r="R135">
        <v>0.4929</v>
      </c>
      <c r="S135">
        <v>193.75</v>
      </c>
      <c r="T135">
        <v>6.6050000000000004</v>
      </c>
      <c r="U135">
        <v>10.94</v>
      </c>
      <c r="V135" s="6"/>
      <c r="W135" s="3">
        <v>45953</v>
      </c>
      <c r="X135">
        <v>2960</v>
      </c>
      <c r="Y135">
        <v>573</v>
      </c>
      <c r="Z135">
        <v>81.14</v>
      </c>
      <c r="AA135">
        <v>5.37</v>
      </c>
      <c r="AB135">
        <v>574</v>
      </c>
      <c r="AC135">
        <v>128.9</v>
      </c>
      <c r="AD135">
        <v>112.85</v>
      </c>
      <c r="AE135">
        <v>3544</v>
      </c>
      <c r="AF135">
        <v>193.2</v>
      </c>
      <c r="AG135">
        <v>5292</v>
      </c>
      <c r="AH135">
        <v>3518</v>
      </c>
      <c r="AI135">
        <v>271.60000000000002</v>
      </c>
      <c r="AJ135">
        <v>53.9</v>
      </c>
      <c r="AK135">
        <v>37.380000000000003</v>
      </c>
      <c r="AL135">
        <v>78.150000000000006</v>
      </c>
      <c r="AM135">
        <v>1331</v>
      </c>
      <c r="AN135">
        <v>531</v>
      </c>
      <c r="AO135">
        <v>6935</v>
      </c>
      <c r="AP135">
        <v>87.04</v>
      </c>
      <c r="AQ135">
        <v>117.55</v>
      </c>
      <c r="AR135" cm="1">
        <f t="array" ref="AR135">SUMPRODUCT($B$162:$U$162,(B135:U135)/($B$11:$U$11))</f>
        <v>29832.049493732276</v>
      </c>
      <c r="AS135">
        <f t="shared" si="10"/>
        <v>116.15717408020646</v>
      </c>
      <c r="AT135">
        <f t="shared" si="11"/>
        <v>3.9089243166825494E-3</v>
      </c>
      <c r="AU135" cm="1">
        <f t="array" ref="AU135">SUMPRODUCT($X$162:$AQ$162,(X135:AQ135)/($X$11:$AQ$11))</f>
        <v>25177.374150507385</v>
      </c>
      <c r="AV135">
        <f t="shared" si="12"/>
        <v>7.7364045588910813</v>
      </c>
      <c r="AW135">
        <f t="shared" si="13"/>
        <v>-7.7364045588910813</v>
      </c>
      <c r="AX135">
        <f t="shared" si="14"/>
        <v>108.42076952131538</v>
      </c>
    </row>
    <row r="136" spans="1:50" x14ac:dyDescent="0.2">
      <c r="A136" s="3">
        <v>45954</v>
      </c>
      <c r="B136">
        <v>1121</v>
      </c>
      <c r="C136">
        <v>103.8</v>
      </c>
      <c r="D136">
        <v>3.1030000000000002</v>
      </c>
      <c r="E136">
        <v>12.185</v>
      </c>
      <c r="F136">
        <v>77.06</v>
      </c>
      <c r="G136">
        <v>9.6739999999999995</v>
      </c>
      <c r="H136">
        <v>33.56</v>
      </c>
      <c r="I136">
        <v>64.8</v>
      </c>
      <c r="J136">
        <v>49.76</v>
      </c>
      <c r="K136">
        <v>350.4</v>
      </c>
      <c r="L136">
        <v>75.88</v>
      </c>
      <c r="M136">
        <v>90.62</v>
      </c>
      <c r="N136">
        <v>7.5</v>
      </c>
      <c r="O136">
        <v>179.3</v>
      </c>
      <c r="P136">
        <v>10.93</v>
      </c>
      <c r="Q136">
        <v>17285</v>
      </c>
      <c r="R136">
        <v>0.50119999999999998</v>
      </c>
      <c r="S136">
        <v>191</v>
      </c>
      <c r="T136">
        <v>6.625</v>
      </c>
      <c r="U136">
        <v>10.98</v>
      </c>
      <c r="V136" s="6"/>
      <c r="W136" s="3">
        <v>45954</v>
      </c>
      <c r="X136">
        <v>3010</v>
      </c>
      <c r="Y136">
        <v>573.5</v>
      </c>
      <c r="Z136">
        <v>81.819999999999993</v>
      </c>
      <c r="AA136">
        <v>5.36</v>
      </c>
      <c r="AB136">
        <v>586.6</v>
      </c>
      <c r="AC136">
        <v>127.7</v>
      </c>
      <c r="AD136">
        <v>114.1</v>
      </c>
      <c r="AE136">
        <v>3537</v>
      </c>
      <c r="AF136">
        <v>192.4</v>
      </c>
      <c r="AG136">
        <v>5312</v>
      </c>
      <c r="AH136">
        <v>3578</v>
      </c>
      <c r="AI136">
        <v>271.2</v>
      </c>
      <c r="AJ136">
        <v>53.5</v>
      </c>
      <c r="AK136">
        <v>38.31</v>
      </c>
      <c r="AL136">
        <v>78.45</v>
      </c>
      <c r="AM136">
        <v>1339</v>
      </c>
      <c r="AN136">
        <v>532.5</v>
      </c>
      <c r="AO136">
        <v>7010</v>
      </c>
      <c r="AP136">
        <v>88.78</v>
      </c>
      <c r="AQ136">
        <v>118.7</v>
      </c>
      <c r="AR136" cm="1">
        <f t="array" ref="AR136">SUMPRODUCT($B$162:$U$162,(B136:U136)/($B$11:$U$11))</f>
        <v>30158.812374740701</v>
      </c>
      <c r="AS136">
        <f t="shared" si="10"/>
        <v>326.7628810084243</v>
      </c>
      <c r="AT136">
        <f t="shared" si="11"/>
        <v>1.0953417098516161E-2</v>
      </c>
      <c r="AU136" cm="1">
        <f t="array" ref="AU136">SUMPRODUCT($X$162:$AQ$162,(X136:AQ136)/($X$11:$AQ$11))</f>
        <v>25356.504043407014</v>
      </c>
      <c r="AV136">
        <f t="shared" si="12"/>
        <v>179.12989289962934</v>
      </c>
      <c r="AW136">
        <f t="shared" si="13"/>
        <v>-179.12989289962934</v>
      </c>
      <c r="AX136">
        <f t="shared" si="14"/>
        <v>147.63298810879496</v>
      </c>
    </row>
    <row r="137" spans="1:50" x14ac:dyDescent="0.2">
      <c r="A137" s="3">
        <v>45957</v>
      </c>
      <c r="B137">
        <v>1120</v>
      </c>
      <c r="C137">
        <v>103</v>
      </c>
      <c r="D137">
        <v>3.1419999999999999</v>
      </c>
      <c r="E137">
        <v>12.39</v>
      </c>
      <c r="F137">
        <v>76.64</v>
      </c>
      <c r="G137">
        <v>9.94</v>
      </c>
      <c r="H137">
        <v>33.18</v>
      </c>
      <c r="I137">
        <v>66.05</v>
      </c>
      <c r="J137">
        <v>50.16</v>
      </c>
      <c r="K137">
        <v>345.9</v>
      </c>
      <c r="L137">
        <v>75.02</v>
      </c>
      <c r="M137">
        <v>90.04</v>
      </c>
      <c r="N137">
        <v>7.6150000000000002</v>
      </c>
      <c r="O137">
        <v>176.75</v>
      </c>
      <c r="P137">
        <v>11.14</v>
      </c>
      <c r="Q137">
        <v>17420</v>
      </c>
      <c r="R137">
        <v>0.50319999999999998</v>
      </c>
      <c r="S137">
        <v>189</v>
      </c>
      <c r="T137">
        <v>6.54</v>
      </c>
      <c r="U137">
        <v>10.76</v>
      </c>
      <c r="V137" s="6"/>
      <c r="W137" s="3">
        <v>45957</v>
      </c>
      <c r="X137">
        <v>2943</v>
      </c>
      <c r="Y137">
        <v>568</v>
      </c>
      <c r="Z137">
        <v>80.319999999999993</v>
      </c>
      <c r="AA137">
        <v>5.3419999999999996</v>
      </c>
      <c r="AB137">
        <v>578.6</v>
      </c>
      <c r="AC137">
        <v>126.6</v>
      </c>
      <c r="AD137">
        <v>112.7</v>
      </c>
      <c r="AE137">
        <v>3471</v>
      </c>
      <c r="AF137">
        <v>191.8</v>
      </c>
      <c r="AG137">
        <v>5178</v>
      </c>
      <c r="AH137">
        <v>3586</v>
      </c>
      <c r="AI137">
        <v>267.39999999999998</v>
      </c>
      <c r="AJ137">
        <v>53.6</v>
      </c>
      <c r="AK137">
        <v>38.119999999999997</v>
      </c>
      <c r="AL137">
        <v>78.5</v>
      </c>
      <c r="AM137">
        <v>1369</v>
      </c>
      <c r="AN137">
        <v>531.5</v>
      </c>
      <c r="AO137">
        <v>7020</v>
      </c>
      <c r="AP137">
        <v>89.62</v>
      </c>
      <c r="AQ137">
        <v>119.8</v>
      </c>
      <c r="AR137" cm="1">
        <f t="array" ref="AR137">SUMPRODUCT($B$162:$U$162,(B137:U137)/($B$11:$U$11))</f>
        <v>30216.515534353355</v>
      </c>
      <c r="AS137">
        <f t="shared" si="10"/>
        <v>57.703159612654417</v>
      </c>
      <c r="AT137">
        <f t="shared" si="11"/>
        <v>1.9133100765262867E-3</v>
      </c>
      <c r="AU137" cm="1">
        <f t="array" ref="AU137">SUMPRODUCT($X$162:$AQ$162,(X137:AQ137)/($X$11:$AQ$11))</f>
        <v>25185.870731947205</v>
      </c>
      <c r="AV137">
        <f t="shared" si="12"/>
        <v>-170.63331145980919</v>
      </c>
      <c r="AW137">
        <f t="shared" si="13"/>
        <v>170.63331145980919</v>
      </c>
      <c r="AX137">
        <f t="shared" si="14"/>
        <v>228.33647107246361</v>
      </c>
    </row>
    <row r="138" spans="1:50" x14ac:dyDescent="0.2">
      <c r="A138" s="3">
        <v>45958</v>
      </c>
      <c r="B138">
        <v>1146</v>
      </c>
      <c r="C138">
        <v>103.95</v>
      </c>
      <c r="D138">
        <v>3.2</v>
      </c>
      <c r="E138">
        <v>12.46</v>
      </c>
      <c r="F138">
        <v>78.260000000000005</v>
      </c>
      <c r="G138">
        <v>9.9779999999999998</v>
      </c>
      <c r="H138">
        <v>33.340000000000003</v>
      </c>
      <c r="I138">
        <v>64.8</v>
      </c>
      <c r="J138">
        <v>49.72</v>
      </c>
      <c r="K138">
        <v>343.7</v>
      </c>
      <c r="L138">
        <v>74.08</v>
      </c>
      <c r="M138">
        <v>90.88</v>
      </c>
      <c r="N138">
        <v>7.66</v>
      </c>
      <c r="O138">
        <v>176.1</v>
      </c>
      <c r="P138">
        <v>10.87</v>
      </c>
      <c r="Q138">
        <v>18065</v>
      </c>
      <c r="R138">
        <v>0.50560000000000005</v>
      </c>
      <c r="S138">
        <v>191.35</v>
      </c>
      <c r="T138">
        <v>6.47</v>
      </c>
      <c r="U138">
        <v>10.6</v>
      </c>
      <c r="V138" s="6"/>
      <c r="W138" s="3">
        <v>45958</v>
      </c>
      <c r="X138">
        <v>2945</v>
      </c>
      <c r="Y138">
        <v>561.5</v>
      </c>
      <c r="Z138">
        <v>76.680000000000007</v>
      </c>
      <c r="AA138">
        <v>5.4139999999999997</v>
      </c>
      <c r="AB138">
        <v>570.20000000000005</v>
      </c>
      <c r="AC138">
        <v>125.2</v>
      </c>
      <c r="AD138">
        <v>110.7</v>
      </c>
      <c r="AE138">
        <v>3413</v>
      </c>
      <c r="AF138">
        <v>190.4</v>
      </c>
      <c r="AG138">
        <v>5118</v>
      </c>
      <c r="AH138">
        <v>3588</v>
      </c>
      <c r="AI138">
        <v>261.10000000000002</v>
      </c>
      <c r="AJ138">
        <v>54.4</v>
      </c>
      <c r="AK138">
        <v>38.340000000000003</v>
      </c>
      <c r="AL138">
        <v>78.349999999999994</v>
      </c>
      <c r="AM138">
        <v>1349</v>
      </c>
      <c r="AN138">
        <v>534.5</v>
      </c>
      <c r="AO138">
        <v>7105</v>
      </c>
      <c r="AP138">
        <v>89.54</v>
      </c>
      <c r="AQ138">
        <v>119.9</v>
      </c>
      <c r="AR138" cm="1">
        <f t="array" ref="AR138">SUMPRODUCT($B$162:$U$162,(B138:U138)/($B$11:$U$11))</f>
        <v>30423.9797774422</v>
      </c>
      <c r="AS138">
        <f t="shared" si="10"/>
        <v>207.46424308884525</v>
      </c>
      <c r="AT138">
        <f t="shared" si="11"/>
        <v>6.8659221429081541E-3</v>
      </c>
      <c r="AU138" cm="1">
        <f t="array" ref="AU138">SUMPRODUCT($X$162:$AQ$162,(X138:AQ138)/($X$11:$AQ$11))</f>
        <v>25006.214632106305</v>
      </c>
      <c r="AV138">
        <f t="shared" si="12"/>
        <v>-179.65609984090042</v>
      </c>
      <c r="AW138">
        <f t="shared" si="13"/>
        <v>179.65609984090042</v>
      </c>
      <c r="AX138">
        <f t="shared" si="14"/>
        <v>387.12034292974568</v>
      </c>
    </row>
    <row r="139" spans="1:50" x14ac:dyDescent="0.2">
      <c r="A139" s="3">
        <v>45959</v>
      </c>
      <c r="B139">
        <v>1159.5</v>
      </c>
      <c r="C139">
        <v>106.85</v>
      </c>
      <c r="D139">
        <v>3.2120000000000002</v>
      </c>
      <c r="E139">
        <v>12.61</v>
      </c>
      <c r="F139">
        <v>77.8</v>
      </c>
      <c r="G139">
        <v>10.24</v>
      </c>
      <c r="H139">
        <v>33.36</v>
      </c>
      <c r="I139">
        <v>65.400000000000006</v>
      </c>
      <c r="J139">
        <v>50.68</v>
      </c>
      <c r="K139">
        <v>344.9</v>
      </c>
      <c r="L139">
        <v>73.180000000000007</v>
      </c>
      <c r="M139">
        <v>90.54</v>
      </c>
      <c r="N139">
        <v>7.93</v>
      </c>
      <c r="O139">
        <v>176.5</v>
      </c>
      <c r="P139">
        <v>10.84</v>
      </c>
      <c r="Q139">
        <v>18095</v>
      </c>
      <c r="R139">
        <v>0.49940000000000001</v>
      </c>
      <c r="S139">
        <v>197.2</v>
      </c>
      <c r="T139">
        <v>6.47</v>
      </c>
      <c r="U139">
        <v>10.42</v>
      </c>
      <c r="V139" s="6"/>
      <c r="W139" s="3">
        <v>45959</v>
      </c>
      <c r="X139">
        <v>2910</v>
      </c>
      <c r="Y139">
        <v>555.5</v>
      </c>
      <c r="Z139">
        <v>73.760000000000005</v>
      </c>
      <c r="AA139">
        <v>5.3760000000000003</v>
      </c>
      <c r="AB139">
        <v>565.6</v>
      </c>
      <c r="AC139">
        <v>127.6</v>
      </c>
      <c r="AD139">
        <v>106</v>
      </c>
      <c r="AE139">
        <v>3342</v>
      </c>
      <c r="AF139">
        <v>190.6</v>
      </c>
      <c r="AG139">
        <v>5152</v>
      </c>
      <c r="AH139">
        <v>3554</v>
      </c>
      <c r="AI139">
        <v>260.39999999999998</v>
      </c>
      <c r="AJ139">
        <v>54</v>
      </c>
      <c r="AK139">
        <v>38.200000000000003</v>
      </c>
      <c r="AL139">
        <v>78.150000000000006</v>
      </c>
      <c r="AM139">
        <v>1330</v>
      </c>
      <c r="AN139">
        <v>531.5</v>
      </c>
      <c r="AO139">
        <v>7175</v>
      </c>
      <c r="AP139">
        <v>89.14</v>
      </c>
      <c r="AQ139">
        <v>119</v>
      </c>
      <c r="AR139" cm="1">
        <f t="array" ref="AR139">SUMPRODUCT($B$162:$U$162,(B139:U139)/($B$11:$U$11))</f>
        <v>30732.056284170165</v>
      </c>
      <c r="AS139">
        <f t="shared" si="10"/>
        <v>308.07650672796444</v>
      </c>
      <c r="AT139">
        <f t="shared" si="11"/>
        <v>1.0126108056263794E-2</v>
      </c>
      <c r="AU139" cm="1">
        <f t="array" ref="AU139">SUMPRODUCT($X$162:$AQ$162,(X139:AQ139)/($X$11:$AQ$11))</f>
        <v>24781.265467555255</v>
      </c>
      <c r="AV139">
        <f t="shared" si="12"/>
        <v>-224.94916455104976</v>
      </c>
      <c r="AW139">
        <f t="shared" si="13"/>
        <v>224.94916455104976</v>
      </c>
      <c r="AX139">
        <f t="shared" si="14"/>
        <v>533.0256712790142</v>
      </c>
    </row>
    <row r="140" spans="1:50" x14ac:dyDescent="0.2">
      <c r="A140" s="3">
        <v>45960</v>
      </c>
      <c r="B140">
        <v>1168</v>
      </c>
      <c r="C140">
        <v>106.1</v>
      </c>
      <c r="D140">
        <v>3.206</v>
      </c>
      <c r="E140">
        <v>12.53</v>
      </c>
      <c r="F140">
        <v>77.06</v>
      </c>
      <c r="G140">
        <v>10.305</v>
      </c>
      <c r="H140">
        <v>33.22</v>
      </c>
      <c r="I140">
        <v>65.400000000000006</v>
      </c>
      <c r="J140">
        <v>52.9</v>
      </c>
      <c r="K140">
        <v>350.8</v>
      </c>
      <c r="L140">
        <v>71.959999999999994</v>
      </c>
      <c r="M140">
        <v>90.08</v>
      </c>
      <c r="N140">
        <v>7.8650000000000002</v>
      </c>
      <c r="O140">
        <v>179.8</v>
      </c>
      <c r="P140">
        <v>10.76</v>
      </c>
      <c r="Q140">
        <v>18100</v>
      </c>
      <c r="R140">
        <v>0.52339999999999998</v>
      </c>
      <c r="S140">
        <v>194</v>
      </c>
      <c r="T140">
        <v>6.34</v>
      </c>
      <c r="U140">
        <v>10.28</v>
      </c>
      <c r="V140" s="6"/>
      <c r="W140" s="3">
        <v>45960</v>
      </c>
      <c r="X140">
        <v>2890</v>
      </c>
      <c r="Y140">
        <v>554.5</v>
      </c>
      <c r="Z140">
        <v>73.44</v>
      </c>
      <c r="AA140">
        <v>5.3819999999999997</v>
      </c>
      <c r="AB140">
        <v>558.4</v>
      </c>
      <c r="AC140">
        <v>126.1</v>
      </c>
      <c r="AD140">
        <v>105.2</v>
      </c>
      <c r="AE140">
        <v>3325</v>
      </c>
      <c r="AF140">
        <v>191.8</v>
      </c>
      <c r="AG140">
        <v>5128</v>
      </c>
      <c r="AH140">
        <v>3556</v>
      </c>
      <c r="AI140">
        <v>261.7</v>
      </c>
      <c r="AJ140">
        <v>54.1</v>
      </c>
      <c r="AK140">
        <v>37.65</v>
      </c>
      <c r="AL140">
        <v>77.650000000000006</v>
      </c>
      <c r="AM140">
        <v>1320.5</v>
      </c>
      <c r="AN140">
        <v>525</v>
      </c>
      <c r="AO140">
        <v>7190</v>
      </c>
      <c r="AP140">
        <v>90.08</v>
      </c>
      <c r="AQ140">
        <v>116.6</v>
      </c>
      <c r="AR140" cm="1">
        <f t="array" ref="AR140">SUMPRODUCT($B$162:$U$162,(B140:U140)/($B$11:$U$11))</f>
        <v>30796.799637612319</v>
      </c>
      <c r="AS140">
        <f t="shared" si="10"/>
        <v>64.74335344215433</v>
      </c>
      <c r="AT140">
        <f t="shared" si="11"/>
        <v>2.1067042453486451E-3</v>
      </c>
      <c r="AU140" cm="1">
        <f t="array" ref="AU140">SUMPRODUCT($X$162:$AQ$162,(X140:AQ140)/($X$11:$AQ$11))</f>
        <v>24681.916293760565</v>
      </c>
      <c r="AV140">
        <f t="shared" si="12"/>
        <v>-99.349173794689705</v>
      </c>
      <c r="AW140">
        <f t="shared" si="13"/>
        <v>99.349173794689705</v>
      </c>
      <c r="AX140">
        <f t="shared" si="14"/>
        <v>164.09252723684403</v>
      </c>
    </row>
    <row r="141" spans="1:50" x14ac:dyDescent="0.2">
      <c r="A141" s="3">
        <v>45961</v>
      </c>
      <c r="B141">
        <v>1167</v>
      </c>
      <c r="C141">
        <v>107.3</v>
      </c>
      <c r="D141">
        <v>3.2429999999999999</v>
      </c>
      <c r="E141">
        <v>12.605</v>
      </c>
      <c r="F141">
        <v>75.7</v>
      </c>
      <c r="G141">
        <v>10.355</v>
      </c>
      <c r="H141">
        <v>33.14</v>
      </c>
      <c r="I141">
        <v>65.8</v>
      </c>
      <c r="J141">
        <v>53.5</v>
      </c>
      <c r="K141">
        <v>354.1</v>
      </c>
      <c r="L141">
        <v>70.7</v>
      </c>
      <c r="M141">
        <v>89.64</v>
      </c>
      <c r="N141">
        <v>7.9850000000000003</v>
      </c>
      <c r="O141">
        <v>179.3</v>
      </c>
      <c r="P141">
        <v>10.92</v>
      </c>
      <c r="Q141">
        <v>17930</v>
      </c>
      <c r="R141">
        <v>0.51119999999999999</v>
      </c>
      <c r="S141">
        <v>193.85</v>
      </c>
      <c r="T141">
        <v>6.37</v>
      </c>
      <c r="U141">
        <v>10.25</v>
      </c>
      <c r="V141" s="6"/>
      <c r="W141" s="3">
        <v>45961</v>
      </c>
      <c r="X141">
        <v>2887</v>
      </c>
      <c r="Y141">
        <v>550.5</v>
      </c>
      <c r="Z141">
        <v>71.78</v>
      </c>
      <c r="AA141">
        <v>5.3479999999999999</v>
      </c>
      <c r="AB141">
        <v>554.20000000000005</v>
      </c>
      <c r="AC141">
        <v>124</v>
      </c>
      <c r="AD141">
        <v>106.25</v>
      </c>
      <c r="AE141">
        <v>3298</v>
      </c>
      <c r="AF141">
        <v>192.2</v>
      </c>
      <c r="AG141">
        <v>5074</v>
      </c>
      <c r="AH141">
        <v>3546</v>
      </c>
      <c r="AI141">
        <v>258.89999999999998</v>
      </c>
      <c r="AJ141">
        <v>53.9</v>
      </c>
      <c r="AK141">
        <v>37.11</v>
      </c>
      <c r="AL141">
        <v>76.25</v>
      </c>
      <c r="AM141">
        <v>1297.5</v>
      </c>
      <c r="AN141">
        <v>518.5</v>
      </c>
      <c r="AO141">
        <v>7095</v>
      </c>
      <c r="AP141">
        <v>89.82</v>
      </c>
      <c r="AQ141">
        <v>115.8</v>
      </c>
      <c r="AR141" cm="1">
        <f t="array" ref="AR141">SUMPRODUCT($B$162:$U$162,(B141:U141)/($B$11:$U$11))</f>
        <v>30864.248513774732</v>
      </c>
      <c r="AS141">
        <f t="shared" si="10"/>
        <v>67.448876162412489</v>
      </c>
      <c r="AT141">
        <f t="shared" si="11"/>
        <v>2.190126148044147E-3</v>
      </c>
      <c r="AU141" cm="1">
        <f t="array" ref="AU141">SUMPRODUCT($X$162:$AQ$162,(X141:AQ141)/($X$11:$AQ$11))</f>
        <v>24465.695317394791</v>
      </c>
      <c r="AV141">
        <f t="shared" si="12"/>
        <v>-216.22097636577382</v>
      </c>
      <c r="AW141">
        <f t="shared" si="13"/>
        <v>216.22097636577382</v>
      </c>
      <c r="AX141">
        <f t="shared" si="14"/>
        <v>283.66985252818631</v>
      </c>
    </row>
    <row r="142" spans="1:50" x14ac:dyDescent="0.2">
      <c r="A142" s="3">
        <v>45964</v>
      </c>
      <c r="B142">
        <v>1165</v>
      </c>
      <c r="C142">
        <v>110</v>
      </c>
      <c r="D142">
        <v>3.2759999999999998</v>
      </c>
      <c r="E142">
        <v>12.64</v>
      </c>
      <c r="F142">
        <v>76.78</v>
      </c>
      <c r="G142">
        <v>10.45</v>
      </c>
      <c r="H142">
        <v>33.18</v>
      </c>
      <c r="I142">
        <v>65.75</v>
      </c>
      <c r="J142">
        <v>55.36</v>
      </c>
      <c r="K142">
        <v>357.7</v>
      </c>
      <c r="L142">
        <v>69.8</v>
      </c>
      <c r="M142">
        <v>88.5</v>
      </c>
      <c r="N142">
        <v>8.0150000000000006</v>
      </c>
      <c r="O142">
        <v>180.05</v>
      </c>
      <c r="P142">
        <v>10.59</v>
      </c>
      <c r="Q142">
        <v>18025</v>
      </c>
      <c r="R142">
        <v>0.49930000000000002</v>
      </c>
      <c r="S142">
        <v>190.75</v>
      </c>
      <c r="T142">
        <v>6.23</v>
      </c>
      <c r="U142">
        <v>10.1</v>
      </c>
      <c r="V142" s="6"/>
      <c r="W142" s="3">
        <v>45964</v>
      </c>
      <c r="X142">
        <v>2822</v>
      </c>
      <c r="Y142">
        <v>549</v>
      </c>
      <c r="Z142">
        <v>71.2</v>
      </c>
      <c r="AA142">
        <v>5.38</v>
      </c>
      <c r="AB142">
        <v>539.20000000000005</v>
      </c>
      <c r="AC142">
        <v>121.3</v>
      </c>
      <c r="AD142">
        <v>106</v>
      </c>
      <c r="AE142">
        <v>3254</v>
      </c>
      <c r="AF142">
        <v>192.6</v>
      </c>
      <c r="AG142">
        <v>4972</v>
      </c>
      <c r="AH142">
        <v>3580</v>
      </c>
      <c r="AI142">
        <v>259.5</v>
      </c>
      <c r="AJ142">
        <v>53.7</v>
      </c>
      <c r="AK142">
        <v>36.35</v>
      </c>
      <c r="AL142">
        <v>76.900000000000006</v>
      </c>
      <c r="AM142">
        <v>1308</v>
      </c>
      <c r="AN142">
        <v>504</v>
      </c>
      <c r="AO142">
        <v>7130</v>
      </c>
      <c r="AP142">
        <v>89.36</v>
      </c>
      <c r="AQ142">
        <v>115.2</v>
      </c>
      <c r="AR142" cm="1">
        <f t="array" ref="AR142">SUMPRODUCT($B$162:$U$162,(B142:U142)/($B$11:$U$11))</f>
        <v>30968.664563535702</v>
      </c>
      <c r="AS142">
        <f t="shared" ref="AS142:AS156" si="15">AR142-AR141</f>
        <v>104.41604976097005</v>
      </c>
      <c r="AT142">
        <f t="shared" ref="AT142:AT156" si="16">AR142/AR141-1</f>
        <v>3.3830744239364829E-3</v>
      </c>
      <c r="AU142" cm="1">
        <f t="array" ref="AU142">SUMPRODUCT($X$162:$AQ$162,(X142:AQ142)/($X$11:$AQ$11))</f>
        <v>24295.570554946229</v>
      </c>
      <c r="AV142">
        <f t="shared" ref="AV142:AV156" si="17">AU142-AU141</f>
        <v>-170.12476244856225</v>
      </c>
      <c r="AW142">
        <f t="shared" ref="AW142:AW156" si="18">IF(AV142&gt;0, -AV142, ABS(AV142))</f>
        <v>170.12476244856225</v>
      </c>
      <c r="AX142">
        <f t="shared" ref="AX142:AX156" si="19">AS142+AW142</f>
        <v>274.54081220953231</v>
      </c>
    </row>
    <row r="143" spans="1:50" x14ac:dyDescent="0.2">
      <c r="A143" s="3">
        <v>45965</v>
      </c>
      <c r="B143">
        <v>1147.5</v>
      </c>
      <c r="C143">
        <v>109.5</v>
      </c>
      <c r="D143">
        <v>3.294</v>
      </c>
      <c r="E143">
        <v>12.605</v>
      </c>
      <c r="F143">
        <v>76.42</v>
      </c>
      <c r="G143">
        <v>10.36</v>
      </c>
      <c r="H143">
        <v>33.32</v>
      </c>
      <c r="I143">
        <v>64.599999999999994</v>
      </c>
      <c r="J143">
        <v>54.98</v>
      </c>
      <c r="K143">
        <v>357.9</v>
      </c>
      <c r="L143">
        <v>69.48</v>
      </c>
      <c r="M143">
        <v>90.02</v>
      </c>
      <c r="N143">
        <v>8.3650000000000002</v>
      </c>
      <c r="O143">
        <v>177.9</v>
      </c>
      <c r="P143">
        <v>10.41</v>
      </c>
      <c r="Q143">
        <v>17615</v>
      </c>
      <c r="R143">
        <v>0.49380000000000002</v>
      </c>
      <c r="S143">
        <v>186.55</v>
      </c>
      <c r="T143">
        <v>6.07</v>
      </c>
      <c r="U143">
        <v>9.84</v>
      </c>
      <c r="V143" s="6"/>
      <c r="W143" s="3">
        <v>45965</v>
      </c>
      <c r="X143">
        <v>2798</v>
      </c>
      <c r="Y143">
        <v>532.5</v>
      </c>
      <c r="Z143">
        <v>71.319999999999993</v>
      </c>
      <c r="AA143">
        <v>5.4539999999999997</v>
      </c>
      <c r="AB143">
        <v>540</v>
      </c>
      <c r="AC143">
        <v>120.9</v>
      </c>
      <c r="AD143">
        <v>107</v>
      </c>
      <c r="AE143">
        <v>3274</v>
      </c>
      <c r="AF143">
        <v>193</v>
      </c>
      <c r="AG143">
        <v>4891</v>
      </c>
      <c r="AH143">
        <v>3544</v>
      </c>
      <c r="AI143">
        <v>264</v>
      </c>
      <c r="AJ143">
        <v>53.6</v>
      </c>
      <c r="AK143">
        <v>35.94</v>
      </c>
      <c r="AL143">
        <v>76.650000000000006</v>
      </c>
      <c r="AM143">
        <v>1310</v>
      </c>
      <c r="AN143">
        <v>511</v>
      </c>
      <c r="AO143">
        <v>7030</v>
      </c>
      <c r="AP143">
        <v>86.84</v>
      </c>
      <c r="AQ143">
        <v>113.1</v>
      </c>
      <c r="AR143" cm="1">
        <f t="array" ref="AR143">SUMPRODUCT($B$162:$U$162,(B143:U143)/($B$11:$U$11))</f>
        <v>30797.724932292989</v>
      </c>
      <c r="AS143">
        <f t="shared" si="15"/>
        <v>-170.93963124271249</v>
      </c>
      <c r="AT143">
        <f t="shared" si="16"/>
        <v>-5.5197611408787095E-3</v>
      </c>
      <c r="AU143" cm="1">
        <f t="array" ref="AU143">SUMPRODUCT($X$162:$AQ$162,(X143:AQ143)/($X$11:$AQ$11))</f>
        <v>24165.825193505683</v>
      </c>
      <c r="AV143">
        <f t="shared" si="17"/>
        <v>-129.74536144054582</v>
      </c>
      <c r="AW143">
        <f t="shared" si="18"/>
        <v>129.74536144054582</v>
      </c>
      <c r="AX143">
        <f t="shared" si="19"/>
        <v>-41.194269802166673</v>
      </c>
    </row>
    <row r="144" spans="1:50" x14ac:dyDescent="0.2">
      <c r="A144" s="3">
        <v>45966</v>
      </c>
      <c r="B144">
        <v>1157</v>
      </c>
      <c r="C144">
        <v>107.25</v>
      </c>
      <c r="D144">
        <v>3.2770000000000001</v>
      </c>
      <c r="E144">
        <v>12.7</v>
      </c>
      <c r="F144">
        <v>75.48</v>
      </c>
      <c r="G144">
        <v>10.355</v>
      </c>
      <c r="H144">
        <v>33.18</v>
      </c>
      <c r="I144">
        <v>63.95</v>
      </c>
      <c r="J144">
        <v>54.32</v>
      </c>
      <c r="K144">
        <v>357.2</v>
      </c>
      <c r="L144">
        <v>70.06</v>
      </c>
      <c r="M144">
        <v>89.02</v>
      </c>
      <c r="N144">
        <v>8.3249999999999993</v>
      </c>
      <c r="O144">
        <v>176.65</v>
      </c>
      <c r="P144">
        <v>10.67</v>
      </c>
      <c r="Q144">
        <v>17610</v>
      </c>
      <c r="R144">
        <v>0.48830000000000001</v>
      </c>
      <c r="S144">
        <v>187</v>
      </c>
      <c r="T144">
        <v>5.96</v>
      </c>
      <c r="U144">
        <v>10</v>
      </c>
      <c r="V144" s="6"/>
      <c r="W144" s="3">
        <v>45966</v>
      </c>
      <c r="X144">
        <v>2794</v>
      </c>
      <c r="Y144">
        <v>537.5</v>
      </c>
      <c r="Z144">
        <v>72.52</v>
      </c>
      <c r="AA144">
        <v>5.5460000000000003</v>
      </c>
      <c r="AB144">
        <v>538.4</v>
      </c>
      <c r="AC144">
        <v>120.3</v>
      </c>
      <c r="AD144">
        <v>108.85</v>
      </c>
      <c r="AE144">
        <v>3320</v>
      </c>
      <c r="AF144">
        <v>194</v>
      </c>
      <c r="AG144">
        <v>4937</v>
      </c>
      <c r="AH144">
        <v>3572</v>
      </c>
      <c r="AI144">
        <v>265.10000000000002</v>
      </c>
      <c r="AJ144">
        <v>53.3</v>
      </c>
      <c r="AK144">
        <v>36.869999999999997</v>
      </c>
      <c r="AL144">
        <v>76.95</v>
      </c>
      <c r="AM144">
        <v>1329.5</v>
      </c>
      <c r="AN144">
        <v>517</v>
      </c>
      <c r="AO144">
        <v>7150</v>
      </c>
      <c r="AP144">
        <v>86.24</v>
      </c>
      <c r="AQ144">
        <v>113.1</v>
      </c>
      <c r="AR144" cm="1">
        <f t="array" ref="AR144">SUMPRODUCT($B$162:$U$162,(B144:U144)/($B$11:$U$11))</f>
        <v>30677.40098298046</v>
      </c>
      <c r="AS144">
        <f t="shared" si="15"/>
        <v>-120.32394931252929</v>
      </c>
      <c r="AT144">
        <f t="shared" si="16"/>
        <v>-3.9069103181178511E-3</v>
      </c>
      <c r="AU144" cm="1">
        <f t="array" ref="AU144">SUMPRODUCT($X$162:$AQ$162,(X144:AQ144)/($X$11:$AQ$11))</f>
        <v>24355.927501536225</v>
      </c>
      <c r="AV144">
        <f t="shared" si="17"/>
        <v>190.10230803054219</v>
      </c>
      <c r="AW144">
        <f t="shared" si="18"/>
        <v>-190.10230803054219</v>
      </c>
      <c r="AX144">
        <f t="shared" si="19"/>
        <v>-310.42625734307148</v>
      </c>
    </row>
    <row r="145" spans="1:50" x14ac:dyDescent="0.2">
      <c r="A145" s="3">
        <v>45967</v>
      </c>
      <c r="B145">
        <v>1131.5</v>
      </c>
      <c r="C145">
        <v>104.6</v>
      </c>
      <c r="D145">
        <v>3.3260000000000001</v>
      </c>
      <c r="E145">
        <v>12.64</v>
      </c>
      <c r="F145">
        <v>76.819999999999993</v>
      </c>
      <c r="G145">
        <v>10.315</v>
      </c>
      <c r="H145">
        <v>33.42</v>
      </c>
      <c r="I145">
        <v>62.4</v>
      </c>
      <c r="J145">
        <v>54.24</v>
      </c>
      <c r="K145">
        <v>358.5</v>
      </c>
      <c r="L145">
        <v>70.06</v>
      </c>
      <c r="M145">
        <v>89.68</v>
      </c>
      <c r="N145">
        <v>8.31</v>
      </c>
      <c r="O145">
        <v>177.55</v>
      </c>
      <c r="P145">
        <v>10.59</v>
      </c>
      <c r="Q145">
        <v>17725</v>
      </c>
      <c r="R145">
        <v>0.4798</v>
      </c>
      <c r="S145">
        <v>189.35</v>
      </c>
      <c r="T145">
        <v>5.9749999999999996</v>
      </c>
      <c r="U145">
        <v>9.5449999999999999</v>
      </c>
      <c r="V145" s="6"/>
      <c r="W145" s="3">
        <v>45967</v>
      </c>
      <c r="X145">
        <v>2785</v>
      </c>
      <c r="Y145">
        <v>537.5</v>
      </c>
      <c r="Z145">
        <v>71.62</v>
      </c>
      <c r="AA145">
        <v>5.5259999999999998</v>
      </c>
      <c r="AB145">
        <v>531.6</v>
      </c>
      <c r="AC145">
        <v>118.1</v>
      </c>
      <c r="AD145">
        <v>100.4</v>
      </c>
      <c r="AE145">
        <v>3315</v>
      </c>
      <c r="AF145">
        <v>193.8</v>
      </c>
      <c r="AG145">
        <v>4790</v>
      </c>
      <c r="AH145">
        <v>3428</v>
      </c>
      <c r="AI145">
        <v>265.2</v>
      </c>
      <c r="AJ145">
        <v>53.4</v>
      </c>
      <c r="AK145">
        <v>36.65</v>
      </c>
      <c r="AL145">
        <v>76</v>
      </c>
      <c r="AM145">
        <v>1319.5</v>
      </c>
      <c r="AN145">
        <v>519.5</v>
      </c>
      <c r="AO145">
        <v>7045</v>
      </c>
      <c r="AP145">
        <v>84.14</v>
      </c>
      <c r="AQ145">
        <v>115.4</v>
      </c>
      <c r="AR145" cm="1">
        <f t="array" ref="AR145">SUMPRODUCT($B$162:$U$162,(B145:U145)/($B$11:$U$11))</f>
        <v>30494.78773987147</v>
      </c>
      <c r="AS145">
        <f t="shared" si="15"/>
        <v>-182.61324310898999</v>
      </c>
      <c r="AT145">
        <f t="shared" si="16"/>
        <v>-5.9526960321802935E-3</v>
      </c>
      <c r="AU145" cm="1">
        <f t="array" ref="AU145">SUMPRODUCT($X$162:$AQ$162,(X145:AQ145)/($X$11:$AQ$11))</f>
        <v>24093.674715160414</v>
      </c>
      <c r="AV145">
        <f t="shared" si="17"/>
        <v>-262.25278637581141</v>
      </c>
      <c r="AW145">
        <f t="shared" si="18"/>
        <v>262.25278637581141</v>
      </c>
      <c r="AX145">
        <f t="shared" si="19"/>
        <v>79.63954326682142</v>
      </c>
    </row>
    <row r="146" spans="1:50" x14ac:dyDescent="0.2">
      <c r="A146" s="3">
        <v>45968</v>
      </c>
      <c r="B146">
        <v>1138.5</v>
      </c>
      <c r="C146">
        <v>101.8</v>
      </c>
      <c r="D146">
        <v>3.2280000000000002</v>
      </c>
      <c r="E146">
        <v>12.595000000000001</v>
      </c>
      <c r="F146">
        <v>75.3</v>
      </c>
      <c r="G146">
        <v>10.27</v>
      </c>
      <c r="H146">
        <v>33.58</v>
      </c>
      <c r="I146">
        <v>62</v>
      </c>
      <c r="J146">
        <v>52.88</v>
      </c>
      <c r="K146">
        <v>361.2</v>
      </c>
      <c r="L146">
        <v>70.28</v>
      </c>
      <c r="M146">
        <v>89.88</v>
      </c>
      <c r="N146">
        <v>8.2149999999999999</v>
      </c>
      <c r="O146">
        <v>174.4</v>
      </c>
      <c r="P146">
        <v>10.050000000000001</v>
      </c>
      <c r="Q146">
        <v>17245</v>
      </c>
      <c r="R146">
        <v>0.48799999999999999</v>
      </c>
      <c r="S146">
        <v>189.65</v>
      </c>
      <c r="T146">
        <v>5.835</v>
      </c>
      <c r="U146">
        <v>9.5649999999999995</v>
      </c>
      <c r="V146" s="6"/>
      <c r="W146" s="3">
        <v>45968</v>
      </c>
      <c r="X146">
        <v>2772</v>
      </c>
      <c r="Y146">
        <v>544</v>
      </c>
      <c r="Z146">
        <v>72.319999999999993</v>
      </c>
      <c r="AA146">
        <v>5.6</v>
      </c>
      <c r="AB146">
        <v>530.4</v>
      </c>
      <c r="AC146">
        <v>117.7</v>
      </c>
      <c r="AD146">
        <v>96.54</v>
      </c>
      <c r="AE146">
        <v>3354</v>
      </c>
      <c r="AF146">
        <v>195.2</v>
      </c>
      <c r="AG146">
        <v>4686</v>
      </c>
      <c r="AH146">
        <v>3392</v>
      </c>
      <c r="AI146">
        <v>268.39999999999998</v>
      </c>
      <c r="AJ146">
        <v>53.3</v>
      </c>
      <c r="AK146">
        <v>36.200000000000003</v>
      </c>
      <c r="AL146">
        <v>71.7</v>
      </c>
      <c r="AM146">
        <v>1309.5</v>
      </c>
      <c r="AN146">
        <v>514</v>
      </c>
      <c r="AO146">
        <v>6905</v>
      </c>
      <c r="AP146">
        <v>82.88</v>
      </c>
      <c r="AQ146">
        <v>117.55</v>
      </c>
      <c r="AR146" cm="1">
        <f t="array" ref="AR146">SUMPRODUCT($B$162:$U$162,(B146:U146)/($B$11:$U$11))</f>
        <v>30171.867650758377</v>
      </c>
      <c r="AS146">
        <f t="shared" si="15"/>
        <v>-322.92008911309313</v>
      </c>
      <c r="AT146">
        <f t="shared" si="16"/>
        <v>-1.0589353559948833E-2</v>
      </c>
      <c r="AU146" cm="1">
        <f t="array" ref="AU146">SUMPRODUCT($X$162:$AQ$162,(X146:AQ146)/($X$11:$AQ$11))</f>
        <v>23988.620586219411</v>
      </c>
      <c r="AV146">
        <f t="shared" si="17"/>
        <v>-105.054128941003</v>
      </c>
      <c r="AW146">
        <f t="shared" si="18"/>
        <v>105.054128941003</v>
      </c>
      <c r="AX146">
        <f t="shared" si="19"/>
        <v>-217.86596017209013</v>
      </c>
    </row>
    <row r="147" spans="1:50" x14ac:dyDescent="0.2">
      <c r="A147" s="3">
        <v>45971</v>
      </c>
      <c r="B147">
        <v>1161</v>
      </c>
      <c r="C147">
        <v>106.5</v>
      </c>
      <c r="D147">
        <v>3.3010000000000002</v>
      </c>
      <c r="E147">
        <v>13.19</v>
      </c>
      <c r="F147">
        <v>76.94</v>
      </c>
      <c r="G147">
        <v>10.725</v>
      </c>
      <c r="H147">
        <v>33.72</v>
      </c>
      <c r="I147">
        <v>63</v>
      </c>
      <c r="J147">
        <v>53.84</v>
      </c>
      <c r="K147">
        <v>363.1</v>
      </c>
      <c r="L147">
        <v>70.400000000000006</v>
      </c>
      <c r="M147">
        <v>90.34</v>
      </c>
      <c r="N147">
        <v>8.41</v>
      </c>
      <c r="O147">
        <v>174.45</v>
      </c>
      <c r="P147">
        <v>10.19</v>
      </c>
      <c r="Q147">
        <v>17215</v>
      </c>
      <c r="R147">
        <v>0.49209999999999998</v>
      </c>
      <c r="S147">
        <v>195.65</v>
      </c>
      <c r="T147">
        <v>5.9749999999999996</v>
      </c>
      <c r="U147">
        <v>9.61</v>
      </c>
      <c r="V147" s="6"/>
      <c r="W147" s="3">
        <v>45971</v>
      </c>
      <c r="X147">
        <v>2781</v>
      </c>
      <c r="Y147">
        <v>543.5</v>
      </c>
      <c r="Z147">
        <v>71.5</v>
      </c>
      <c r="AA147">
        <v>5.64</v>
      </c>
      <c r="AB147">
        <v>534</v>
      </c>
      <c r="AC147">
        <v>121.1</v>
      </c>
      <c r="AD147">
        <v>93.64</v>
      </c>
      <c r="AE147">
        <v>3371</v>
      </c>
      <c r="AF147">
        <v>195.4</v>
      </c>
      <c r="AG147">
        <v>4813</v>
      </c>
      <c r="AH147">
        <v>3410</v>
      </c>
      <c r="AI147">
        <v>278.89999999999998</v>
      </c>
      <c r="AJ147">
        <v>51.722210400000002</v>
      </c>
      <c r="AK147">
        <v>37.44</v>
      </c>
      <c r="AL147">
        <v>72.849999999999994</v>
      </c>
      <c r="AM147">
        <v>1343.5</v>
      </c>
      <c r="AN147">
        <v>510</v>
      </c>
      <c r="AO147">
        <v>6980</v>
      </c>
      <c r="AP147">
        <v>84.04</v>
      </c>
      <c r="AQ147">
        <v>122.4</v>
      </c>
      <c r="AR147" cm="1">
        <f t="array" ref="AR147">SUMPRODUCT($B$162:$U$162,(B147:U147)/($B$11:$U$11))</f>
        <v>30841.973851038343</v>
      </c>
      <c r="AS147">
        <f t="shared" si="15"/>
        <v>670.10620027996629</v>
      </c>
      <c r="AT147">
        <f t="shared" si="16"/>
        <v>2.2209636076775174E-2</v>
      </c>
      <c r="AU147" cm="1">
        <f t="array" ref="AU147">SUMPRODUCT($X$162:$AQ$162,(X147:AQ147)/($X$11:$AQ$11))</f>
        <v>24190.652739853736</v>
      </c>
      <c r="AV147">
        <f t="shared" si="17"/>
        <v>202.03215363432537</v>
      </c>
      <c r="AW147">
        <f t="shared" si="18"/>
        <v>-202.03215363432537</v>
      </c>
      <c r="AX147">
        <f t="shared" si="19"/>
        <v>468.07404664564092</v>
      </c>
    </row>
    <row r="148" spans="1:50" x14ac:dyDescent="0.2">
      <c r="A148" s="3">
        <v>45972</v>
      </c>
      <c r="B148">
        <v>1152.5</v>
      </c>
      <c r="C148">
        <v>107.5</v>
      </c>
      <c r="D148">
        <v>3.3769999999999998</v>
      </c>
      <c r="E148">
        <v>13.27</v>
      </c>
      <c r="F148" s="2">
        <v>77</v>
      </c>
      <c r="G148">
        <v>10.855</v>
      </c>
      <c r="H148">
        <v>34.08</v>
      </c>
      <c r="I148">
        <v>63.9</v>
      </c>
      <c r="J148">
        <v>54.64</v>
      </c>
      <c r="K148">
        <v>374.6</v>
      </c>
      <c r="L148">
        <v>72.52</v>
      </c>
      <c r="M148">
        <v>91.38</v>
      </c>
      <c r="N148">
        <v>8.6199999999999992</v>
      </c>
      <c r="O148">
        <v>172.95</v>
      </c>
      <c r="P148">
        <v>10.36</v>
      </c>
      <c r="Q148" s="2">
        <v>17000</v>
      </c>
      <c r="R148">
        <v>0.49580000000000002</v>
      </c>
      <c r="S148" s="2">
        <v>195.6</v>
      </c>
      <c r="T148">
        <v>5.9950000000000001</v>
      </c>
      <c r="U148">
        <v>9.7799999999999994</v>
      </c>
      <c r="V148" s="6"/>
      <c r="W148" s="3">
        <v>45972</v>
      </c>
      <c r="X148">
        <v>2759</v>
      </c>
      <c r="Y148">
        <v>557</v>
      </c>
      <c r="Z148">
        <v>72.459999999999994</v>
      </c>
      <c r="AA148">
        <v>5.64</v>
      </c>
      <c r="AB148">
        <v>552.79999999999995</v>
      </c>
      <c r="AC148">
        <v>125</v>
      </c>
      <c r="AD148">
        <v>95.82</v>
      </c>
      <c r="AE148">
        <v>3436</v>
      </c>
      <c r="AF148">
        <v>193.4</v>
      </c>
      <c r="AG148">
        <v>4888</v>
      </c>
      <c r="AH148">
        <v>3430</v>
      </c>
      <c r="AI148">
        <v>288.7</v>
      </c>
      <c r="AJ148">
        <v>51.916654800000003</v>
      </c>
      <c r="AK148">
        <v>38.049999999999997</v>
      </c>
      <c r="AL148">
        <v>74</v>
      </c>
      <c r="AM148">
        <v>1351</v>
      </c>
      <c r="AN148">
        <v>515.5</v>
      </c>
      <c r="AO148">
        <v>7070</v>
      </c>
      <c r="AP148">
        <v>83.76</v>
      </c>
      <c r="AQ148">
        <v>121.4</v>
      </c>
      <c r="AR148" cm="1">
        <f t="array" ref="AR148">SUMPRODUCT($B$162:$U$162,(B148:U148)/($B$11:$U$11))</f>
        <v>31123.889912223767</v>
      </c>
      <c r="AS148">
        <f t="shared" si="15"/>
        <v>281.91606118542404</v>
      </c>
      <c r="AT148">
        <f t="shared" si="16"/>
        <v>9.1406620907932279E-3</v>
      </c>
      <c r="AU148" cm="1">
        <f t="array" ref="AU148">SUMPRODUCT($X$162:$AQ$162,(X148:AQ148)/($X$11:$AQ$11))</f>
        <v>24455.028653188911</v>
      </c>
      <c r="AV148">
        <f t="shared" si="17"/>
        <v>264.37591333517412</v>
      </c>
      <c r="AW148">
        <f t="shared" si="18"/>
        <v>-264.37591333517412</v>
      </c>
      <c r="AX148">
        <f t="shared" si="19"/>
        <v>17.540147850249923</v>
      </c>
    </row>
    <row r="149" spans="1:50" x14ac:dyDescent="0.2">
      <c r="A149" s="3">
        <v>45973</v>
      </c>
      <c r="B149">
        <v>1152.5</v>
      </c>
      <c r="C149">
        <v>107.35</v>
      </c>
      <c r="D149">
        <v>3.4289999999999998</v>
      </c>
      <c r="E149">
        <v>13.265000000000001</v>
      </c>
      <c r="F149">
        <v>77.5</v>
      </c>
      <c r="G149">
        <v>10.815</v>
      </c>
      <c r="H149">
        <v>34.119999999999997</v>
      </c>
      <c r="I149">
        <v>64</v>
      </c>
      <c r="J149">
        <v>55.24</v>
      </c>
      <c r="K149">
        <v>378.1</v>
      </c>
      <c r="L149">
        <v>73.7</v>
      </c>
      <c r="M149">
        <v>91.58</v>
      </c>
      <c r="N149">
        <v>8.7249999999999996</v>
      </c>
      <c r="O149">
        <v>173.15</v>
      </c>
      <c r="P149">
        <v>10.47</v>
      </c>
      <c r="Q149">
        <v>16720</v>
      </c>
      <c r="R149">
        <v>0.495</v>
      </c>
      <c r="S149">
        <v>195.6</v>
      </c>
      <c r="T149">
        <v>5.91</v>
      </c>
      <c r="U149">
        <v>9.9450000000000003</v>
      </c>
      <c r="V149" s="6"/>
      <c r="W149" s="3">
        <v>45973</v>
      </c>
      <c r="X149">
        <v>2823</v>
      </c>
      <c r="Y149">
        <v>558.5</v>
      </c>
      <c r="Z149">
        <v>73.52</v>
      </c>
      <c r="AA149">
        <v>5.6479999999999997</v>
      </c>
      <c r="AB149">
        <v>554.6</v>
      </c>
      <c r="AC149">
        <v>124.2</v>
      </c>
      <c r="AD149">
        <v>93.56</v>
      </c>
      <c r="AE149">
        <v>3446</v>
      </c>
      <c r="AF149">
        <v>194.2</v>
      </c>
      <c r="AG149">
        <v>4900</v>
      </c>
      <c r="AH149">
        <v>3466</v>
      </c>
      <c r="AI149">
        <v>290.39999999999998</v>
      </c>
      <c r="AJ149">
        <v>52.111099199999998</v>
      </c>
      <c r="AK149">
        <v>38.22</v>
      </c>
      <c r="AL149">
        <v>74.849999999999994</v>
      </c>
      <c r="AM149">
        <v>1353.5</v>
      </c>
      <c r="AN149">
        <v>509.5</v>
      </c>
      <c r="AO149">
        <v>7085</v>
      </c>
      <c r="AP149">
        <v>84.2</v>
      </c>
      <c r="AQ149">
        <v>126.95</v>
      </c>
      <c r="AR149" cm="1">
        <f t="array" ref="AR149">SUMPRODUCT($B$162:$U$162,(B149:U149)/($B$11:$U$11))</f>
        <v>31225.330157283508</v>
      </c>
      <c r="AS149">
        <f t="shared" si="15"/>
        <v>101.44024505974085</v>
      </c>
      <c r="AT149">
        <f t="shared" si="16"/>
        <v>3.2592405816183057E-3</v>
      </c>
      <c r="AU149" cm="1">
        <f t="array" ref="AU149">SUMPRODUCT($X$162:$AQ$162,(X149:AQ149)/($X$11:$AQ$11))</f>
        <v>24613.468210794686</v>
      </c>
      <c r="AV149">
        <f t="shared" si="17"/>
        <v>158.43955760577592</v>
      </c>
      <c r="AW149">
        <f t="shared" si="18"/>
        <v>-158.43955760577592</v>
      </c>
      <c r="AX149">
        <f t="shared" si="19"/>
        <v>-56.999312546035071</v>
      </c>
    </row>
    <row r="150" spans="1:50" x14ac:dyDescent="0.2">
      <c r="A150" s="3">
        <v>45974</v>
      </c>
      <c r="B150">
        <v>1120.5</v>
      </c>
      <c r="C150">
        <v>101.05</v>
      </c>
      <c r="D150">
        <v>3.25</v>
      </c>
      <c r="E150">
        <v>13.475</v>
      </c>
      <c r="F150">
        <v>76.5</v>
      </c>
      <c r="G150">
        <v>10.77</v>
      </c>
      <c r="H150">
        <v>34.24</v>
      </c>
      <c r="I150">
        <v>63</v>
      </c>
      <c r="J150">
        <v>54.8</v>
      </c>
      <c r="K150">
        <v>376.5</v>
      </c>
      <c r="L150">
        <v>73.16</v>
      </c>
      <c r="M150">
        <v>92.32</v>
      </c>
      <c r="N150">
        <v>8.6950000000000003</v>
      </c>
      <c r="O150">
        <v>170.55</v>
      </c>
      <c r="P150">
        <v>9.9450000000000003</v>
      </c>
      <c r="Q150">
        <v>16650</v>
      </c>
      <c r="R150">
        <v>0.49580000000000002</v>
      </c>
      <c r="S150">
        <v>196.5</v>
      </c>
      <c r="T150">
        <v>5.97</v>
      </c>
      <c r="U150">
        <v>9.9700000000000006</v>
      </c>
      <c r="V150" s="6"/>
      <c r="W150" s="3">
        <v>45974</v>
      </c>
      <c r="X150">
        <v>2856</v>
      </c>
      <c r="Y150">
        <v>555.5</v>
      </c>
      <c r="Z150">
        <v>73.38</v>
      </c>
      <c r="AA150">
        <v>5.6539999999999999</v>
      </c>
      <c r="AB150">
        <v>552.6</v>
      </c>
      <c r="AC150">
        <v>123.2</v>
      </c>
      <c r="AD150">
        <v>93.86</v>
      </c>
      <c r="AE150">
        <v>3459</v>
      </c>
      <c r="AF150">
        <v>195</v>
      </c>
      <c r="AG150">
        <v>4822</v>
      </c>
      <c r="AH150">
        <v>3382</v>
      </c>
      <c r="AI150">
        <v>289.89999999999998</v>
      </c>
      <c r="AJ150">
        <v>52.3055436</v>
      </c>
      <c r="AK150">
        <v>37.79</v>
      </c>
      <c r="AL150">
        <v>74.650000000000006</v>
      </c>
      <c r="AM150">
        <v>1341.5</v>
      </c>
      <c r="AN150">
        <v>505</v>
      </c>
      <c r="AO150">
        <v>7160</v>
      </c>
      <c r="AP150">
        <v>83.08</v>
      </c>
      <c r="AQ150">
        <v>124.45</v>
      </c>
      <c r="AR150" cm="1">
        <f t="array" ref="AR150">SUMPRODUCT($B$162:$U$162,(B150:U150)/($B$11:$U$11))</f>
        <v>30651.121391007946</v>
      </c>
      <c r="AS150">
        <f t="shared" si="15"/>
        <v>-574.20876627556208</v>
      </c>
      <c r="AT150">
        <f t="shared" si="16"/>
        <v>-1.8389197596414331E-2</v>
      </c>
      <c r="AU150" cm="1">
        <f t="array" ref="AU150">SUMPRODUCT($X$162:$AQ$162,(X150:AQ150)/($X$11:$AQ$11))</f>
        <v>24522.557210516963</v>
      </c>
      <c r="AV150">
        <f t="shared" si="17"/>
        <v>-90.91100027772336</v>
      </c>
      <c r="AW150">
        <f t="shared" si="18"/>
        <v>90.91100027772336</v>
      </c>
      <c r="AX150">
        <f t="shared" si="19"/>
        <v>-483.29776599783872</v>
      </c>
    </row>
    <row r="151" spans="1:50" x14ac:dyDescent="0.2">
      <c r="A151" s="3">
        <v>45975</v>
      </c>
      <c r="B151">
        <v>1106</v>
      </c>
      <c r="C151">
        <v>110.5</v>
      </c>
      <c r="D151">
        <v>3.1819999999999999</v>
      </c>
      <c r="E151">
        <v>13.035</v>
      </c>
      <c r="F151">
        <v>75.400000000000006</v>
      </c>
      <c r="G151">
        <v>10.36</v>
      </c>
      <c r="H151">
        <v>33.9</v>
      </c>
      <c r="I151">
        <v>63.15</v>
      </c>
      <c r="J151">
        <v>54.84</v>
      </c>
      <c r="K151">
        <v>368.9</v>
      </c>
      <c r="L151">
        <v>71.959999999999994</v>
      </c>
      <c r="M151">
        <v>91.04</v>
      </c>
      <c r="N151">
        <v>8.5649999999999995</v>
      </c>
      <c r="O151">
        <v>168.3</v>
      </c>
      <c r="P151">
        <v>9.7949999999999999</v>
      </c>
      <c r="Q151">
        <v>16465</v>
      </c>
      <c r="R151">
        <v>0.499</v>
      </c>
      <c r="S151">
        <v>195</v>
      </c>
      <c r="T151">
        <v>5.875</v>
      </c>
      <c r="U151">
        <v>9.8000000000000007</v>
      </c>
      <c r="V151" s="6"/>
      <c r="W151" s="3">
        <v>45975</v>
      </c>
      <c r="X151">
        <v>2824</v>
      </c>
      <c r="Y151">
        <v>550.5</v>
      </c>
      <c r="Z151">
        <v>72.099999999999994</v>
      </c>
      <c r="AA151">
        <v>5.6920000000000002</v>
      </c>
      <c r="AB151">
        <v>544.4</v>
      </c>
      <c r="AC151">
        <v>121.4</v>
      </c>
      <c r="AD151">
        <v>94.44</v>
      </c>
      <c r="AE151">
        <v>3397</v>
      </c>
      <c r="AF151">
        <v>194.4</v>
      </c>
      <c r="AG151">
        <v>4800</v>
      </c>
      <c r="AH151">
        <v>3364</v>
      </c>
      <c r="AI151">
        <v>286.10000000000002</v>
      </c>
      <c r="AJ151">
        <v>51.430543800000002</v>
      </c>
      <c r="AK151">
        <v>32.880000000000003</v>
      </c>
      <c r="AL151">
        <v>74.400000000000006</v>
      </c>
      <c r="AM151">
        <v>1306.5</v>
      </c>
      <c r="AN151">
        <v>498.6</v>
      </c>
      <c r="AO151">
        <v>6930</v>
      </c>
      <c r="AP151">
        <v>80.58</v>
      </c>
      <c r="AQ151">
        <v>123.95</v>
      </c>
      <c r="AR151" cm="1">
        <f t="array" ref="AR151">SUMPRODUCT($B$162:$U$162,(B151:U151)/($B$11:$U$11))</f>
        <v>30610.841961149225</v>
      </c>
      <c r="AS151">
        <f t="shared" si="15"/>
        <v>-40.279429858721414</v>
      </c>
      <c r="AT151">
        <f t="shared" si="16"/>
        <v>-1.3141258143507528E-3</v>
      </c>
      <c r="AU151" cm="1">
        <f t="array" ref="AU151">SUMPRODUCT($X$162:$AQ$162,(X151:AQ151)/($X$11:$AQ$11))</f>
        <v>24119.838863089979</v>
      </c>
      <c r="AV151">
        <f t="shared" si="17"/>
        <v>-402.71834742698411</v>
      </c>
      <c r="AW151">
        <f t="shared" si="18"/>
        <v>402.71834742698411</v>
      </c>
      <c r="AX151">
        <f t="shared" si="19"/>
        <v>362.4389175682627</v>
      </c>
    </row>
    <row r="152" spans="1:50" x14ac:dyDescent="0.2">
      <c r="A152" s="3">
        <v>45978</v>
      </c>
      <c r="B152">
        <v>1094.5</v>
      </c>
      <c r="C152">
        <v>114.25</v>
      </c>
      <c r="D152">
        <v>3.1640000000000001</v>
      </c>
      <c r="E152">
        <v>12.925000000000001</v>
      </c>
      <c r="F152">
        <v>74.78</v>
      </c>
      <c r="G152">
        <v>10.43</v>
      </c>
      <c r="H152">
        <v>33.64</v>
      </c>
      <c r="I152">
        <v>63.2</v>
      </c>
      <c r="J152">
        <v>54.92</v>
      </c>
      <c r="K152">
        <v>369.5</v>
      </c>
      <c r="L152">
        <v>70.72</v>
      </c>
      <c r="M152">
        <v>91.12</v>
      </c>
      <c r="N152">
        <v>8.4600000000000009</v>
      </c>
      <c r="O152">
        <v>166.25</v>
      </c>
      <c r="P152">
        <v>9.6950000000000003</v>
      </c>
      <c r="Q152">
        <v>16205</v>
      </c>
      <c r="R152">
        <v>0.50180000000000002</v>
      </c>
      <c r="S152">
        <v>192.2</v>
      </c>
      <c r="T152">
        <v>5.7549999999999999</v>
      </c>
      <c r="U152">
        <v>9.2349999999999994</v>
      </c>
      <c r="V152" s="6"/>
      <c r="W152" s="3">
        <v>45978</v>
      </c>
      <c r="X152">
        <v>2760</v>
      </c>
      <c r="Y152">
        <v>536.5</v>
      </c>
      <c r="Z152">
        <v>70.760000000000005</v>
      </c>
      <c r="AA152">
        <v>5.7140000000000004</v>
      </c>
      <c r="AB152">
        <v>539.4</v>
      </c>
      <c r="AC152">
        <v>120.9</v>
      </c>
      <c r="AD152">
        <v>91.86</v>
      </c>
      <c r="AE152">
        <v>3322</v>
      </c>
      <c r="AF152">
        <v>196</v>
      </c>
      <c r="AG152">
        <v>4765</v>
      </c>
      <c r="AH152">
        <v>3352</v>
      </c>
      <c r="AI152">
        <v>287.2</v>
      </c>
      <c r="AJ152">
        <v>51.333321599999998</v>
      </c>
      <c r="AK152">
        <v>32.86</v>
      </c>
      <c r="AL152">
        <v>73.849999999999994</v>
      </c>
      <c r="AM152">
        <v>1302</v>
      </c>
      <c r="AN152">
        <v>501</v>
      </c>
      <c r="AO152">
        <v>6805</v>
      </c>
      <c r="AP152">
        <v>79.5</v>
      </c>
      <c r="AQ152">
        <v>131</v>
      </c>
      <c r="AR152" cm="1">
        <f t="array" ref="AR152">SUMPRODUCT($B$162:$U$162,(B152:U152)/($B$11:$U$11))</f>
        <v>30543.296020358626</v>
      </c>
      <c r="AS152">
        <f t="shared" si="15"/>
        <v>-67.545940790598252</v>
      </c>
      <c r="AT152">
        <f t="shared" si="16"/>
        <v>-2.2066018594433245E-3</v>
      </c>
      <c r="AU152" cm="1">
        <f t="array" ref="AU152">SUMPRODUCT($X$162:$AQ$162,(X152:AQ152)/($X$11:$AQ$11))</f>
        <v>23937.153691772517</v>
      </c>
      <c r="AV152">
        <f t="shared" si="17"/>
        <v>-182.68517131746194</v>
      </c>
      <c r="AW152">
        <f t="shared" si="18"/>
        <v>182.68517131746194</v>
      </c>
      <c r="AX152">
        <f t="shared" si="19"/>
        <v>115.13923052686368</v>
      </c>
    </row>
    <row r="153" spans="1:50" x14ac:dyDescent="0.2">
      <c r="A153" s="3">
        <v>45979</v>
      </c>
      <c r="B153">
        <v>1073.5</v>
      </c>
      <c r="C153">
        <v>106.95</v>
      </c>
      <c r="D153">
        <v>3.0830000000000002</v>
      </c>
      <c r="E153">
        <v>12.58</v>
      </c>
      <c r="F153">
        <v>73.56</v>
      </c>
      <c r="G153">
        <v>10.074999999999999</v>
      </c>
      <c r="H153">
        <v>33.36</v>
      </c>
      <c r="I153">
        <v>62.1</v>
      </c>
      <c r="J153">
        <v>53.88</v>
      </c>
      <c r="K153">
        <v>366.5</v>
      </c>
      <c r="L153">
        <v>70.06</v>
      </c>
      <c r="M153">
        <v>90.44</v>
      </c>
      <c r="N153">
        <v>8.1349999999999998</v>
      </c>
      <c r="O153">
        <v>167.1</v>
      </c>
      <c r="P153">
        <v>9.48</v>
      </c>
      <c r="Q153">
        <v>15900</v>
      </c>
      <c r="R153">
        <v>0.46839999999999998</v>
      </c>
      <c r="S153">
        <v>189</v>
      </c>
      <c r="T153">
        <v>5.5650000000000004</v>
      </c>
      <c r="U153">
        <v>9.33</v>
      </c>
      <c r="V153" s="6"/>
      <c r="W153" s="3">
        <v>45979</v>
      </c>
      <c r="X153">
        <v>2703</v>
      </c>
      <c r="Y153">
        <v>531.5</v>
      </c>
      <c r="Z153">
        <v>69.98</v>
      </c>
      <c r="AA153">
        <v>5.69</v>
      </c>
      <c r="AB153">
        <v>529.20000000000005</v>
      </c>
      <c r="AC153">
        <v>116.2</v>
      </c>
      <c r="AD153">
        <v>90.46</v>
      </c>
      <c r="AE153">
        <v>3300</v>
      </c>
      <c r="AF153">
        <v>196</v>
      </c>
      <c r="AG153">
        <v>4632</v>
      </c>
      <c r="AH153">
        <v>3334</v>
      </c>
      <c r="AI153">
        <v>306.7</v>
      </c>
      <c r="AJ153">
        <v>51.527766</v>
      </c>
      <c r="AK153">
        <v>31.9</v>
      </c>
      <c r="AL153">
        <v>72.900000000000006</v>
      </c>
      <c r="AM153">
        <v>1298.5</v>
      </c>
      <c r="AN153">
        <v>502.5</v>
      </c>
      <c r="AO153">
        <v>6755</v>
      </c>
      <c r="AP153">
        <v>78.08</v>
      </c>
      <c r="AQ153">
        <v>126.35</v>
      </c>
      <c r="AR153" cm="1">
        <f t="array" ref="AR153">SUMPRODUCT($B$162:$U$162,(B153:U153)/($B$11:$U$11))</f>
        <v>29710.080196900228</v>
      </c>
      <c r="AS153">
        <f t="shared" si="15"/>
        <v>-833.21582345839852</v>
      </c>
      <c r="AT153">
        <f t="shared" si="16"/>
        <v>-2.7279826738509816E-2</v>
      </c>
      <c r="AU153" cm="1">
        <f t="array" ref="AU153">SUMPRODUCT($X$162:$AQ$162,(X153:AQ153)/($X$11:$AQ$11))</f>
        <v>23716.579934771868</v>
      </c>
      <c r="AV153">
        <f t="shared" si="17"/>
        <v>-220.57375700064949</v>
      </c>
      <c r="AW153">
        <f t="shared" si="18"/>
        <v>220.57375700064949</v>
      </c>
      <c r="AX153">
        <f t="shared" si="19"/>
        <v>-612.64206645774902</v>
      </c>
    </row>
    <row r="154" spans="1:50" x14ac:dyDescent="0.2">
      <c r="A154" s="3">
        <v>45980</v>
      </c>
      <c r="B154">
        <v>1066.5</v>
      </c>
      <c r="C154">
        <v>108.95</v>
      </c>
      <c r="D154">
        <v>3.1110000000000002</v>
      </c>
      <c r="E154">
        <v>12.54</v>
      </c>
      <c r="F154">
        <v>75.400000000000006</v>
      </c>
      <c r="G154">
        <v>10.205</v>
      </c>
      <c r="H154">
        <v>33.200000000000003</v>
      </c>
      <c r="I154">
        <v>62</v>
      </c>
      <c r="J154">
        <v>53.9</v>
      </c>
      <c r="K154">
        <v>365.4</v>
      </c>
      <c r="L154">
        <v>69.62</v>
      </c>
      <c r="M154">
        <v>90.08</v>
      </c>
      <c r="N154">
        <v>8.27</v>
      </c>
      <c r="O154">
        <v>165.5</v>
      </c>
      <c r="P154">
        <v>10</v>
      </c>
      <c r="Q154">
        <v>16115</v>
      </c>
      <c r="R154">
        <v>0.48099999999999998</v>
      </c>
      <c r="S154">
        <v>195.5</v>
      </c>
      <c r="T154">
        <v>5.6150000000000002</v>
      </c>
      <c r="U154">
        <v>9.4049999999999994</v>
      </c>
      <c r="V154" s="6"/>
      <c r="W154" s="3">
        <v>45980</v>
      </c>
      <c r="X154">
        <v>2704</v>
      </c>
      <c r="Y154">
        <v>536</v>
      </c>
      <c r="Z154">
        <v>69.8</v>
      </c>
      <c r="AA154">
        <v>5.6340000000000003</v>
      </c>
      <c r="AB154">
        <v>529.6</v>
      </c>
      <c r="AC154">
        <v>121</v>
      </c>
      <c r="AD154">
        <v>91.36</v>
      </c>
      <c r="AE154">
        <v>3261</v>
      </c>
      <c r="AF154">
        <v>196.4</v>
      </c>
      <c r="AG154">
        <v>4624</v>
      </c>
      <c r="AH154">
        <v>3312</v>
      </c>
      <c r="AI154">
        <v>310.2</v>
      </c>
      <c r="AJ154">
        <v>51.527766</v>
      </c>
      <c r="AK154">
        <v>32.049999999999997</v>
      </c>
      <c r="AL154">
        <v>72.8</v>
      </c>
      <c r="AM154">
        <v>1260.5</v>
      </c>
      <c r="AN154">
        <v>489.8</v>
      </c>
      <c r="AO154">
        <v>6835</v>
      </c>
      <c r="AP154">
        <v>79.260000000000005</v>
      </c>
      <c r="AQ154">
        <v>125.75</v>
      </c>
      <c r="AR154" cm="1">
        <f t="array" ref="AR154">SUMPRODUCT($B$162:$U$162,(B154:U154)/($B$11:$U$11))</f>
        <v>29967.526694512144</v>
      </c>
      <c r="AS154">
        <f t="shared" si="15"/>
        <v>257.44649761191613</v>
      </c>
      <c r="AT154">
        <f t="shared" si="16"/>
        <v>8.6652912380484892E-3</v>
      </c>
      <c r="AU154" cm="1">
        <f t="array" ref="AU154">SUMPRODUCT($X$162:$AQ$162,(X154:AQ154)/($X$11:$AQ$11))</f>
        <v>23709.180297754538</v>
      </c>
      <c r="AV154">
        <f t="shared" si="17"/>
        <v>-7.399637017329951</v>
      </c>
      <c r="AW154">
        <f t="shared" si="18"/>
        <v>7.399637017329951</v>
      </c>
      <c r="AX154">
        <f t="shared" si="19"/>
        <v>264.84613462924608</v>
      </c>
    </row>
    <row r="155" spans="1:50" x14ac:dyDescent="0.2">
      <c r="A155" s="3">
        <v>45981</v>
      </c>
      <c r="B155">
        <v>1079</v>
      </c>
      <c r="C155">
        <v>112.1</v>
      </c>
      <c r="D155">
        <v>3.1190000000000002</v>
      </c>
      <c r="E155">
        <v>12.6</v>
      </c>
      <c r="F155">
        <v>75.319999999999993</v>
      </c>
      <c r="G155">
        <v>10.185</v>
      </c>
      <c r="H155">
        <v>33.08</v>
      </c>
      <c r="I155">
        <v>65</v>
      </c>
      <c r="J155">
        <v>53.34</v>
      </c>
      <c r="K155">
        <v>369.6</v>
      </c>
      <c r="L155">
        <v>69.599999999999994</v>
      </c>
      <c r="M155">
        <v>89.76</v>
      </c>
      <c r="N155">
        <v>8.24</v>
      </c>
      <c r="O155">
        <v>164.45</v>
      </c>
      <c r="P155">
        <v>9.8000000000000007</v>
      </c>
      <c r="Q155">
        <v>16145</v>
      </c>
      <c r="R155">
        <v>0.48980000000000001</v>
      </c>
      <c r="S155">
        <v>195.1</v>
      </c>
      <c r="T155">
        <v>5.5049999999999999</v>
      </c>
      <c r="U155">
        <v>9.2750000000000004</v>
      </c>
      <c r="V155" s="6"/>
      <c r="W155" s="3">
        <v>45981</v>
      </c>
      <c r="X155">
        <v>2685</v>
      </c>
      <c r="Y155">
        <v>536</v>
      </c>
      <c r="Z155">
        <v>68.599999999999994</v>
      </c>
      <c r="AA155">
        <v>5.7140000000000004</v>
      </c>
      <c r="AB155">
        <v>530</v>
      </c>
      <c r="AC155">
        <v>121.4</v>
      </c>
      <c r="AD155">
        <v>91.16</v>
      </c>
      <c r="AE155">
        <v>3247</v>
      </c>
      <c r="AF155">
        <v>197</v>
      </c>
      <c r="AG155">
        <v>4626</v>
      </c>
      <c r="AH155">
        <v>3618</v>
      </c>
      <c r="AI155">
        <v>311.8</v>
      </c>
      <c r="AJ155">
        <v>51.8</v>
      </c>
      <c r="AK155">
        <v>31.88</v>
      </c>
      <c r="AL155">
        <v>72.650000000000006</v>
      </c>
      <c r="AM155">
        <v>1259.5</v>
      </c>
      <c r="AN155">
        <v>492.4</v>
      </c>
      <c r="AO155">
        <v>6745</v>
      </c>
      <c r="AP155">
        <v>79.099999999999994</v>
      </c>
      <c r="AQ155">
        <v>130.1</v>
      </c>
      <c r="AR155" cm="1">
        <f t="array" ref="AR155">SUMPRODUCT($B$162:$U$162,(B155:U155)/($B$11:$U$11))</f>
        <v>30173.249142806279</v>
      </c>
      <c r="AS155">
        <f t="shared" si="15"/>
        <v>205.72244829413467</v>
      </c>
      <c r="AT155">
        <f t="shared" si="16"/>
        <v>6.8648457509110639E-3</v>
      </c>
      <c r="AU155" cm="1">
        <f t="array" ref="AU155">SUMPRODUCT($X$162:$AQ$162,(X155:AQ155)/($X$11:$AQ$11))</f>
        <v>23822.353852465254</v>
      </c>
      <c r="AV155">
        <f t="shared" si="17"/>
        <v>113.17355471071642</v>
      </c>
      <c r="AW155">
        <f t="shared" si="18"/>
        <v>-113.17355471071642</v>
      </c>
      <c r="AX155">
        <f t="shared" si="19"/>
        <v>92.548893583418248</v>
      </c>
    </row>
    <row r="156" spans="1:50" x14ac:dyDescent="0.2">
      <c r="A156" s="3">
        <v>45982</v>
      </c>
      <c r="B156">
        <v>1038</v>
      </c>
      <c r="C156">
        <v>100.8</v>
      </c>
      <c r="D156">
        <v>3.0939999999999999</v>
      </c>
      <c r="E156">
        <v>12.49</v>
      </c>
      <c r="F156">
        <v>73.760000000000005</v>
      </c>
      <c r="G156">
        <v>10.185</v>
      </c>
      <c r="H156">
        <v>32.840000000000003</v>
      </c>
      <c r="I156">
        <v>61.8</v>
      </c>
      <c r="J156">
        <v>54.74</v>
      </c>
      <c r="K156">
        <v>377.2</v>
      </c>
      <c r="L156">
        <v>71.14</v>
      </c>
      <c r="M156">
        <v>89.4</v>
      </c>
      <c r="N156">
        <v>8.3849999999999998</v>
      </c>
      <c r="O156">
        <v>163.55000000000001</v>
      </c>
      <c r="P156">
        <v>9.4499999999999993</v>
      </c>
      <c r="Q156">
        <v>16000</v>
      </c>
      <c r="R156">
        <v>0.48670000000000002</v>
      </c>
      <c r="S156">
        <v>191.05</v>
      </c>
      <c r="T156">
        <v>5.3949999999999996</v>
      </c>
      <c r="U156">
        <v>9.3800000000000008</v>
      </c>
      <c r="V156" s="6"/>
      <c r="W156" s="3">
        <v>45982</v>
      </c>
      <c r="X156">
        <v>2735</v>
      </c>
      <c r="Y156">
        <v>541</v>
      </c>
      <c r="Z156">
        <v>70.84</v>
      </c>
      <c r="AA156">
        <v>5.7220000000000004</v>
      </c>
      <c r="AB156">
        <v>534.79999999999995</v>
      </c>
      <c r="AC156">
        <v>119.9</v>
      </c>
      <c r="AD156">
        <v>92.76</v>
      </c>
      <c r="AE156">
        <v>3307</v>
      </c>
      <c r="AF156">
        <v>198.2</v>
      </c>
      <c r="AG156">
        <v>4701</v>
      </c>
      <c r="AH156">
        <v>3540</v>
      </c>
      <c r="AI156">
        <v>315.60000000000002</v>
      </c>
      <c r="AJ156">
        <v>52.3</v>
      </c>
      <c r="AK156">
        <v>32.049999999999997</v>
      </c>
      <c r="AL156">
        <v>72.8</v>
      </c>
      <c r="AM156">
        <v>1235</v>
      </c>
      <c r="AN156">
        <v>505.5</v>
      </c>
      <c r="AO156">
        <v>6745</v>
      </c>
      <c r="AP156">
        <v>82.32</v>
      </c>
      <c r="AQ156">
        <v>126.5</v>
      </c>
      <c r="AR156" cm="1">
        <f t="array" ref="AR156">SUMPRODUCT($B$162:$U$162,(B156:U156)/($B$11:$U$11))</f>
        <v>29494.846646429589</v>
      </c>
      <c r="AS156">
        <f t="shared" si="15"/>
        <v>-678.40249637668967</v>
      </c>
      <c r="AT156">
        <f t="shared" si="16"/>
        <v>-2.2483574545316465E-2</v>
      </c>
      <c r="AU156" cm="1">
        <f t="array" ref="AU156">SUMPRODUCT($X$162:$AQ$162,(X156:AQ156)/($X$11:$AQ$11))</f>
        <v>24010.887210574125</v>
      </c>
      <c r="AV156">
        <f t="shared" si="17"/>
        <v>188.53335810887074</v>
      </c>
      <c r="AW156">
        <f t="shared" si="18"/>
        <v>-188.53335810887074</v>
      </c>
      <c r="AX156">
        <f t="shared" si="19"/>
        <v>-866.93585448556041</v>
      </c>
    </row>
    <row r="157" spans="1:50" x14ac:dyDescent="0.2">
      <c r="V157" s="6"/>
    </row>
    <row r="158" spans="1:50" x14ac:dyDescent="0.2">
      <c r="V158" s="6"/>
      <c r="AX158">
        <f>SUM(AX11:AX156)</f>
        <v>5481.9594358554641</v>
      </c>
    </row>
    <row r="159" spans="1:50" x14ac:dyDescent="0.2">
      <c r="A159" t="s">
        <v>24</v>
      </c>
      <c r="B159">
        <f>B156-B11</f>
        <v>283.60000000000002</v>
      </c>
      <c r="C159">
        <f t="shared" ref="C159:U159" si="20">C156-C11</f>
        <v>32.56</v>
      </c>
      <c r="D159">
        <f t="shared" si="20"/>
        <v>0.43699999999999983</v>
      </c>
      <c r="E159">
        <f t="shared" si="20"/>
        <v>2.6099999999999994</v>
      </c>
      <c r="F159">
        <f t="shared" si="20"/>
        <v>-2.0599999999999881</v>
      </c>
      <c r="G159">
        <f t="shared" si="20"/>
        <v>3.0230000000000006</v>
      </c>
      <c r="H159">
        <f t="shared" si="20"/>
        <v>1.5800000000000018</v>
      </c>
      <c r="I159">
        <f t="shared" si="20"/>
        <v>18.279999999999994</v>
      </c>
      <c r="J159">
        <f t="shared" si="20"/>
        <v>18.670000000000002</v>
      </c>
      <c r="K159">
        <f t="shared" si="20"/>
        <v>0.59999999999996589</v>
      </c>
      <c r="L159">
        <f t="shared" si="20"/>
        <v>-21.980000000000004</v>
      </c>
      <c r="M159">
        <f t="shared" si="20"/>
        <v>15.460000000000008</v>
      </c>
      <c r="N159">
        <f t="shared" si="20"/>
        <v>2.54</v>
      </c>
      <c r="O159">
        <f t="shared" si="20"/>
        <v>4.8500000000000227</v>
      </c>
      <c r="P159">
        <f t="shared" si="20"/>
        <v>-4.7800000000000011</v>
      </c>
      <c r="Q159">
        <f t="shared" si="20"/>
        <v>305</v>
      </c>
      <c r="R159">
        <f t="shared" si="20"/>
        <v>0.14540000000000003</v>
      </c>
      <c r="S159">
        <f t="shared" si="20"/>
        <v>65.800000000000011</v>
      </c>
      <c r="T159">
        <f t="shared" si="20"/>
        <v>-7.5549999999999997</v>
      </c>
      <c r="U159">
        <f t="shared" si="20"/>
        <v>-4.0699999999999985</v>
      </c>
      <c r="V159" s="6"/>
      <c r="W159" t="s">
        <v>24</v>
      </c>
      <c r="X159">
        <f>X156-X11</f>
        <v>-229</v>
      </c>
      <c r="Y159">
        <f t="shared" ref="Y159:AQ159" si="21">Y156-Y11</f>
        <v>-60.5</v>
      </c>
      <c r="Z159">
        <f t="shared" si="21"/>
        <v>-26.42</v>
      </c>
      <c r="AA159">
        <f t="shared" si="21"/>
        <v>0.75</v>
      </c>
      <c r="AB159">
        <f t="shared" si="21"/>
        <v>-45.800000000000068</v>
      </c>
      <c r="AC159">
        <f t="shared" si="21"/>
        <v>-38.400000000000006</v>
      </c>
      <c r="AD159">
        <f t="shared" si="21"/>
        <v>-59.189999999999984</v>
      </c>
      <c r="AE159">
        <f t="shared" si="21"/>
        <v>-563</v>
      </c>
      <c r="AF159">
        <f t="shared" si="21"/>
        <v>12.199999999999989</v>
      </c>
      <c r="AG159">
        <f t="shared" si="21"/>
        <v>611</v>
      </c>
      <c r="AH159">
        <f t="shared" si="21"/>
        <v>812</v>
      </c>
      <c r="AI159">
        <f t="shared" si="21"/>
        <v>50.5</v>
      </c>
      <c r="AJ159">
        <f t="shared" si="21"/>
        <v>-13.131564800000007</v>
      </c>
      <c r="AK159">
        <f t="shared" si="21"/>
        <v>-8.07</v>
      </c>
      <c r="AL159">
        <f t="shared" si="21"/>
        <v>1.2000000000000028</v>
      </c>
      <c r="AM159">
        <f t="shared" si="21"/>
        <v>286</v>
      </c>
      <c r="AN159">
        <f t="shared" si="21"/>
        <v>18.300000000000011</v>
      </c>
      <c r="AO159">
        <f t="shared" si="21"/>
        <v>875</v>
      </c>
      <c r="AP159">
        <f t="shared" si="21"/>
        <v>5.3999999999999915</v>
      </c>
      <c r="AQ159">
        <f t="shared" si="21"/>
        <v>-14.395553500000005</v>
      </c>
    </row>
    <row r="160" spans="1:50" x14ac:dyDescent="0.2">
      <c r="A160" t="s">
        <v>25</v>
      </c>
      <c r="B160">
        <f>B156/B11</f>
        <v>1.3759278897136797</v>
      </c>
      <c r="C160">
        <f t="shared" ref="C160:U160" si="22">C156/C11</f>
        <v>1.4771395076201641</v>
      </c>
      <c r="D160">
        <f t="shared" si="22"/>
        <v>1.1644712081294692</v>
      </c>
      <c r="E160">
        <f t="shared" si="22"/>
        <v>1.2641700404858298</v>
      </c>
      <c r="F160">
        <f t="shared" si="22"/>
        <v>0.97283038776048547</v>
      </c>
      <c r="G160">
        <f t="shared" si="22"/>
        <v>1.4220888020106117</v>
      </c>
      <c r="H160">
        <f t="shared" si="22"/>
        <v>1.0505438259756879</v>
      </c>
      <c r="I160">
        <f t="shared" si="22"/>
        <v>1.4200367647058822</v>
      </c>
      <c r="J160">
        <f t="shared" si="22"/>
        <v>1.5176046576102025</v>
      </c>
      <c r="K160">
        <f t="shared" si="22"/>
        <v>1.0015932023366967</v>
      </c>
      <c r="L160">
        <f t="shared" si="22"/>
        <v>0.76396048109965631</v>
      </c>
      <c r="M160">
        <f t="shared" si="22"/>
        <v>1.2090884500946715</v>
      </c>
      <c r="N160">
        <f t="shared" si="22"/>
        <v>1.4345594525235243</v>
      </c>
      <c r="O160">
        <f t="shared" si="22"/>
        <v>1.0305608065532452</v>
      </c>
      <c r="P160">
        <f t="shared" si="22"/>
        <v>0.6640899508081517</v>
      </c>
      <c r="Q160">
        <f t="shared" si="22"/>
        <v>1.0194329404268876</v>
      </c>
      <c r="R160">
        <f t="shared" si="22"/>
        <v>1.4260181658365076</v>
      </c>
      <c r="S160">
        <f t="shared" si="22"/>
        <v>1.5253493013972057</v>
      </c>
      <c r="T160">
        <f t="shared" si="22"/>
        <v>0.41660231660231661</v>
      </c>
      <c r="U160">
        <f t="shared" si="22"/>
        <v>0.69739776951672872</v>
      </c>
      <c r="V160" s="6"/>
      <c r="W160" t="s">
        <v>25</v>
      </c>
      <c r="X160">
        <f>X156/X11</f>
        <v>0.92273954116059376</v>
      </c>
      <c r="Y160">
        <f t="shared" ref="Y160:AQ160" si="23">Y156/Y11</f>
        <v>0.89941812136325849</v>
      </c>
      <c r="Z160">
        <f t="shared" si="23"/>
        <v>0.72835698128727122</v>
      </c>
      <c r="AA160">
        <f t="shared" si="23"/>
        <v>1.1508447304907481</v>
      </c>
      <c r="AB160">
        <f t="shared" si="23"/>
        <v>0.9211160868067515</v>
      </c>
      <c r="AC160">
        <f t="shared" si="23"/>
        <v>0.75742261528742894</v>
      </c>
      <c r="AD160">
        <f t="shared" si="23"/>
        <v>0.61046396841066153</v>
      </c>
      <c r="AE160">
        <f t="shared" si="23"/>
        <v>0.85452196382428935</v>
      </c>
      <c r="AF160">
        <f t="shared" si="23"/>
        <v>1.0655913978494622</v>
      </c>
      <c r="AG160">
        <f t="shared" si="23"/>
        <v>1.1493887530562348</v>
      </c>
      <c r="AH160">
        <f t="shared" si="23"/>
        <v>1.2976539589442815</v>
      </c>
      <c r="AI160">
        <f t="shared" si="23"/>
        <v>1.1904941531497548</v>
      </c>
      <c r="AJ160">
        <f t="shared" si="23"/>
        <v>0.7993084096316766</v>
      </c>
      <c r="AK160">
        <f t="shared" si="23"/>
        <v>0.79885343968095712</v>
      </c>
      <c r="AL160">
        <f t="shared" si="23"/>
        <v>1.016759776536313</v>
      </c>
      <c r="AM160">
        <f t="shared" si="23"/>
        <v>1.3013698630136987</v>
      </c>
      <c r="AN160">
        <f t="shared" si="23"/>
        <v>1.0375615763546799</v>
      </c>
      <c r="AO160">
        <f t="shared" si="23"/>
        <v>1.1490630323679727</v>
      </c>
      <c r="AP160">
        <f t="shared" si="23"/>
        <v>1.0702028081123245</v>
      </c>
      <c r="AQ160">
        <f t="shared" si="23"/>
        <v>0.8978281915759676</v>
      </c>
    </row>
    <row r="161" spans="1:43" x14ac:dyDescent="0.2">
      <c r="V161" s="6"/>
    </row>
    <row r="162" spans="1:43" x14ac:dyDescent="0.2">
      <c r="A162" t="s">
        <v>26</v>
      </c>
      <c r="B162">
        <f>B8*$B$1</f>
        <v>2499.5</v>
      </c>
      <c r="C162">
        <f t="shared" ref="C162:U162" si="24">C8*$B$1</f>
        <v>2499.5</v>
      </c>
      <c r="D162">
        <f t="shared" si="24"/>
        <v>2497.5</v>
      </c>
      <c r="E162">
        <f t="shared" si="24"/>
        <v>1398</v>
      </c>
      <c r="F162">
        <f t="shared" si="24"/>
        <v>1072</v>
      </c>
      <c r="G162">
        <f t="shared" si="24"/>
        <v>1022.5</v>
      </c>
      <c r="H162">
        <f t="shared" si="24"/>
        <v>1003.5</v>
      </c>
      <c r="I162">
        <f t="shared" si="24"/>
        <v>1003.0000000000001</v>
      </c>
      <c r="J162">
        <f t="shared" si="24"/>
        <v>1001</v>
      </c>
      <c r="K162">
        <f t="shared" si="24"/>
        <v>1001</v>
      </c>
      <c r="L162">
        <f t="shared" si="24"/>
        <v>1000.5</v>
      </c>
      <c r="M162">
        <f t="shared" si="24"/>
        <v>1000.5</v>
      </c>
      <c r="N162">
        <f t="shared" si="24"/>
        <v>1000.5</v>
      </c>
      <c r="O162">
        <f t="shared" si="24"/>
        <v>1000.5</v>
      </c>
      <c r="P162">
        <f t="shared" si="24"/>
        <v>1000.5</v>
      </c>
      <c r="Q162">
        <f t="shared" si="24"/>
        <v>1000.5</v>
      </c>
      <c r="R162">
        <f t="shared" si="24"/>
        <v>1000.5</v>
      </c>
      <c r="S162">
        <f t="shared" si="24"/>
        <v>1000</v>
      </c>
      <c r="T162">
        <f t="shared" si="24"/>
        <v>1000</v>
      </c>
      <c r="U162">
        <f t="shared" si="24"/>
        <v>1000</v>
      </c>
      <c r="V162" s="6"/>
      <c r="W162" t="s">
        <v>26</v>
      </c>
      <c r="X162">
        <f>X8*$B$1</f>
        <v>2484.5</v>
      </c>
      <c r="Y162">
        <f t="shared" ref="Y162:AQ162" si="25">Y8*$B$1</f>
        <v>2451.5</v>
      </c>
      <c r="Z162">
        <f t="shared" si="25"/>
        <v>2428.5</v>
      </c>
      <c r="AA162">
        <f t="shared" si="25"/>
        <v>1424</v>
      </c>
      <c r="AB162">
        <f t="shared" si="25"/>
        <v>1144.5</v>
      </c>
      <c r="AC162">
        <f t="shared" si="25"/>
        <v>1025</v>
      </c>
      <c r="AD162">
        <f t="shared" si="25"/>
        <v>1013.5</v>
      </c>
      <c r="AE162">
        <f t="shared" si="25"/>
        <v>1008.5</v>
      </c>
      <c r="AF162">
        <f t="shared" si="25"/>
        <v>1005.5</v>
      </c>
      <c r="AG162">
        <f t="shared" si="25"/>
        <v>1003.5</v>
      </c>
      <c r="AH162">
        <f t="shared" si="25"/>
        <v>1001.9999999999999</v>
      </c>
      <c r="AI162">
        <f t="shared" si="25"/>
        <v>1001.5</v>
      </c>
      <c r="AJ162">
        <f t="shared" si="25"/>
        <v>1001.5</v>
      </c>
      <c r="AK162">
        <f t="shared" si="25"/>
        <v>1001</v>
      </c>
      <c r="AL162">
        <f t="shared" si="25"/>
        <v>1001</v>
      </c>
      <c r="AM162">
        <f t="shared" si="25"/>
        <v>1001</v>
      </c>
      <c r="AN162">
        <f t="shared" si="25"/>
        <v>1000.5</v>
      </c>
      <c r="AO162">
        <f t="shared" si="25"/>
        <v>1000.5</v>
      </c>
      <c r="AP162">
        <f t="shared" si="25"/>
        <v>1000.5</v>
      </c>
      <c r="AQ162">
        <f t="shared" si="25"/>
        <v>1000.5</v>
      </c>
    </row>
    <row r="163" spans="1:43" x14ac:dyDescent="0.2">
      <c r="A163" t="s">
        <v>27</v>
      </c>
      <c r="B163">
        <f>B160*B162</f>
        <v>3439.1317603393427</v>
      </c>
      <c r="C163">
        <f t="shared" ref="C163:U163" si="26">C160*C162</f>
        <v>3692.1101992966001</v>
      </c>
      <c r="D163">
        <f t="shared" si="26"/>
        <v>2908.2668423033492</v>
      </c>
      <c r="E163">
        <f t="shared" si="26"/>
        <v>1767.3097165991901</v>
      </c>
      <c r="F163">
        <f t="shared" si="26"/>
        <v>1042.8741756792404</v>
      </c>
      <c r="G163">
        <f t="shared" si="26"/>
        <v>1454.0858000558505</v>
      </c>
      <c r="H163">
        <f t="shared" si="26"/>
        <v>1054.2207293666027</v>
      </c>
      <c r="I163">
        <f t="shared" si="26"/>
        <v>1424.296875</v>
      </c>
      <c r="J163">
        <f t="shared" si="26"/>
        <v>1519.1222622678126</v>
      </c>
      <c r="K163">
        <f t="shared" si="26"/>
        <v>1002.5947955390334</v>
      </c>
      <c r="L163">
        <f t="shared" si="26"/>
        <v>764.34246134020611</v>
      </c>
      <c r="M163">
        <f t="shared" si="26"/>
        <v>1209.6929943197188</v>
      </c>
      <c r="N163">
        <f t="shared" si="26"/>
        <v>1435.2767322497862</v>
      </c>
      <c r="O163">
        <f t="shared" si="26"/>
        <v>1031.0760869565217</v>
      </c>
      <c r="P163">
        <f t="shared" si="26"/>
        <v>664.42199578355576</v>
      </c>
      <c r="Q163">
        <f t="shared" si="26"/>
        <v>1019.9426568971011</v>
      </c>
      <c r="R163">
        <f t="shared" si="26"/>
        <v>1426.7311749194259</v>
      </c>
      <c r="S163">
        <f t="shared" si="26"/>
        <v>1525.3493013972056</v>
      </c>
      <c r="T163">
        <f t="shared" si="26"/>
        <v>416.60231660231659</v>
      </c>
      <c r="U163">
        <f t="shared" si="26"/>
        <v>697.39776951672877</v>
      </c>
      <c r="V163" s="6"/>
      <c r="W163" t="s">
        <v>27</v>
      </c>
      <c r="X163">
        <f>X162*X160</f>
        <v>2292.5463900134951</v>
      </c>
      <c r="Y163">
        <f t="shared" ref="Y163:AQ163" si="27">Y162*Y160</f>
        <v>2204.9235245220284</v>
      </c>
      <c r="Z163">
        <f t="shared" si="27"/>
        <v>1768.8149290561382</v>
      </c>
      <c r="AA163">
        <f t="shared" si="27"/>
        <v>1638.8028962188253</v>
      </c>
      <c r="AB163">
        <f t="shared" si="27"/>
        <v>1054.2173613503271</v>
      </c>
      <c r="AC163">
        <f t="shared" si="27"/>
        <v>776.35818066961463</v>
      </c>
      <c r="AD163">
        <f t="shared" si="27"/>
        <v>618.70523198420551</v>
      </c>
      <c r="AE163">
        <f t="shared" si="27"/>
        <v>861.78540051679579</v>
      </c>
      <c r="AF163">
        <f t="shared" si="27"/>
        <v>1071.4521505376342</v>
      </c>
      <c r="AG163">
        <f t="shared" si="27"/>
        <v>1153.4116136919315</v>
      </c>
      <c r="AH163">
        <f t="shared" si="27"/>
        <v>1300.2492668621699</v>
      </c>
      <c r="AI163">
        <f t="shared" si="27"/>
        <v>1192.2798943794794</v>
      </c>
      <c r="AJ163">
        <f t="shared" si="27"/>
        <v>800.50737224612408</v>
      </c>
      <c r="AK163">
        <f t="shared" si="27"/>
        <v>799.65229312063809</v>
      </c>
      <c r="AL163">
        <f t="shared" si="27"/>
        <v>1017.7765363128493</v>
      </c>
      <c r="AM163">
        <f t="shared" si="27"/>
        <v>1302.6712328767123</v>
      </c>
      <c r="AN163">
        <f t="shared" si="27"/>
        <v>1038.0803571428573</v>
      </c>
      <c r="AO163">
        <f t="shared" si="27"/>
        <v>1149.6375638841566</v>
      </c>
      <c r="AP163">
        <f t="shared" si="27"/>
        <v>1070.7379095163806</v>
      </c>
      <c r="AQ163">
        <f t="shared" si="27"/>
        <v>898.27710567175563</v>
      </c>
    </row>
    <row r="164" spans="1:43" x14ac:dyDescent="0.2">
      <c r="A164" t="s">
        <v>28</v>
      </c>
      <c r="B164">
        <f>B163-B162</f>
        <v>939.63176033934269</v>
      </c>
      <c r="C164" s="6">
        <f t="shared" ref="C164:U164" si="28">C163-C162</f>
        <v>1192.6101992966001</v>
      </c>
      <c r="D164">
        <f t="shared" si="28"/>
        <v>410.76684230334922</v>
      </c>
      <c r="E164">
        <f t="shared" si="28"/>
        <v>369.3097165991901</v>
      </c>
      <c r="F164">
        <f t="shared" si="28"/>
        <v>-29.125824320759648</v>
      </c>
      <c r="G164">
        <f t="shared" si="28"/>
        <v>431.58580005585054</v>
      </c>
      <c r="H164">
        <f t="shared" si="28"/>
        <v>50.720729366602654</v>
      </c>
      <c r="I164">
        <f t="shared" si="28"/>
        <v>421.29687499999989</v>
      </c>
      <c r="J164">
        <f t="shared" si="28"/>
        <v>518.12226226781263</v>
      </c>
      <c r="K164">
        <f t="shared" si="28"/>
        <v>1.5947955390333846</v>
      </c>
      <c r="L164">
        <f t="shared" si="28"/>
        <v>-236.15753865979389</v>
      </c>
      <c r="M164">
        <f t="shared" si="28"/>
        <v>209.19299431971876</v>
      </c>
      <c r="N164">
        <f t="shared" si="28"/>
        <v>434.77673224978616</v>
      </c>
      <c r="O164">
        <f t="shared" si="28"/>
        <v>30.576086956521749</v>
      </c>
      <c r="P164">
        <f t="shared" si="28"/>
        <v>-336.07800421644424</v>
      </c>
      <c r="Q164">
        <f t="shared" si="28"/>
        <v>19.442656897101074</v>
      </c>
      <c r="R164">
        <f t="shared" si="28"/>
        <v>426.23117491942594</v>
      </c>
      <c r="S164">
        <f t="shared" si="28"/>
        <v>525.34930139720564</v>
      </c>
      <c r="T164" s="23">
        <f t="shared" si="28"/>
        <v>-583.39768339768341</v>
      </c>
      <c r="U164">
        <f t="shared" si="28"/>
        <v>-302.60223048327123</v>
      </c>
      <c r="V164" s="6"/>
      <c r="W164" t="s">
        <v>28</v>
      </c>
      <c r="X164">
        <f>X162-X163</f>
        <v>191.95360998650494</v>
      </c>
      <c r="Y164">
        <f t="shared" ref="Y164:AQ164" si="29">Y162-Y163</f>
        <v>246.5764754779716</v>
      </c>
      <c r="Z164" s="6">
        <f t="shared" si="29"/>
        <v>659.68507094386177</v>
      </c>
      <c r="AA164">
        <f t="shared" si="29"/>
        <v>-214.80289621882525</v>
      </c>
      <c r="AB164">
        <f t="shared" si="29"/>
        <v>90.28263864967289</v>
      </c>
      <c r="AC164">
        <f t="shared" si="29"/>
        <v>248.64181933038537</v>
      </c>
      <c r="AD164">
        <f t="shared" si="29"/>
        <v>394.79476801579449</v>
      </c>
      <c r="AE164">
        <f t="shared" si="29"/>
        <v>146.71459948320421</v>
      </c>
      <c r="AF164">
        <f t="shared" si="29"/>
        <v>-65.952150537634225</v>
      </c>
      <c r="AG164">
        <f t="shared" si="29"/>
        <v>-149.91161369193151</v>
      </c>
      <c r="AH164">
        <f t="shared" si="29"/>
        <v>-298.24926686216997</v>
      </c>
      <c r="AI164">
        <f t="shared" si="29"/>
        <v>-190.7798943794794</v>
      </c>
      <c r="AJ164">
        <f t="shared" si="29"/>
        <v>200.99262775387592</v>
      </c>
      <c r="AK164">
        <f t="shared" si="29"/>
        <v>201.34770687936191</v>
      </c>
      <c r="AL164">
        <f t="shared" si="29"/>
        <v>-16.776536312849316</v>
      </c>
      <c r="AM164" s="23">
        <f t="shared" si="29"/>
        <v>-301.67123287671234</v>
      </c>
      <c r="AN164">
        <f t="shared" si="29"/>
        <v>-37.580357142857338</v>
      </c>
      <c r="AO164">
        <f t="shared" si="29"/>
        <v>-149.13756388415663</v>
      </c>
      <c r="AP164">
        <f t="shared" si="29"/>
        <v>-70.237909516380569</v>
      </c>
      <c r="AQ164">
        <f t="shared" si="29"/>
        <v>102.22289432824437</v>
      </c>
    </row>
    <row r="165" spans="1:43" x14ac:dyDescent="0.2">
      <c r="A165" t="s">
        <v>29</v>
      </c>
      <c r="B165">
        <f>SUM(B164:U164)</f>
        <v>4493.846646429588</v>
      </c>
      <c r="V165" s="6"/>
      <c r="W165" t="s">
        <v>29</v>
      </c>
      <c r="X165">
        <f>SUM(X164:AQ164)</f>
        <v>988.11278942588069</v>
      </c>
    </row>
    <row r="166" spans="1:43" x14ac:dyDescent="0.2">
      <c r="V166" s="6"/>
    </row>
    <row r="167" spans="1:43" x14ac:dyDescent="0.2">
      <c r="A167" t="s">
        <v>50</v>
      </c>
      <c r="B167">
        <f>SUM(B162:U162)</f>
        <v>25001</v>
      </c>
      <c r="V167" s="6"/>
      <c r="W167" t="s">
        <v>50</v>
      </c>
      <c r="X167">
        <f>SUM(X162:AQ162)</f>
        <v>24999</v>
      </c>
    </row>
    <row r="168" spans="1:43" x14ac:dyDescent="0.2">
      <c r="V168" s="6"/>
    </row>
    <row r="169" spans="1:43" x14ac:dyDescent="0.2">
      <c r="V169" s="6"/>
    </row>
    <row r="170" spans="1:43" x14ac:dyDescent="0.2">
      <c r="V170" s="6"/>
      <c r="W170" t="s">
        <v>51</v>
      </c>
      <c r="X170">
        <f>B165+X165</f>
        <v>5481.9594358554687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E082-5D3F-496C-902C-433D73EE84A9}">
  <dimension ref="A1:BI170"/>
  <sheetViews>
    <sheetView tabSelected="1" zoomScale="70" zoomScaleNormal="70" workbookViewId="0">
      <selection activeCell="AX77" sqref="AX77"/>
    </sheetView>
  </sheetViews>
  <sheetFormatPr baseColWidth="10" defaultColWidth="8.83203125" defaultRowHeight="15" x14ac:dyDescent="0.2"/>
  <cols>
    <col min="1" max="1" width="21.6640625" customWidth="1"/>
    <col min="23" max="23" width="22.83203125" customWidth="1"/>
    <col min="44" max="44" width="21.6640625" customWidth="1"/>
    <col min="45" max="45" width="25.33203125" customWidth="1"/>
    <col min="46" max="46" width="36.1640625" customWidth="1"/>
    <col min="47" max="47" width="39.1640625" customWidth="1"/>
    <col min="48" max="48" width="37.33203125" customWidth="1"/>
    <col min="49" max="49" width="23.1640625" customWidth="1"/>
    <col min="50" max="50" width="16.33203125" customWidth="1"/>
  </cols>
  <sheetData>
    <row r="1" spans="1:61" x14ac:dyDescent="0.2">
      <c r="A1" s="4" t="s">
        <v>21</v>
      </c>
      <c r="B1">
        <v>50000</v>
      </c>
    </row>
    <row r="8" spans="1:61" x14ac:dyDescent="0.2">
      <c r="A8" t="s">
        <v>22</v>
      </c>
      <c r="B8">
        <v>4.9950000000000001E-2</v>
      </c>
      <c r="C8">
        <v>4.99E-2</v>
      </c>
      <c r="D8">
        <v>4.9860000000000002E-2</v>
      </c>
      <c r="E8">
        <v>2.6069999999999999E-2</v>
      </c>
      <c r="F8">
        <v>2.2030000000000001E-2</v>
      </c>
      <c r="G8">
        <v>2.0590000000000001E-2</v>
      </c>
      <c r="H8">
        <v>2.0559999999999998E-2</v>
      </c>
      <c r="I8">
        <v>2.0279999999999999E-2</v>
      </c>
      <c r="J8">
        <v>2.0150000000000001E-2</v>
      </c>
      <c r="K8">
        <v>2.01E-2</v>
      </c>
      <c r="L8">
        <v>2.009E-2</v>
      </c>
      <c r="M8">
        <v>2.0080000000000001E-2</v>
      </c>
      <c r="N8">
        <v>2.0070000000000001E-2</v>
      </c>
      <c r="O8">
        <v>2.0060000000000001E-2</v>
      </c>
      <c r="P8">
        <v>2.0060000000000001E-2</v>
      </c>
      <c r="Q8">
        <v>2.0049999999999998E-2</v>
      </c>
      <c r="R8">
        <v>2.0039999999999999E-2</v>
      </c>
      <c r="S8">
        <v>2.0029999999999999E-2</v>
      </c>
      <c r="T8">
        <v>2.0029999999999999E-2</v>
      </c>
      <c r="U8">
        <v>2.001E-2</v>
      </c>
      <c r="V8" s="6"/>
      <c r="W8" t="s">
        <v>22</v>
      </c>
      <c r="X8">
        <v>4.9930000000000002E-2</v>
      </c>
      <c r="Y8">
        <v>4.9860000000000002E-2</v>
      </c>
      <c r="Z8">
        <v>3.9410000000000001E-2</v>
      </c>
      <c r="AA8">
        <v>3.8109999999999998E-2</v>
      </c>
      <c r="AB8">
        <v>2.1149999999999999E-2</v>
      </c>
      <c r="AC8">
        <v>2.0289999999999999E-2</v>
      </c>
      <c r="AD8">
        <v>2.0199999999999999E-2</v>
      </c>
      <c r="AE8">
        <v>2.0160000000000001E-2</v>
      </c>
      <c r="AF8">
        <v>2.0160000000000001E-2</v>
      </c>
      <c r="AG8">
        <v>2.0140000000000002E-2</v>
      </c>
      <c r="AH8">
        <v>2.009E-2</v>
      </c>
      <c r="AI8">
        <v>2.0080000000000001E-2</v>
      </c>
      <c r="AJ8">
        <v>2.0080000000000001E-2</v>
      </c>
      <c r="AK8">
        <v>2.0080000000000001E-2</v>
      </c>
      <c r="AL8">
        <v>2.0060000000000001E-2</v>
      </c>
      <c r="AM8">
        <v>2.0049999999999998E-2</v>
      </c>
      <c r="AN8">
        <v>2.0049999999999998E-2</v>
      </c>
      <c r="AO8">
        <v>2.0049999999999998E-2</v>
      </c>
      <c r="AP8">
        <v>2.0039999999999999E-2</v>
      </c>
      <c r="AQ8">
        <v>2.002E-2</v>
      </c>
    </row>
    <row r="9" spans="1:61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6"/>
    </row>
    <row r="10" spans="1:61" x14ac:dyDescent="0.2">
      <c r="A10" t="s">
        <v>23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58</v>
      </c>
      <c r="I10" s="2" t="s">
        <v>59</v>
      </c>
      <c r="J10" s="2" t="s">
        <v>60</v>
      </c>
      <c r="K10" s="2" t="s">
        <v>61</v>
      </c>
      <c r="L10" s="2" t="s">
        <v>62</v>
      </c>
      <c r="M10" s="2" t="s">
        <v>63</v>
      </c>
      <c r="N10" s="2" t="s">
        <v>64</v>
      </c>
      <c r="O10" s="2" t="s">
        <v>65</v>
      </c>
      <c r="P10" s="2" t="s">
        <v>66</v>
      </c>
      <c r="Q10" s="2" t="s">
        <v>67</v>
      </c>
      <c r="R10" s="2" t="s">
        <v>68</v>
      </c>
      <c r="S10" s="2" t="s">
        <v>69</v>
      </c>
      <c r="T10" s="2" t="s">
        <v>70</v>
      </c>
      <c r="U10" s="2" t="s">
        <v>71</v>
      </c>
      <c r="V10" s="6"/>
      <c r="W10" t="s">
        <v>23</v>
      </c>
      <c r="X10" s="2" t="s">
        <v>72</v>
      </c>
      <c r="Y10" s="2" t="s">
        <v>73</v>
      </c>
      <c r="Z10" s="2" t="s">
        <v>74</v>
      </c>
      <c r="AA10" s="2" t="s">
        <v>75</v>
      </c>
      <c r="AB10" s="2" t="s">
        <v>76</v>
      </c>
      <c r="AC10" s="2" t="s">
        <v>77</v>
      </c>
      <c r="AD10" s="2" t="s">
        <v>78</v>
      </c>
      <c r="AE10" s="2" t="s">
        <v>79</v>
      </c>
      <c r="AF10" s="2" t="s">
        <v>80</v>
      </c>
      <c r="AG10" s="2" t="s">
        <v>81</v>
      </c>
      <c r="AH10" s="2" t="s">
        <v>82</v>
      </c>
      <c r="AI10" s="2" t="s">
        <v>83</v>
      </c>
      <c r="AJ10" s="2" t="s">
        <v>84</v>
      </c>
      <c r="AK10" s="2" t="s">
        <v>85</v>
      </c>
      <c r="AL10" s="2" t="s">
        <v>86</v>
      </c>
      <c r="AM10" s="2" t="s">
        <v>87</v>
      </c>
      <c r="AN10" s="2" t="s">
        <v>88</v>
      </c>
      <c r="AO10" s="2" t="s">
        <v>89</v>
      </c>
      <c r="AP10" s="2" t="s">
        <v>90</v>
      </c>
      <c r="AQ10" s="2" t="s">
        <v>91</v>
      </c>
      <c r="AR10" t="s">
        <v>98</v>
      </c>
      <c r="AS10" t="s">
        <v>97</v>
      </c>
      <c r="AT10" t="s">
        <v>705</v>
      </c>
      <c r="AU10" t="s">
        <v>100</v>
      </c>
      <c r="AV10" t="s">
        <v>102</v>
      </c>
      <c r="AW10" t="s">
        <v>103</v>
      </c>
      <c r="AX10" t="s">
        <v>707</v>
      </c>
      <c r="BI10" t="s">
        <v>101</v>
      </c>
    </row>
    <row r="11" spans="1:61" x14ac:dyDescent="0.2">
      <c r="A11" s="3">
        <v>45775</v>
      </c>
      <c r="B11">
        <v>119.385333</v>
      </c>
      <c r="C11">
        <v>59.977229999999999</v>
      </c>
      <c r="D11">
        <v>189.3967098</v>
      </c>
      <c r="E11">
        <v>68.584181400000006</v>
      </c>
      <c r="F11">
        <v>32.6328666</v>
      </c>
      <c r="G11">
        <v>138.78818580000001</v>
      </c>
      <c r="H11">
        <v>47.3426106</v>
      </c>
      <c r="I11">
        <v>227.2305216</v>
      </c>
      <c r="J11">
        <v>20.2346538</v>
      </c>
      <c r="K11">
        <v>45.311264999999999</v>
      </c>
      <c r="L11">
        <v>60.2749272</v>
      </c>
      <c r="M11">
        <v>15.1300224</v>
      </c>
      <c r="N11">
        <v>80.614650600000004</v>
      </c>
      <c r="O11">
        <v>69.731191199999998</v>
      </c>
      <c r="P11">
        <v>16.513438799999999</v>
      </c>
      <c r="Q11">
        <v>32.606599199999998</v>
      </c>
      <c r="R11">
        <v>36.739336799999997</v>
      </c>
      <c r="S11">
        <v>15.270115199999999</v>
      </c>
      <c r="T11">
        <v>70.204004400000002</v>
      </c>
      <c r="U11">
        <v>24.043426799999999</v>
      </c>
      <c r="V11" s="6"/>
      <c r="W11" s="3">
        <v>45775</v>
      </c>
      <c r="X11">
        <v>29.778475799999999</v>
      </c>
      <c r="Y11">
        <v>856.79005319999999</v>
      </c>
      <c r="Z11">
        <v>149.1375414</v>
      </c>
      <c r="AA11">
        <v>51.781801199999997</v>
      </c>
      <c r="AB11">
        <v>120.7687494</v>
      </c>
      <c r="AC11">
        <v>800.05246920000002</v>
      </c>
      <c r="AD11">
        <v>193.0303668</v>
      </c>
      <c r="AE11">
        <v>126.2236128</v>
      </c>
      <c r="AF11">
        <v>388.7312526</v>
      </c>
      <c r="AG11">
        <v>198.31011419999999</v>
      </c>
      <c r="AH11">
        <v>739.5849144</v>
      </c>
      <c r="AI11">
        <v>126.0309852</v>
      </c>
      <c r="AJ11">
        <v>90.464925600000001</v>
      </c>
      <c r="AK11">
        <v>210.2442696</v>
      </c>
      <c r="AL11">
        <v>312.51201359999999</v>
      </c>
      <c r="AM11">
        <v>512.3981718</v>
      </c>
      <c r="AN11">
        <v>255.0827214</v>
      </c>
      <c r="AO11">
        <v>215.8654932</v>
      </c>
      <c r="AP11">
        <v>77.690213400000005</v>
      </c>
      <c r="AQ11">
        <v>49.277642399999998</v>
      </c>
      <c r="AR11" cm="1">
        <f t="array" ref="AR11">SUMPRODUCT($B$162:$U$162,(B11:U11)/($B$11:$U$11))</f>
        <v>25000.5</v>
      </c>
      <c r="AS11">
        <v>25000.5</v>
      </c>
      <c r="AT11">
        <v>1</v>
      </c>
      <c r="AU11" cm="1">
        <f t="array" ref="AU11">SUMPRODUCT($X$162:$AQ$162,(X11:AQ11)/($X$11:$AQ$11))</f>
        <v>25000.5</v>
      </c>
      <c r="AV11">
        <v>25000.5</v>
      </c>
      <c r="AW11">
        <v>0</v>
      </c>
      <c r="AX11">
        <v>0</v>
      </c>
    </row>
    <row r="12" spans="1:61" x14ac:dyDescent="0.2">
      <c r="A12" s="3">
        <v>45776</v>
      </c>
      <c r="B12">
        <v>120.77312499999999</v>
      </c>
      <c r="C12">
        <v>60.729118999999997</v>
      </c>
      <c r="D12">
        <v>190.23304300000001</v>
      </c>
      <c r="E12">
        <v>69.758556999999996</v>
      </c>
      <c r="F12">
        <v>31.6206</v>
      </c>
      <c r="G12">
        <v>137.72528</v>
      </c>
      <c r="H12">
        <v>46.517415999999997</v>
      </c>
      <c r="I12">
        <v>220.70300449999999</v>
      </c>
      <c r="J12">
        <v>20.535823000000001</v>
      </c>
      <c r="K12">
        <v>45.832303000000003</v>
      </c>
      <c r="L12">
        <v>60.544665500000001</v>
      </c>
      <c r="M12">
        <v>15.2393725</v>
      </c>
      <c r="N12">
        <v>81.765601500000002</v>
      </c>
      <c r="O12">
        <v>70.083546499999997</v>
      </c>
      <c r="P12">
        <v>16.4339285</v>
      </c>
      <c r="Q12">
        <v>32.648269499999998</v>
      </c>
      <c r="R12">
        <v>36.960968000000001</v>
      </c>
      <c r="S12">
        <v>15.265722999999999</v>
      </c>
      <c r="T12">
        <v>71.128782999999999</v>
      </c>
      <c r="U12">
        <v>24.435697000000001</v>
      </c>
      <c r="V12" s="6"/>
      <c r="W12" s="3">
        <v>45776</v>
      </c>
      <c r="X12">
        <v>29.5564775</v>
      </c>
      <c r="Y12">
        <v>871.05969500000003</v>
      </c>
      <c r="Z12">
        <v>149.51273699999999</v>
      </c>
      <c r="AA12">
        <v>52.3408765</v>
      </c>
      <c r="AB12">
        <v>121.54607300000001</v>
      </c>
      <c r="AC12">
        <v>808.53874199999996</v>
      </c>
      <c r="AD12">
        <v>194.99369999999999</v>
      </c>
      <c r="AE12">
        <v>128.59922349999999</v>
      </c>
      <c r="AF12">
        <v>404.71732950000001</v>
      </c>
      <c r="AG12">
        <v>200.75567599999999</v>
      </c>
      <c r="AH12">
        <v>748.04677749999996</v>
      </c>
      <c r="AI12">
        <v>126.9654925</v>
      </c>
      <c r="AJ12">
        <v>90.557884999999999</v>
      </c>
      <c r="AK12">
        <v>212.34111250000001</v>
      </c>
      <c r="AL12">
        <v>315.32765000000001</v>
      </c>
      <c r="AM12">
        <v>515.36307899999997</v>
      </c>
      <c r="AN12">
        <v>258.147065</v>
      </c>
      <c r="AO12">
        <v>217.52337750000001</v>
      </c>
      <c r="AP12">
        <v>78.050180999999995</v>
      </c>
      <c r="AQ12">
        <v>50.636877499999997</v>
      </c>
      <c r="AR12" cm="1">
        <f t="array" ref="AR12">SUMPRODUCT($B$162:$U$162,(B12:U12)/($B$11:$U$11))</f>
        <v>25094.461949970988</v>
      </c>
      <c r="AS12">
        <f>AR12-AR11</f>
        <v>93.961949970987916</v>
      </c>
      <c r="AT12">
        <f>AR12/AR11</f>
        <v>1.0037584028307829</v>
      </c>
      <c r="AU12" cm="1">
        <f t="array" ref="AU12">SUMPRODUCT($X$162:$AQ$162,(X12:AQ12)/($X$11:$AQ$11))</f>
        <v>25246.43792575011</v>
      </c>
      <c r="AV12">
        <f>AU12-AU11</f>
        <v>245.93792575010957</v>
      </c>
      <c r="AW12">
        <f>IF(AV12&gt;0, -AV12, ABS(AV12))</f>
        <v>-245.93792575010957</v>
      </c>
      <c r="AX12">
        <f>AS12+AW12</f>
        <v>-151.97597577912165</v>
      </c>
    </row>
    <row r="13" spans="1:61" x14ac:dyDescent="0.2">
      <c r="A13" s="3">
        <v>45777</v>
      </c>
      <c r="B13">
        <v>122.345353</v>
      </c>
      <c r="C13">
        <v>61.870128000000001</v>
      </c>
      <c r="D13">
        <v>189.7332935</v>
      </c>
      <c r="E13">
        <v>71.519678499999998</v>
      </c>
      <c r="F13">
        <v>28.127600999999999</v>
      </c>
      <c r="G13">
        <v>138.94293300000001</v>
      </c>
      <c r="H13">
        <v>46.508538000000001</v>
      </c>
      <c r="I13">
        <v>222.73422650000001</v>
      </c>
      <c r="J13">
        <v>20.835260000000002</v>
      </c>
      <c r="K13">
        <v>46.6233085</v>
      </c>
      <c r="L13">
        <v>60.757736999999999</v>
      </c>
      <c r="M13">
        <v>14.584682000000001</v>
      </c>
      <c r="N13">
        <v>84.665315000000007</v>
      </c>
      <c r="O13">
        <v>69.188954499999994</v>
      </c>
      <c r="P13">
        <v>16.191469000000001</v>
      </c>
      <c r="Q13">
        <v>31.809085499999998</v>
      </c>
      <c r="R13">
        <v>36.753045499999999</v>
      </c>
      <c r="S13">
        <v>14.1520855</v>
      </c>
      <c r="T13">
        <v>71.140052999999995</v>
      </c>
      <c r="U13">
        <v>25.196539000000001</v>
      </c>
      <c r="V13" s="6"/>
      <c r="W13" s="3">
        <v>45777</v>
      </c>
      <c r="X13">
        <v>30.184641500000001</v>
      </c>
      <c r="Y13">
        <v>877.994325</v>
      </c>
      <c r="Z13">
        <v>150.65835250000001</v>
      </c>
      <c r="AA13">
        <v>52.935685999999997</v>
      </c>
      <c r="AB13">
        <v>122.63669350000001</v>
      </c>
      <c r="AC13">
        <v>807.15444100000002</v>
      </c>
      <c r="AD13">
        <v>199.05618949999999</v>
      </c>
      <c r="AE13">
        <v>129.88489200000001</v>
      </c>
      <c r="AF13">
        <v>405.23697850000002</v>
      </c>
      <c r="AG13">
        <v>199.86841150000001</v>
      </c>
      <c r="AH13">
        <v>759.91313749999995</v>
      </c>
      <c r="AI13">
        <v>128.36639</v>
      </c>
      <c r="AJ13">
        <v>90.227270000000004</v>
      </c>
      <c r="AK13">
        <v>211.80454349999999</v>
      </c>
      <c r="AL13">
        <v>318.25859650000001</v>
      </c>
      <c r="AM13">
        <v>523.618335</v>
      </c>
      <c r="AN13">
        <v>258.79864900000001</v>
      </c>
      <c r="AO13">
        <v>218.664288</v>
      </c>
      <c r="AP13">
        <v>78.176367499999998</v>
      </c>
      <c r="AQ13">
        <v>50.375421000000003</v>
      </c>
      <c r="AR13" cm="1">
        <f t="array" ref="AR13">SUMPRODUCT($B$162:$U$162,(B13:U13)/($B$11:$U$11))</f>
        <v>25030.083769806883</v>
      </c>
      <c r="AS13">
        <f t="shared" ref="AS13:AS76" si="0">AR13-AR12</f>
        <v>-64.378180164105288</v>
      </c>
      <c r="AT13">
        <f t="shared" ref="AT13:AT76" si="1">AR13/AR12</f>
        <v>0.99743456622849891</v>
      </c>
      <c r="AU13" cm="1">
        <f t="array" ref="AU13">SUMPRODUCT($X$162:$AQ$162,(X13:AQ13)/($X$11:$AQ$11))</f>
        <v>25443.241989713602</v>
      </c>
      <c r="AV13">
        <f t="shared" ref="AV13:AV76" si="2">AU13-AU12</f>
        <v>196.80406396349281</v>
      </c>
      <c r="AW13">
        <f t="shared" ref="AW13:AW76" si="3">IF(AV13&gt;0, -AV13, ABS(AV13))</f>
        <v>-196.80406396349281</v>
      </c>
      <c r="AX13">
        <f t="shared" ref="AX13:AX76" si="4">AS13+AW13</f>
        <v>-261.1822441275981</v>
      </c>
    </row>
    <row r="14" spans="1:61" x14ac:dyDescent="0.2">
      <c r="A14" s="3">
        <v>45778</v>
      </c>
      <c r="B14">
        <v>131.10424979999999</v>
      </c>
      <c r="C14">
        <v>58.046156400000001</v>
      </c>
      <c r="D14">
        <v>195.5271582</v>
      </c>
      <c r="E14">
        <v>71.641037400000002</v>
      </c>
      <c r="F14">
        <v>28.987651799999998</v>
      </c>
      <c r="G14">
        <v>140.70480420000001</v>
      </c>
      <c r="H14">
        <v>45.602633400000002</v>
      </c>
      <c r="I14">
        <v>221.636415</v>
      </c>
      <c r="J14">
        <v>21.220413600000001</v>
      </c>
      <c r="K14">
        <v>46.151742599999999</v>
      </c>
      <c r="L14">
        <v>61.252245600000002</v>
      </c>
      <c r="M14">
        <v>14.7639522</v>
      </c>
      <c r="N14">
        <v>83.438028599999996</v>
      </c>
      <c r="O14">
        <v>70.516249200000004</v>
      </c>
      <c r="P14">
        <v>16.499845799999999</v>
      </c>
      <c r="Q14">
        <v>32.246880599999997</v>
      </c>
      <c r="R14">
        <v>36.754890000000003</v>
      </c>
      <c r="S14">
        <v>14.4008316</v>
      </c>
      <c r="T14">
        <v>71.835882600000005</v>
      </c>
      <c r="U14">
        <v>23.939389800000001</v>
      </c>
      <c r="V14" s="6"/>
      <c r="W14" s="3">
        <v>45778</v>
      </c>
      <c r="X14">
        <v>31.095522599999999</v>
      </c>
      <c r="Y14">
        <v>884.80976639999994</v>
      </c>
      <c r="Z14">
        <v>150.39392459999999</v>
      </c>
      <c r="AA14">
        <v>52.156517399999998</v>
      </c>
      <c r="AB14">
        <v>122.132514</v>
      </c>
      <c r="AC14">
        <v>811.38855239999998</v>
      </c>
      <c r="AD14">
        <v>198.38784000000001</v>
      </c>
      <c r="AE14">
        <v>129.84661259999999</v>
      </c>
      <c r="AF14">
        <v>406.8367776</v>
      </c>
      <c r="AG14">
        <v>201.133386</v>
      </c>
      <c r="AH14">
        <v>763.41235019999999</v>
      </c>
      <c r="AI14">
        <v>128.8989564</v>
      </c>
      <c r="AJ14">
        <v>91.293832800000004</v>
      </c>
      <c r="AK14">
        <v>211.88529840000001</v>
      </c>
      <c r="AL14">
        <v>317.33197799999999</v>
      </c>
      <c r="AM14">
        <v>532.83962580000002</v>
      </c>
      <c r="AN14">
        <v>262.46534100000002</v>
      </c>
      <c r="AO14">
        <v>220.68875879999999</v>
      </c>
      <c r="AP14">
        <v>78.044359200000002</v>
      </c>
      <c r="AQ14">
        <v>50.447193599999999</v>
      </c>
      <c r="AR14" cm="1">
        <f t="array" ref="AR14">SUMPRODUCT($B$162:$U$162,(B14:U14)/($B$11:$U$11))</f>
        <v>25189.180867506475</v>
      </c>
      <c r="AS14">
        <f t="shared" si="0"/>
        <v>159.09709769959227</v>
      </c>
      <c r="AT14">
        <f t="shared" si="1"/>
        <v>1.0063562351274071</v>
      </c>
      <c r="AU14" cm="1">
        <f t="array" ref="AU14">SUMPRODUCT($X$162:$AQ$162,(X14:AQ14)/($X$11:$AQ$11))</f>
        <v>25574.847224240068</v>
      </c>
      <c r="AV14">
        <f t="shared" si="2"/>
        <v>131.60523452646521</v>
      </c>
      <c r="AW14">
        <f t="shared" si="3"/>
        <v>-131.60523452646521</v>
      </c>
      <c r="AX14">
        <f t="shared" si="4"/>
        <v>27.491863173127058</v>
      </c>
    </row>
    <row r="15" spans="1:61" x14ac:dyDescent="0.2">
      <c r="A15" s="3">
        <v>45779</v>
      </c>
      <c r="B15">
        <v>136.40587450000001</v>
      </c>
      <c r="C15">
        <v>58.928896000000002</v>
      </c>
      <c r="D15">
        <v>203.58623249999999</v>
      </c>
      <c r="E15">
        <v>74.617298000000005</v>
      </c>
      <c r="F15">
        <v>29.845148500000001</v>
      </c>
      <c r="G15">
        <v>143.22306950000001</v>
      </c>
      <c r="H15">
        <v>45.622085499999997</v>
      </c>
      <c r="I15">
        <v>227.5438035</v>
      </c>
      <c r="J15">
        <v>21.230692999999999</v>
      </c>
      <c r="K15">
        <v>45.595525000000002</v>
      </c>
      <c r="L15">
        <v>65.577874499999993</v>
      </c>
      <c r="M15">
        <v>14.9889755</v>
      </c>
      <c r="N15">
        <v>84.577485499999995</v>
      </c>
      <c r="O15">
        <v>71.359210000000004</v>
      </c>
      <c r="P15">
        <v>17.326299500000001</v>
      </c>
      <c r="Q15">
        <v>33.289160000000003</v>
      </c>
      <c r="R15">
        <v>39.132469999999998</v>
      </c>
      <c r="S15">
        <v>15.378529500000001</v>
      </c>
      <c r="T15">
        <v>73.076789000000005</v>
      </c>
      <c r="U15">
        <v>24.444513499999999</v>
      </c>
      <c r="V15" s="6"/>
      <c r="W15" s="3">
        <v>45779</v>
      </c>
      <c r="X15">
        <v>31.403364499999999</v>
      </c>
      <c r="Y15">
        <v>892.69840499999998</v>
      </c>
      <c r="Z15">
        <v>153.93580449999999</v>
      </c>
      <c r="AA15">
        <v>52.5809365</v>
      </c>
      <c r="AB15">
        <v>125.79052799999999</v>
      </c>
      <c r="AC15">
        <v>822.66722000000004</v>
      </c>
      <c r="AD15">
        <v>201.2312015</v>
      </c>
      <c r="AE15">
        <v>132.63428350000001</v>
      </c>
      <c r="AF15">
        <v>418.13309800000002</v>
      </c>
      <c r="AG15">
        <v>201.3020295</v>
      </c>
      <c r="AH15">
        <v>775.43379749999997</v>
      </c>
      <c r="AI15">
        <v>131.49218200000001</v>
      </c>
      <c r="AJ15">
        <v>93.324743499999997</v>
      </c>
      <c r="AK15">
        <v>214.53801200000001</v>
      </c>
      <c r="AL15">
        <v>322.72778199999999</v>
      </c>
      <c r="AM15">
        <v>563.87056150000001</v>
      </c>
      <c r="AN15">
        <v>271.52799149999998</v>
      </c>
      <c r="AO15">
        <v>224.5690275</v>
      </c>
      <c r="AP15">
        <v>81.142327499999993</v>
      </c>
      <c r="AQ15">
        <v>52.209089499999997</v>
      </c>
      <c r="AR15" cm="1">
        <f t="array" ref="AR15">SUMPRODUCT($B$162:$U$162,(B15:U15)/($B$11:$U$11))</f>
        <v>25925.300243533511</v>
      </c>
      <c r="AS15">
        <f t="shared" si="0"/>
        <v>736.1193760270362</v>
      </c>
      <c r="AT15">
        <f t="shared" si="1"/>
        <v>1.0292236329517415</v>
      </c>
      <c r="AU15" cm="1">
        <f t="array" ref="AU15">SUMPRODUCT($X$162:$AQ$162,(X15:AQ15)/($X$11:$AQ$11))</f>
        <v>26079.250751377433</v>
      </c>
      <c r="AV15">
        <f t="shared" si="2"/>
        <v>504.40352713736502</v>
      </c>
      <c r="AW15">
        <f t="shared" si="3"/>
        <v>-504.40352713736502</v>
      </c>
      <c r="AX15">
        <f t="shared" si="4"/>
        <v>231.71584888967118</v>
      </c>
    </row>
    <row r="16" spans="1:61" x14ac:dyDescent="0.2">
      <c r="A16" s="3">
        <v>45782</v>
      </c>
      <c r="B16">
        <v>136.4149524</v>
      </c>
      <c r="C16">
        <v>58.882753200000003</v>
      </c>
      <c r="D16">
        <v>202.182975</v>
      </c>
      <c r="E16">
        <v>75.508159800000001</v>
      </c>
      <c r="F16">
        <v>28.433776200000001</v>
      </c>
      <c r="G16">
        <v>142.17771959999999</v>
      </c>
      <c r="H16">
        <v>46.879934400000003</v>
      </c>
      <c r="I16">
        <v>228.7341294</v>
      </c>
      <c r="J16">
        <v>20.8944504</v>
      </c>
      <c r="K16">
        <v>45.333179399999999</v>
      </c>
      <c r="L16">
        <v>66.165759600000001</v>
      </c>
      <c r="M16">
        <v>14.9549112</v>
      </c>
      <c r="N16">
        <v>84.576563399999998</v>
      </c>
      <c r="O16">
        <v>71.521951200000004</v>
      </c>
      <c r="P16">
        <v>17.2883016</v>
      </c>
      <c r="Q16">
        <v>33.012171000000002</v>
      </c>
      <c r="R16">
        <v>40.224468600000002</v>
      </c>
      <c r="S16">
        <v>15.352648200000001</v>
      </c>
      <c r="T16">
        <v>73.448766000000006</v>
      </c>
      <c r="U16">
        <v>24.606662400000001</v>
      </c>
      <c r="V16" s="6"/>
      <c r="W16" s="3">
        <v>45782</v>
      </c>
      <c r="X16">
        <v>30.926261400000001</v>
      </c>
      <c r="Y16">
        <v>897.02067539999996</v>
      </c>
      <c r="Z16">
        <v>152.92545720000001</v>
      </c>
      <c r="AA16">
        <v>50.998722000000001</v>
      </c>
      <c r="AB16">
        <v>124.44748800000001</v>
      </c>
      <c r="AC16">
        <v>813.61964579999994</v>
      </c>
      <c r="AD16">
        <v>200.25616020000001</v>
      </c>
      <c r="AE16">
        <v>132.09287699999999</v>
      </c>
      <c r="AF16">
        <v>421.9636026</v>
      </c>
      <c r="AG16">
        <v>200.88370080000001</v>
      </c>
      <c r="AH16">
        <v>780.63399059999995</v>
      </c>
      <c r="AI16">
        <v>130.18373940000001</v>
      </c>
      <c r="AJ16">
        <v>93.096973800000001</v>
      </c>
      <c r="AK16">
        <v>212.8953582</v>
      </c>
      <c r="AL16">
        <v>319.71867780000002</v>
      </c>
      <c r="AM16">
        <v>554.53376400000002</v>
      </c>
      <c r="AN16">
        <v>270.67328639999999</v>
      </c>
      <c r="AO16">
        <v>224.35902239999999</v>
      </c>
      <c r="AP16">
        <v>80.811319800000007</v>
      </c>
      <c r="AQ16">
        <v>51.953290799999998</v>
      </c>
      <c r="AR16" cm="1">
        <f t="array" ref="AR16">SUMPRODUCT($B$162:$U$162,(B16:U16)/($B$11:$U$11))</f>
        <v>25915.882300546578</v>
      </c>
      <c r="AS16">
        <f t="shared" si="0"/>
        <v>-9.4179429869327578</v>
      </c>
      <c r="AT16">
        <f t="shared" si="1"/>
        <v>0.99963672771777135</v>
      </c>
      <c r="AU16" cm="1">
        <f t="array" ref="AU16">SUMPRODUCT($X$162:$AQ$162,(X16:AQ16)/($X$11:$AQ$11))</f>
        <v>25899.949158282445</v>
      </c>
      <c r="AV16">
        <f t="shared" si="2"/>
        <v>-179.30159309498777</v>
      </c>
      <c r="AW16">
        <f t="shared" si="3"/>
        <v>179.30159309498777</v>
      </c>
      <c r="AX16">
        <f t="shared" si="4"/>
        <v>169.88365010805501</v>
      </c>
    </row>
    <row r="17" spans="1:50" x14ac:dyDescent="0.2">
      <c r="A17" s="3">
        <v>45783</v>
      </c>
      <c r="B17">
        <v>137.051028</v>
      </c>
      <c r="C17">
        <v>57.908017800000003</v>
      </c>
      <c r="D17">
        <v>198.4424994</v>
      </c>
      <c r="E17">
        <v>75.501217800000006</v>
      </c>
      <c r="F17">
        <v>28.9760004</v>
      </c>
      <c r="G17">
        <v>140.89514220000001</v>
      </c>
      <c r="H17">
        <v>48.038232600000001</v>
      </c>
      <c r="I17">
        <v>227.7175842</v>
      </c>
      <c r="J17">
        <v>20.733586200000001</v>
      </c>
      <c r="K17">
        <v>45.047388599999998</v>
      </c>
      <c r="L17">
        <v>64.672603199999998</v>
      </c>
      <c r="M17">
        <v>14.9894064</v>
      </c>
      <c r="N17">
        <v>83.884377599999993</v>
      </c>
      <c r="O17">
        <v>72.114526799999993</v>
      </c>
      <c r="P17">
        <v>17.179759799999999</v>
      </c>
      <c r="Q17">
        <v>33.356707200000002</v>
      </c>
      <c r="R17">
        <v>39.417564599999999</v>
      </c>
      <c r="S17">
        <v>15.1917282</v>
      </c>
      <c r="T17">
        <v>72.897424200000003</v>
      </c>
      <c r="U17">
        <v>21.4900938</v>
      </c>
      <c r="V17" s="6"/>
      <c r="W17" s="3">
        <v>45783</v>
      </c>
      <c r="X17">
        <v>30.700133999999998</v>
      </c>
      <c r="Y17">
        <v>888.89643000000001</v>
      </c>
      <c r="Z17">
        <v>150.16675860000001</v>
      </c>
      <c r="AA17">
        <v>51.486499799999997</v>
      </c>
      <c r="AB17">
        <v>121.41067320000001</v>
      </c>
      <c r="AC17">
        <v>804.86251019999997</v>
      </c>
      <c r="AD17">
        <v>199.41892200000001</v>
      </c>
      <c r="AE17">
        <v>131.0869332</v>
      </c>
      <c r="AF17">
        <v>416.56299300000001</v>
      </c>
      <c r="AG17">
        <v>200.37775139999999</v>
      </c>
      <c r="AH17">
        <v>770.0367708</v>
      </c>
      <c r="AI17">
        <v>128.90537639999999</v>
      </c>
      <c r="AJ17">
        <v>91.924469999999999</v>
      </c>
      <c r="AK17">
        <v>211.00404420000001</v>
      </c>
      <c r="AL17">
        <v>316.1322108</v>
      </c>
      <c r="AM17">
        <v>548.01938340000004</v>
      </c>
      <c r="AN17">
        <v>259.79878439999999</v>
      </c>
      <c r="AO17">
        <v>222.59796299999999</v>
      </c>
      <c r="AP17">
        <v>79.310145599999998</v>
      </c>
      <c r="AQ17">
        <v>51.187415399999999</v>
      </c>
      <c r="AR17" cm="1">
        <f t="array" ref="AR17">SUMPRODUCT($B$162:$U$162,(B17:U17)/($B$11:$U$11))</f>
        <v>25665.527675878006</v>
      </c>
      <c r="AS17">
        <f t="shared" si="0"/>
        <v>-250.3546246685728</v>
      </c>
      <c r="AT17">
        <f t="shared" si="1"/>
        <v>0.99033972211460097</v>
      </c>
      <c r="AU17" cm="1">
        <f t="array" ref="AU17">SUMPRODUCT($X$162:$AQ$162,(X17:AQ17)/($X$11:$AQ$11))</f>
        <v>25615.456623587052</v>
      </c>
      <c r="AV17">
        <f t="shared" si="2"/>
        <v>-284.49253469539326</v>
      </c>
      <c r="AW17">
        <f t="shared" si="3"/>
        <v>284.49253469539326</v>
      </c>
      <c r="AX17">
        <f t="shared" si="4"/>
        <v>34.137910026820464</v>
      </c>
    </row>
    <row r="18" spans="1:50" x14ac:dyDescent="0.2">
      <c r="A18" s="3">
        <v>45784</v>
      </c>
      <c r="B18">
        <v>139.0559136</v>
      </c>
      <c r="C18">
        <v>58.473932099999999</v>
      </c>
      <c r="D18">
        <v>201.79569029999999</v>
      </c>
      <c r="E18">
        <v>74.032759499999997</v>
      </c>
      <c r="F18">
        <v>28.745774399999998</v>
      </c>
      <c r="G18">
        <v>142.90579410000001</v>
      </c>
      <c r="H18">
        <v>47.782769700000003</v>
      </c>
      <c r="I18">
        <v>233.92227930000001</v>
      </c>
      <c r="J18">
        <v>20.453043300000001</v>
      </c>
      <c r="K18">
        <v>44.994925199999997</v>
      </c>
      <c r="L18">
        <v>66.6870105</v>
      </c>
      <c r="M18">
        <v>15.222516000000001</v>
      </c>
      <c r="N18">
        <v>85.042532699999995</v>
      </c>
      <c r="O18">
        <v>71.413070700000006</v>
      </c>
      <c r="P18">
        <v>17.426240700000001</v>
      </c>
      <c r="Q18">
        <v>32.763810599999999</v>
      </c>
      <c r="R18">
        <v>40.091858999999999</v>
      </c>
      <c r="S18">
        <v>15.319869300000001</v>
      </c>
      <c r="T18">
        <v>73.333585799999994</v>
      </c>
      <c r="U18">
        <v>21.2938218</v>
      </c>
      <c r="V18" s="6"/>
      <c r="W18" s="3">
        <v>45784</v>
      </c>
      <c r="X18">
        <v>30.887547000000001</v>
      </c>
      <c r="Y18">
        <v>891.35796449999998</v>
      </c>
      <c r="Z18">
        <v>151.74724380000001</v>
      </c>
      <c r="AA18">
        <v>52.446877800000003</v>
      </c>
      <c r="AB18">
        <v>122.7005592</v>
      </c>
      <c r="AC18">
        <v>814.54621080000004</v>
      </c>
      <c r="AD18">
        <v>201.70718729999999</v>
      </c>
      <c r="AE18">
        <v>133.0377096</v>
      </c>
      <c r="AF18">
        <v>425.29231620000002</v>
      </c>
      <c r="AG18">
        <v>202.37981009999999</v>
      </c>
      <c r="AH18">
        <v>772.17097439999998</v>
      </c>
      <c r="AI18">
        <v>132.35623649999999</v>
      </c>
      <c r="AJ18">
        <v>92.963551199999998</v>
      </c>
      <c r="AK18">
        <v>212.6815593</v>
      </c>
      <c r="AL18">
        <v>321.04463249999998</v>
      </c>
      <c r="AM18">
        <v>563.50745129999996</v>
      </c>
      <c r="AN18">
        <v>261.7830237</v>
      </c>
      <c r="AO18">
        <v>250.6139451</v>
      </c>
      <c r="AP18">
        <v>80.909442600000006</v>
      </c>
      <c r="AQ18">
        <v>52.145967599999999</v>
      </c>
      <c r="AR18" cm="1">
        <f t="array" ref="AR18">SUMPRODUCT($B$162:$U$162,(B18:U18)/($B$11:$U$11))</f>
        <v>25836.349117153935</v>
      </c>
      <c r="AS18">
        <f t="shared" si="0"/>
        <v>170.82144127592983</v>
      </c>
      <c r="AT18">
        <f t="shared" si="1"/>
        <v>1.006655676182979</v>
      </c>
      <c r="AU18" cm="1">
        <f t="array" ref="AU18">SUMPRODUCT($X$162:$AQ$162,(X18:AQ18)/($X$11:$AQ$11))</f>
        <v>26052.48721747733</v>
      </c>
      <c r="AV18">
        <f t="shared" si="2"/>
        <v>437.0305938902784</v>
      </c>
      <c r="AW18">
        <f t="shared" si="3"/>
        <v>-437.0305938902784</v>
      </c>
      <c r="AX18">
        <f t="shared" si="4"/>
        <v>-266.20915261434857</v>
      </c>
    </row>
    <row r="19" spans="1:50" x14ac:dyDescent="0.2">
      <c r="A19" s="3">
        <v>45785</v>
      </c>
      <c r="B19">
        <v>140.28682499999999</v>
      </c>
      <c r="C19">
        <v>58.412761799999998</v>
      </c>
      <c r="D19">
        <v>207.39291639999999</v>
      </c>
      <c r="E19">
        <v>73.305432999999994</v>
      </c>
      <c r="F19">
        <v>28.600698099999999</v>
      </c>
      <c r="G19">
        <v>145.19463709999999</v>
      </c>
      <c r="H19">
        <v>47.056209299999999</v>
      </c>
      <c r="I19">
        <v>228.91247000000001</v>
      </c>
      <c r="J19">
        <v>21.430482600000001</v>
      </c>
      <c r="K19">
        <v>45.835936599999997</v>
      </c>
      <c r="L19">
        <v>70.731281100000004</v>
      </c>
      <c r="M19">
        <v>15.3023978</v>
      </c>
      <c r="N19">
        <v>86.648268799999997</v>
      </c>
      <c r="O19">
        <v>72.432537199999999</v>
      </c>
      <c r="P19">
        <v>18.036877499999999</v>
      </c>
      <c r="Q19">
        <v>33.383810799999999</v>
      </c>
      <c r="R19">
        <v>43.235063400000001</v>
      </c>
      <c r="S19">
        <v>15.9258948</v>
      </c>
      <c r="T19">
        <v>76.102262400000001</v>
      </c>
      <c r="U19">
        <v>21.7155098</v>
      </c>
      <c r="V19" s="6"/>
      <c r="W19" s="3">
        <v>45785</v>
      </c>
      <c r="X19">
        <v>30.791844699999999</v>
      </c>
      <c r="Y19">
        <v>897.57737410000004</v>
      </c>
      <c r="Z19">
        <v>155.58922279999999</v>
      </c>
      <c r="AA19">
        <v>54.547080399999999</v>
      </c>
      <c r="AB19">
        <v>125.6969952</v>
      </c>
      <c r="AC19">
        <v>827.14893440000003</v>
      </c>
      <c r="AD19">
        <v>203.46488529999999</v>
      </c>
      <c r="AE19">
        <v>134.79114430000001</v>
      </c>
      <c r="AF19">
        <v>431.54899499999999</v>
      </c>
      <c r="AG19">
        <v>222.09853849999999</v>
      </c>
      <c r="AH19">
        <v>766.89240289999998</v>
      </c>
      <c r="AI19">
        <v>135.6016904</v>
      </c>
      <c r="AJ19">
        <v>93.960997899999995</v>
      </c>
      <c r="AK19">
        <v>216.52269390000001</v>
      </c>
      <c r="AL19">
        <v>324.9844506</v>
      </c>
      <c r="AM19">
        <v>569.99205029999996</v>
      </c>
      <c r="AN19">
        <v>268.67376439999998</v>
      </c>
      <c r="AO19">
        <v>259.41038040000001</v>
      </c>
      <c r="AP19">
        <v>82.533188600000003</v>
      </c>
      <c r="AQ19">
        <v>54.431288100000003</v>
      </c>
      <c r="AR19" cm="1">
        <f t="array" ref="AR19">SUMPRODUCT($B$162:$U$162,(B19:U19)/($B$11:$U$11))</f>
        <v>26306.6956425424</v>
      </c>
      <c r="AS19">
        <f t="shared" si="0"/>
        <v>470.34652538846422</v>
      </c>
      <c r="AT19">
        <f t="shared" si="1"/>
        <v>1.0182048370400825</v>
      </c>
      <c r="AU19" cm="1">
        <f t="array" ref="AU19">SUMPRODUCT($X$162:$AQ$162,(X19:AQ19)/($X$11:$AQ$11))</f>
        <v>26581.10699039268</v>
      </c>
      <c r="AV19">
        <f t="shared" si="2"/>
        <v>528.61977291535004</v>
      </c>
      <c r="AW19">
        <f t="shared" si="3"/>
        <v>-528.61977291535004</v>
      </c>
      <c r="AX19">
        <f t="shared" si="4"/>
        <v>-58.273247526885825</v>
      </c>
    </row>
    <row r="20" spans="1:50" x14ac:dyDescent="0.2">
      <c r="A20" s="3">
        <v>45786</v>
      </c>
      <c r="B20">
        <v>139.95795330000001</v>
      </c>
      <c r="C20">
        <v>58.691471300000003</v>
      </c>
      <c r="D20">
        <v>207.3984638</v>
      </c>
      <c r="E20">
        <v>73.628855299999998</v>
      </c>
      <c r="F20">
        <v>28.443268700000001</v>
      </c>
      <c r="G20">
        <v>145.09712469999999</v>
      </c>
      <c r="H20">
        <v>47.995237400000001</v>
      </c>
      <c r="I20">
        <v>276.22601709999998</v>
      </c>
      <c r="J20">
        <v>21.730337200000001</v>
      </c>
      <c r="K20">
        <v>45.194477900000003</v>
      </c>
      <c r="L20">
        <v>68.703075100000007</v>
      </c>
      <c r="M20">
        <v>15.2307969</v>
      </c>
      <c r="N20">
        <v>86.298957799999997</v>
      </c>
      <c r="O20">
        <v>73.273203300000006</v>
      </c>
      <c r="P20">
        <v>17.9515347</v>
      </c>
      <c r="Q20">
        <v>33.662461800000003</v>
      </c>
      <c r="R20">
        <v>42.980544199999997</v>
      </c>
      <c r="S20">
        <v>15.737601</v>
      </c>
      <c r="T20">
        <v>67.796162499999994</v>
      </c>
      <c r="U20">
        <v>21.5614025</v>
      </c>
      <c r="V20" s="6"/>
      <c r="W20" s="3">
        <v>45786</v>
      </c>
      <c r="X20">
        <v>30.915050099999998</v>
      </c>
      <c r="Y20">
        <v>896.32306170000004</v>
      </c>
      <c r="Z20">
        <v>156.62914079999999</v>
      </c>
      <c r="AA20">
        <v>54.228038699999999</v>
      </c>
      <c r="AB20">
        <v>126.78993800000001</v>
      </c>
      <c r="AC20">
        <v>821.05820719999997</v>
      </c>
      <c r="AD20">
        <v>201.6991405</v>
      </c>
      <c r="AE20">
        <v>134.83656450000001</v>
      </c>
      <c r="AF20">
        <v>429.36087700000002</v>
      </c>
      <c r="AG20">
        <v>224.68315100000001</v>
      </c>
      <c r="AH20">
        <v>768.55508069999996</v>
      </c>
      <c r="AI20">
        <v>137.03271559999999</v>
      </c>
      <c r="AJ20">
        <v>95.056888299999997</v>
      </c>
      <c r="AK20">
        <v>215.614025</v>
      </c>
      <c r="AL20">
        <v>322.49634229999998</v>
      </c>
      <c r="AM20">
        <v>567.06044010000005</v>
      </c>
      <c r="AN20">
        <v>268.44612960000001</v>
      </c>
      <c r="AO20">
        <v>262.11552399999999</v>
      </c>
      <c r="AP20">
        <v>82.4579162</v>
      </c>
      <c r="AQ20">
        <v>55.099386099999997</v>
      </c>
      <c r="AR20" cm="1">
        <f t="array" ref="AR20">SUMPRODUCT($B$162:$U$162,(B20:U20)/($B$11:$U$11))</f>
        <v>26372.198928886686</v>
      </c>
      <c r="AS20">
        <f t="shared" si="0"/>
        <v>65.503286344286607</v>
      </c>
      <c r="AT20">
        <f t="shared" si="1"/>
        <v>1.0024899853343177</v>
      </c>
      <c r="AU20" cm="1">
        <f t="array" ref="AU20">SUMPRODUCT($X$162:$AQ$162,(X20:AQ20)/($X$11:$AQ$11))</f>
        <v>26622.236405242667</v>
      </c>
      <c r="AV20">
        <f t="shared" si="2"/>
        <v>41.12941484998737</v>
      </c>
      <c r="AW20">
        <f t="shared" si="3"/>
        <v>-41.12941484998737</v>
      </c>
      <c r="AX20">
        <f t="shared" si="4"/>
        <v>24.373871494299237</v>
      </c>
    </row>
    <row r="21" spans="1:50" x14ac:dyDescent="0.2">
      <c r="A21" s="3">
        <v>45789</v>
      </c>
      <c r="B21">
        <v>141.57164159999999</v>
      </c>
      <c r="C21">
        <v>58.744654799999999</v>
      </c>
      <c r="D21">
        <v>218.4366728</v>
      </c>
      <c r="E21">
        <v>79.462676000000002</v>
      </c>
      <c r="F21">
        <v>30.2336992</v>
      </c>
      <c r="G21">
        <v>154.63202240000001</v>
      </c>
      <c r="H21">
        <v>45.8015288</v>
      </c>
      <c r="I21">
        <v>285.62367319999998</v>
      </c>
      <c r="J21">
        <v>21.647040000000001</v>
      </c>
      <c r="K21">
        <v>46.2164304</v>
      </c>
      <c r="L21">
        <v>70.912095199999996</v>
      </c>
      <c r="M21">
        <v>15.5317512</v>
      </c>
      <c r="N21">
        <v>90.493646799999993</v>
      </c>
      <c r="O21">
        <v>76.116404399999993</v>
      </c>
      <c r="P21">
        <v>19.9603748</v>
      </c>
      <c r="Q21">
        <v>35.2756556</v>
      </c>
      <c r="R21">
        <v>46.126234400000001</v>
      </c>
      <c r="S21">
        <v>17.272534</v>
      </c>
      <c r="T21">
        <v>71.065428400000002</v>
      </c>
      <c r="U21">
        <v>23.180371999999998</v>
      </c>
      <c r="V21" s="6"/>
      <c r="W21" s="3">
        <v>45789</v>
      </c>
      <c r="X21">
        <v>31.1086004</v>
      </c>
      <c r="Y21">
        <v>916.52665400000001</v>
      </c>
      <c r="Z21">
        <v>165.5908364</v>
      </c>
      <c r="AA21">
        <v>58.952105600000003</v>
      </c>
      <c r="AB21">
        <v>135.59164680000001</v>
      </c>
      <c r="AC21">
        <v>864.10473879999995</v>
      </c>
      <c r="AD21">
        <v>204.7719788</v>
      </c>
      <c r="AE21">
        <v>136.8183124</v>
      </c>
      <c r="AF21">
        <v>456.02195640000002</v>
      </c>
      <c r="AG21">
        <v>233.04842479999999</v>
      </c>
      <c r="AH21">
        <v>785.12912119999999</v>
      </c>
      <c r="AI21">
        <v>146.68575480000001</v>
      </c>
      <c r="AJ21">
        <v>99.513246800000005</v>
      </c>
      <c r="AK21">
        <v>225.7696076</v>
      </c>
      <c r="AL21">
        <v>339.66911640000001</v>
      </c>
      <c r="AM21">
        <v>639.69709079999996</v>
      </c>
      <c r="AN21">
        <v>287.74327920000002</v>
      </c>
      <c r="AO21">
        <v>270.38956880000001</v>
      </c>
      <c r="AP21">
        <v>87.571296399999994</v>
      </c>
      <c r="AQ21">
        <v>60.3681828</v>
      </c>
      <c r="AR21" cm="1">
        <f t="array" ref="AR21">SUMPRODUCT($B$162:$U$162,(B21:U21)/($B$11:$U$11))</f>
        <v>27430.302117191703</v>
      </c>
      <c r="AS21">
        <f t="shared" si="0"/>
        <v>1058.1031883050164</v>
      </c>
      <c r="AT21">
        <f t="shared" si="1"/>
        <v>1.0401219174464071</v>
      </c>
      <c r="AU21" cm="1">
        <f t="array" ref="AU21">SUMPRODUCT($X$162:$AQ$162,(X21:AQ21)/($X$11:$AQ$11))</f>
        <v>27946.502253444676</v>
      </c>
      <c r="AV21">
        <f t="shared" si="2"/>
        <v>1324.2658482020088</v>
      </c>
      <c r="AW21">
        <f t="shared" si="3"/>
        <v>-1324.2658482020088</v>
      </c>
      <c r="AX21">
        <f t="shared" si="4"/>
        <v>-266.16265989699241</v>
      </c>
    </row>
    <row r="22" spans="1:50" x14ac:dyDescent="0.2">
      <c r="A22" s="3">
        <v>45790</v>
      </c>
      <c r="B22">
        <v>141.54077899999999</v>
      </c>
      <c r="C22">
        <v>57.385263399999999</v>
      </c>
      <c r="D22">
        <v>221.5475314</v>
      </c>
      <c r="E22">
        <v>82.009603600000005</v>
      </c>
      <c r="F22">
        <v>34.772715699999999</v>
      </c>
      <c r="G22">
        <v>143.8476344</v>
      </c>
      <c r="H22">
        <v>44.769089100000002</v>
      </c>
      <c r="I22">
        <v>281.1681198</v>
      </c>
      <c r="J22">
        <v>21.155115800000001</v>
      </c>
      <c r="K22">
        <v>45.7883973</v>
      </c>
      <c r="L22">
        <v>73.855137999999997</v>
      </c>
      <c r="M22">
        <v>15.1644448</v>
      </c>
      <c r="N22">
        <v>89.636532500000001</v>
      </c>
      <c r="O22">
        <v>78.442024900000007</v>
      </c>
      <c r="P22">
        <v>20.332516200000001</v>
      </c>
      <c r="Q22">
        <v>35.291311100000001</v>
      </c>
      <c r="R22">
        <v>47.3799487</v>
      </c>
      <c r="S22">
        <v>17.292474200000001</v>
      </c>
      <c r="T22">
        <v>70.582622200000003</v>
      </c>
      <c r="U22">
        <v>22.791373700000001</v>
      </c>
      <c r="V22" s="6"/>
      <c r="W22" s="3">
        <v>45790</v>
      </c>
      <c r="X22">
        <v>30.159004899999999</v>
      </c>
      <c r="Y22">
        <v>893.26269390000004</v>
      </c>
      <c r="Z22">
        <v>165.94158669999999</v>
      </c>
      <c r="AA22">
        <v>58.547632399999998</v>
      </c>
      <c r="AB22">
        <v>134.7811562</v>
      </c>
      <c r="AC22">
        <v>857.63161339999999</v>
      </c>
      <c r="AD22">
        <v>200.07947010000001</v>
      </c>
      <c r="AE22">
        <v>135.24610379999999</v>
      </c>
      <c r="AF22">
        <v>461.11178230000002</v>
      </c>
      <c r="AG22">
        <v>232.6615673</v>
      </c>
      <c r="AH22">
        <v>776.81120269999997</v>
      </c>
      <c r="AI22">
        <v>147.5850978</v>
      </c>
      <c r="AJ22">
        <v>98.086061000000001</v>
      </c>
      <c r="AK22">
        <v>222.7635482</v>
      </c>
      <c r="AL22">
        <v>334.04696799999999</v>
      </c>
      <c r="AM22">
        <v>659.62652490000005</v>
      </c>
      <c r="AN22">
        <v>280.6137592</v>
      </c>
      <c r="AO22">
        <v>275.84804630000002</v>
      </c>
      <c r="AP22">
        <v>86.900494699999996</v>
      </c>
      <c r="AQ22">
        <v>61.507202700000001</v>
      </c>
      <c r="AR22" cm="1">
        <f t="array" ref="AR22">SUMPRODUCT($B$162:$U$162,(B22:U22)/($B$11:$U$11))</f>
        <v>27542.353755163847</v>
      </c>
      <c r="AS22">
        <f t="shared" si="0"/>
        <v>112.05163797214482</v>
      </c>
      <c r="AT22">
        <f t="shared" si="1"/>
        <v>1.0040849582149487</v>
      </c>
      <c r="AU22" cm="1">
        <f t="array" ref="AU22">SUMPRODUCT($X$162:$AQ$162,(X22:AQ22)/($X$11:$AQ$11))</f>
        <v>27746.207895651612</v>
      </c>
      <c r="AV22">
        <f t="shared" si="2"/>
        <v>-200.29435779306368</v>
      </c>
      <c r="AW22">
        <f t="shared" si="3"/>
        <v>200.29435779306368</v>
      </c>
      <c r="AX22">
        <f t="shared" si="4"/>
        <v>312.3459957652085</v>
      </c>
    </row>
    <row r="23" spans="1:50" x14ac:dyDescent="0.2">
      <c r="A23" s="3">
        <v>45791</v>
      </c>
      <c r="B23">
        <v>142.7055378</v>
      </c>
      <c r="C23">
        <v>57.042838199999998</v>
      </c>
      <c r="D23">
        <v>224.95855409999999</v>
      </c>
      <c r="E23">
        <v>80.910621300000003</v>
      </c>
      <c r="F23">
        <v>40.271850000000001</v>
      </c>
      <c r="G23">
        <v>144.24481739999999</v>
      </c>
      <c r="H23">
        <v>43.547293799999998</v>
      </c>
      <c r="I23">
        <v>287.63945130000002</v>
      </c>
      <c r="J23">
        <v>20.762376</v>
      </c>
      <c r="K23">
        <v>46.008351300000001</v>
      </c>
      <c r="L23">
        <v>70.690520699999993</v>
      </c>
      <c r="M23">
        <v>15.2406579</v>
      </c>
      <c r="N23">
        <v>89.009737799999996</v>
      </c>
      <c r="O23">
        <v>76.937132099999999</v>
      </c>
      <c r="P23">
        <v>20.5744407</v>
      </c>
      <c r="Q23">
        <v>34.955965800000001</v>
      </c>
      <c r="R23">
        <v>45.265559400000001</v>
      </c>
      <c r="S23">
        <v>17.397439200000001</v>
      </c>
      <c r="T23">
        <v>69.366024300000007</v>
      </c>
      <c r="U23">
        <v>21.496218599999999</v>
      </c>
      <c r="V23" s="6"/>
      <c r="W23" s="3">
        <v>45791</v>
      </c>
      <c r="X23">
        <v>29.9533071</v>
      </c>
      <c r="Y23">
        <v>887.35889220000001</v>
      </c>
      <c r="Z23">
        <v>165.27567239999999</v>
      </c>
      <c r="AA23">
        <v>57.373962300000002</v>
      </c>
      <c r="AB23">
        <v>132.34224839999999</v>
      </c>
      <c r="AC23">
        <v>865.45100579999996</v>
      </c>
      <c r="AD23">
        <v>199.13087429999999</v>
      </c>
      <c r="AE23">
        <v>136.03830930000001</v>
      </c>
      <c r="AF23">
        <v>463.26946379999998</v>
      </c>
      <c r="AG23">
        <v>230.19389459999999</v>
      </c>
      <c r="AH23">
        <v>768.93280530000004</v>
      </c>
      <c r="AI23">
        <v>147.1801878</v>
      </c>
      <c r="AJ23">
        <v>96.294467999999995</v>
      </c>
      <c r="AK23">
        <v>219.38314020000001</v>
      </c>
      <c r="AL23">
        <v>333.63885329999999</v>
      </c>
      <c r="AM23">
        <v>657.12920039999995</v>
      </c>
      <c r="AN23">
        <v>276.55126860000001</v>
      </c>
      <c r="AO23">
        <v>275.22677220000003</v>
      </c>
      <c r="AP23">
        <v>87.094587599999997</v>
      </c>
      <c r="AQ23">
        <v>62.126040600000003</v>
      </c>
      <c r="AR23" cm="1">
        <f t="array" ref="AR23">SUMPRODUCT($B$162:$U$162,(B23:U23)/($B$11:$U$11))</f>
        <v>27557.946015419831</v>
      </c>
      <c r="AS23">
        <f t="shared" si="0"/>
        <v>15.592260255984002</v>
      </c>
      <c r="AT23">
        <f t="shared" si="1"/>
        <v>1.0005661193808848</v>
      </c>
      <c r="AU23" cm="1">
        <f t="array" ref="AU23">SUMPRODUCT($X$162:$AQ$162,(X23:AQ23)/($X$11:$AQ$11))</f>
        <v>27582.858170791671</v>
      </c>
      <c r="AV23">
        <f t="shared" si="2"/>
        <v>-163.34972485994149</v>
      </c>
      <c r="AW23">
        <f t="shared" si="3"/>
        <v>163.34972485994149</v>
      </c>
      <c r="AX23">
        <f t="shared" si="4"/>
        <v>178.94198511592549</v>
      </c>
    </row>
    <row r="24" spans="1:50" x14ac:dyDescent="0.2">
      <c r="A24" s="3">
        <v>45792</v>
      </c>
      <c r="B24">
        <v>144.17551810000001</v>
      </c>
      <c r="C24">
        <v>57.9508887</v>
      </c>
      <c r="D24">
        <v>223.57082790000001</v>
      </c>
      <c r="E24">
        <v>80.593122399999999</v>
      </c>
      <c r="F24">
        <v>39.295404400000002</v>
      </c>
      <c r="G24">
        <v>145.73088670000001</v>
      </c>
      <c r="H24">
        <v>44.551477599999998</v>
      </c>
      <c r="I24">
        <v>287.85045780000002</v>
      </c>
      <c r="J24">
        <v>21.346093199999999</v>
      </c>
      <c r="K24">
        <v>46.294563099999998</v>
      </c>
      <c r="L24">
        <v>68.418340599999993</v>
      </c>
      <c r="M24">
        <v>15.5000526</v>
      </c>
      <c r="N24">
        <v>90.220317699999995</v>
      </c>
      <c r="O24">
        <v>77.080134700000002</v>
      </c>
      <c r="P24">
        <v>20.559470000000001</v>
      </c>
      <c r="Q24">
        <v>34.387948299999998</v>
      </c>
      <c r="R24">
        <v>44.944789200000002</v>
      </c>
      <c r="S24">
        <v>17.064360099999998</v>
      </c>
      <c r="T24">
        <v>68.391523899999996</v>
      </c>
      <c r="U24">
        <v>21.1404985</v>
      </c>
      <c r="V24" s="6"/>
      <c r="W24" s="3">
        <v>45792</v>
      </c>
      <c r="X24">
        <v>30.419076700000002</v>
      </c>
      <c r="Y24">
        <v>903.24902829999996</v>
      </c>
      <c r="Z24">
        <v>164.7886215</v>
      </c>
      <c r="AA24">
        <v>56.913976300000002</v>
      </c>
      <c r="AB24">
        <v>132.9571986</v>
      </c>
      <c r="AC24">
        <v>878.76538119999998</v>
      </c>
      <c r="AD24">
        <v>203.1275636</v>
      </c>
      <c r="AE24">
        <v>138.04343270000001</v>
      </c>
      <c r="AF24">
        <v>459.8885272</v>
      </c>
      <c r="AG24">
        <v>229.2470294</v>
      </c>
      <c r="AH24">
        <v>775.21716360000005</v>
      </c>
      <c r="AI24">
        <v>147.2951942</v>
      </c>
      <c r="AJ24">
        <v>97.639604700000007</v>
      </c>
      <c r="AK24">
        <v>221.65790329999999</v>
      </c>
      <c r="AL24">
        <v>338.4535707</v>
      </c>
      <c r="AM24">
        <v>634.94794479999996</v>
      </c>
      <c r="AN24">
        <v>280.26133170000003</v>
      </c>
      <c r="AO24">
        <v>275.19297540000002</v>
      </c>
      <c r="AP24">
        <v>87.288358500000001</v>
      </c>
      <c r="AQ24">
        <v>60.873908999999998</v>
      </c>
      <c r="AR24" cm="1">
        <f t="array" ref="AR24">SUMPRODUCT($B$162:$U$162,(B24:U24)/($B$11:$U$11))</f>
        <v>27557.195154293982</v>
      </c>
      <c r="AS24">
        <f t="shared" si="0"/>
        <v>-0.75086112584904185</v>
      </c>
      <c r="AT24">
        <f t="shared" si="1"/>
        <v>0.99997275337118996</v>
      </c>
      <c r="AU24" cm="1">
        <f t="array" ref="AU24">SUMPRODUCT($X$162:$AQ$162,(X24:AQ24)/($X$11:$AQ$11))</f>
        <v>27689.183639508803</v>
      </c>
      <c r="AV24">
        <f t="shared" si="2"/>
        <v>106.32546871713203</v>
      </c>
      <c r="AW24">
        <f t="shared" si="3"/>
        <v>-106.32546871713203</v>
      </c>
      <c r="AX24">
        <f t="shared" si="4"/>
        <v>-107.07632984298107</v>
      </c>
    </row>
    <row r="25" spans="1:50" x14ac:dyDescent="0.2">
      <c r="A25" s="3">
        <v>45793</v>
      </c>
      <c r="B25">
        <v>145.839496</v>
      </c>
      <c r="C25">
        <v>58.792666599999997</v>
      </c>
      <c r="D25">
        <v>228.81034439999999</v>
      </c>
      <c r="E25">
        <v>82.227317799999994</v>
      </c>
      <c r="F25">
        <v>41.342092999999998</v>
      </c>
      <c r="G25">
        <v>147.91779840000001</v>
      </c>
      <c r="H25">
        <v>44.880581999999997</v>
      </c>
      <c r="I25">
        <v>290.91754500000002</v>
      </c>
      <c r="J25">
        <v>21.660927600000001</v>
      </c>
      <c r="K25">
        <v>48.239907000000002</v>
      </c>
      <c r="L25">
        <v>69.811252600000003</v>
      </c>
      <c r="M25">
        <v>16.008303399999999</v>
      </c>
      <c r="N25">
        <v>91.104894000000002</v>
      </c>
      <c r="O25">
        <v>78.635079599999997</v>
      </c>
      <c r="P25">
        <v>20.953229799999999</v>
      </c>
      <c r="Q25">
        <v>34.059076400000002</v>
      </c>
      <c r="R25">
        <v>45.615154400000002</v>
      </c>
      <c r="S25">
        <v>17.2624514</v>
      </c>
      <c r="T25">
        <v>69.900834599999996</v>
      </c>
      <c r="U25">
        <v>22.2700852</v>
      </c>
      <c r="V25" s="6"/>
      <c r="W25" s="3">
        <v>45793</v>
      </c>
      <c r="X25">
        <v>30.8341244</v>
      </c>
      <c r="Y25">
        <v>918.95903060000001</v>
      </c>
      <c r="Z25">
        <v>167.249594</v>
      </c>
      <c r="AA25">
        <v>58.380589399999998</v>
      </c>
      <c r="AB25">
        <v>137.15900020000001</v>
      </c>
      <c r="AC25">
        <v>886.60201219999999</v>
      </c>
      <c r="AD25">
        <v>207.28378979999999</v>
      </c>
      <c r="AE25">
        <v>139.7300036</v>
      </c>
      <c r="AF25">
        <v>460.83668260000002</v>
      </c>
      <c r="AG25">
        <v>233.23569520000001</v>
      </c>
      <c r="AH25">
        <v>784.66665439999997</v>
      </c>
      <c r="AI25">
        <v>148.16862800000001</v>
      </c>
      <c r="AJ25">
        <v>99.032900999999995</v>
      </c>
      <c r="AK25">
        <v>225.1553988</v>
      </c>
      <c r="AL25">
        <v>341.11033959999997</v>
      </c>
      <c r="AM25">
        <v>640.86962800000003</v>
      </c>
      <c r="AN25">
        <v>287.39697239999998</v>
      </c>
      <c r="AO25">
        <v>276.85317099999997</v>
      </c>
      <c r="AP25">
        <v>87.844109200000005</v>
      </c>
      <c r="AQ25">
        <v>61.148673199999998</v>
      </c>
      <c r="AR25" cm="1">
        <f t="array" ref="AR25">SUMPRODUCT($B$162:$U$162,(B25:U25)/($B$11:$U$11))</f>
        <v>28095.944305798555</v>
      </c>
      <c r="AS25">
        <f t="shared" si="0"/>
        <v>538.74915150457309</v>
      </c>
      <c r="AT25">
        <f t="shared" si="1"/>
        <v>1.0195502172295872</v>
      </c>
      <c r="AU25" cm="1">
        <f t="array" ref="AU25">SUMPRODUCT($X$162:$AQ$162,(X25:AQ25)/($X$11:$AQ$11))</f>
        <v>28081.406963286441</v>
      </c>
      <c r="AV25">
        <f t="shared" si="2"/>
        <v>392.22332377763814</v>
      </c>
      <c r="AW25">
        <f t="shared" si="3"/>
        <v>-392.22332377763814</v>
      </c>
      <c r="AX25">
        <f t="shared" si="4"/>
        <v>146.52582772693495</v>
      </c>
    </row>
    <row r="26" spans="1:50" x14ac:dyDescent="0.2">
      <c r="A26" s="3">
        <v>45796</v>
      </c>
      <c r="B26">
        <v>147.87380479999999</v>
      </c>
      <c r="C26">
        <v>58.2546648</v>
      </c>
      <c r="D26">
        <v>225.96476559999999</v>
      </c>
      <c r="E26">
        <v>82.245019200000002</v>
      </c>
      <c r="F26">
        <v>39.841600800000002</v>
      </c>
      <c r="G26">
        <v>146.31714479999999</v>
      </c>
      <c r="H26">
        <v>45.303253599999998</v>
      </c>
      <c r="I26">
        <v>289.84119679999998</v>
      </c>
      <c r="J26">
        <v>21.348479999999999</v>
      </c>
      <c r="K26">
        <v>47.633795999999997</v>
      </c>
      <c r="L26">
        <v>69.934062400000002</v>
      </c>
      <c r="M26">
        <v>15.780084799999999</v>
      </c>
      <c r="N26">
        <v>90.900048799999993</v>
      </c>
      <c r="O26">
        <v>77.913056800000007</v>
      </c>
      <c r="P26">
        <v>20.8058728</v>
      </c>
      <c r="Q26">
        <v>34.513376000000001</v>
      </c>
      <c r="R26">
        <v>45.534528799999997</v>
      </c>
      <c r="S26">
        <v>16.8208232</v>
      </c>
      <c r="T26">
        <v>69.266922399999999</v>
      </c>
      <c r="U26">
        <v>23.474432799999999</v>
      </c>
      <c r="V26" s="6"/>
      <c r="W26" s="3">
        <v>45796</v>
      </c>
      <c r="X26">
        <v>30.599488000000001</v>
      </c>
      <c r="Y26">
        <v>920.06611680000003</v>
      </c>
      <c r="Z26">
        <v>165.8154232</v>
      </c>
      <c r="AA26">
        <v>58.130132000000003</v>
      </c>
      <c r="AB26">
        <v>137.11061280000001</v>
      </c>
      <c r="AC26">
        <v>883.88044319999995</v>
      </c>
      <c r="AD26">
        <v>206.22631680000001</v>
      </c>
      <c r="AE26">
        <v>140.71316880000001</v>
      </c>
      <c r="AF26">
        <v>459.00121519999999</v>
      </c>
      <c r="AG26">
        <v>231.21293360000001</v>
      </c>
      <c r="AH26">
        <v>780.61606640000002</v>
      </c>
      <c r="AI26">
        <v>144.78717040000001</v>
      </c>
      <c r="AJ26">
        <v>98.425387999999998</v>
      </c>
      <c r="AK26">
        <v>223.9010792</v>
      </c>
      <c r="AL26">
        <v>337.46609760000001</v>
      </c>
      <c r="AM26">
        <v>624.78995280000004</v>
      </c>
      <c r="AN26">
        <v>286.82572399999998</v>
      </c>
      <c r="AO26">
        <v>274.15006399999999</v>
      </c>
      <c r="AP26">
        <v>87.137379199999998</v>
      </c>
      <c r="AQ26">
        <v>59.9002768</v>
      </c>
      <c r="AR26" cm="1">
        <f t="array" ref="AR26">SUMPRODUCT($B$162:$U$162,(B26:U26)/($B$11:$U$11))</f>
        <v>27980.747895003838</v>
      </c>
      <c r="AS26">
        <f t="shared" si="0"/>
        <v>-115.19641079471694</v>
      </c>
      <c r="AT26">
        <f t="shared" si="1"/>
        <v>0.99589989182990579</v>
      </c>
      <c r="AU26" cm="1">
        <f t="array" ref="AU26">SUMPRODUCT($X$162:$AQ$162,(X26:AQ26)/($X$11:$AQ$11))</f>
        <v>27882.604469391459</v>
      </c>
      <c r="AV26">
        <f t="shared" si="2"/>
        <v>-198.80249389498204</v>
      </c>
      <c r="AW26">
        <f t="shared" si="3"/>
        <v>198.80249389498204</v>
      </c>
      <c r="AX26">
        <f t="shared" si="4"/>
        <v>83.606083100265096</v>
      </c>
    </row>
    <row r="27" spans="1:50" x14ac:dyDescent="0.2">
      <c r="A27" s="3">
        <v>45797</v>
      </c>
      <c r="B27">
        <v>146.339687</v>
      </c>
      <c r="C27">
        <v>57.587458900000001</v>
      </c>
      <c r="D27">
        <v>220.88340400000001</v>
      </c>
      <c r="E27">
        <v>81.430811899999995</v>
      </c>
      <c r="F27">
        <v>37.910044900000003</v>
      </c>
      <c r="G27">
        <v>144.42512780000001</v>
      </c>
      <c r="H27">
        <v>46.357151000000002</v>
      </c>
      <c r="I27">
        <v>290.2595839</v>
      </c>
      <c r="J27">
        <v>21.3881081</v>
      </c>
      <c r="K27">
        <v>47.784206699999999</v>
      </c>
      <c r="L27">
        <v>67.656622100000007</v>
      </c>
      <c r="M27">
        <v>15.7242038</v>
      </c>
      <c r="N27">
        <v>90.427467399999998</v>
      </c>
      <c r="O27">
        <v>77.9296504</v>
      </c>
      <c r="P27">
        <v>20.297872999999999</v>
      </c>
      <c r="Q27">
        <v>34.036608000000001</v>
      </c>
      <c r="R27">
        <v>44.300772600000002</v>
      </c>
      <c r="S27">
        <v>16.1053429</v>
      </c>
      <c r="T27">
        <v>68.684811300000007</v>
      </c>
      <c r="U27">
        <v>24.809496299999999</v>
      </c>
      <c r="V27" s="6"/>
      <c r="W27" s="3">
        <v>45797</v>
      </c>
      <c r="X27">
        <v>30.4202184</v>
      </c>
      <c r="Y27">
        <v>919.00614340000004</v>
      </c>
      <c r="Z27">
        <v>163.33139990000001</v>
      </c>
      <c r="AA27">
        <v>58.571329599999999</v>
      </c>
      <c r="AB27">
        <v>136.63393550000001</v>
      </c>
      <c r="AC27">
        <v>884.34021270000005</v>
      </c>
      <c r="AD27">
        <v>204.58305970000001</v>
      </c>
      <c r="AE27">
        <v>139.75395789999999</v>
      </c>
      <c r="AF27">
        <v>457.02123569999998</v>
      </c>
      <c r="AG27">
        <v>231.0677953</v>
      </c>
      <c r="AH27">
        <v>776.36261930000001</v>
      </c>
      <c r="AI27">
        <v>144.30103600000001</v>
      </c>
      <c r="AJ27">
        <v>96.375010099999997</v>
      </c>
      <c r="AK27">
        <v>221.53931779999999</v>
      </c>
      <c r="AL27">
        <v>334.20580849999999</v>
      </c>
      <c r="AM27">
        <v>620.60968290000005</v>
      </c>
      <c r="AN27">
        <v>278.71904649999999</v>
      </c>
      <c r="AO27">
        <v>273.0817333</v>
      </c>
      <c r="AP27">
        <v>86.057663300000002</v>
      </c>
      <c r="AQ27">
        <v>59.821111299999998</v>
      </c>
      <c r="AR27" cm="1">
        <f t="array" ref="AR27">SUMPRODUCT($B$162:$U$162,(B27:U27)/($B$11:$U$11))</f>
        <v>27663.224460304871</v>
      </c>
      <c r="AS27">
        <f t="shared" si="0"/>
        <v>-317.52343469896732</v>
      </c>
      <c r="AT27">
        <f t="shared" si="1"/>
        <v>0.98865207478047201</v>
      </c>
      <c r="AU27" cm="1">
        <f t="array" ref="AU27">SUMPRODUCT($X$162:$AQ$162,(X27:AQ27)/($X$11:$AQ$11))</f>
        <v>27707.504565428811</v>
      </c>
      <c r="AV27">
        <f t="shared" si="2"/>
        <v>-175.09990396264766</v>
      </c>
      <c r="AW27">
        <f t="shared" si="3"/>
        <v>175.09990396264766</v>
      </c>
      <c r="AX27">
        <f t="shared" si="4"/>
        <v>-142.42353073631966</v>
      </c>
    </row>
    <row r="28" spans="1:50" x14ac:dyDescent="0.2">
      <c r="A28" s="3">
        <v>45798</v>
      </c>
      <c r="B28">
        <v>143.66662439999999</v>
      </c>
      <c r="C28">
        <v>56.156737800000002</v>
      </c>
      <c r="D28">
        <v>209.85954749999999</v>
      </c>
      <c r="E28">
        <v>78.268122300000002</v>
      </c>
      <c r="F28">
        <v>36.764038499999998</v>
      </c>
      <c r="G28">
        <v>139.57094280000001</v>
      </c>
      <c r="H28">
        <v>46.464801600000001</v>
      </c>
      <c r="I28">
        <v>286.43290500000001</v>
      </c>
      <c r="J28">
        <v>21.184560000000001</v>
      </c>
      <c r="K28">
        <v>45.379092900000003</v>
      </c>
      <c r="L28">
        <v>64.727657699999995</v>
      </c>
      <c r="M28">
        <v>15.358806</v>
      </c>
      <c r="N28">
        <v>88.701518100000001</v>
      </c>
      <c r="O28">
        <v>78.868351500000003</v>
      </c>
      <c r="P28">
        <v>19.4544876</v>
      </c>
      <c r="Q28">
        <v>33.551046900000003</v>
      </c>
      <c r="R28">
        <v>42.607446299999999</v>
      </c>
      <c r="S28">
        <v>15.1999218</v>
      </c>
      <c r="T28">
        <v>67.455169799999993</v>
      </c>
      <c r="U28">
        <v>22.773402000000001</v>
      </c>
      <c r="V28" s="6"/>
      <c r="W28" s="3">
        <v>45798</v>
      </c>
      <c r="X28">
        <v>29.6407302</v>
      </c>
      <c r="Y28">
        <v>905.02205700000002</v>
      </c>
      <c r="Z28">
        <v>157.9308948</v>
      </c>
      <c r="AA28">
        <v>56.192045399999998</v>
      </c>
      <c r="AB28">
        <v>131.873886</v>
      </c>
      <c r="AC28">
        <v>858.70731269999999</v>
      </c>
      <c r="AD28">
        <v>202.1448369</v>
      </c>
      <c r="AE28">
        <v>137.89383179999999</v>
      </c>
      <c r="AF28">
        <v>442.6337274</v>
      </c>
      <c r="AG28">
        <v>227.0720025</v>
      </c>
      <c r="AH28">
        <v>758.35428660000002</v>
      </c>
      <c r="AI28">
        <v>143.4106443</v>
      </c>
      <c r="AJ28">
        <v>92.391162300000005</v>
      </c>
      <c r="AK28">
        <v>215.9501085</v>
      </c>
      <c r="AL28">
        <v>327.33675959999999</v>
      </c>
      <c r="AM28">
        <v>599.01108780000004</v>
      </c>
      <c r="AN28">
        <v>267.24322439999997</v>
      </c>
      <c r="AO28">
        <v>266.36936129999998</v>
      </c>
      <c r="AP28">
        <v>83.934992100000002</v>
      </c>
      <c r="AQ28">
        <v>59.1049224</v>
      </c>
      <c r="AR28" cm="1">
        <f t="array" ref="AR28">SUMPRODUCT($B$162:$U$162,(B28:U28)/($B$11:$U$11))</f>
        <v>26834.635038851</v>
      </c>
      <c r="AS28">
        <f t="shared" si="0"/>
        <v>-828.58942145387118</v>
      </c>
      <c r="AT28">
        <f t="shared" si="1"/>
        <v>0.97004725813352488</v>
      </c>
      <c r="AU28" cm="1">
        <f t="array" ref="AU28">SUMPRODUCT($X$162:$AQ$162,(X28:AQ28)/($X$11:$AQ$11))</f>
        <v>26998.203401129711</v>
      </c>
      <c r="AV28">
        <f t="shared" si="2"/>
        <v>-709.30116429910049</v>
      </c>
      <c r="AW28">
        <f t="shared" si="3"/>
        <v>709.30116429910049</v>
      </c>
      <c r="AX28">
        <f t="shared" si="4"/>
        <v>-119.28825715477069</v>
      </c>
    </row>
    <row r="29" spans="1:50" x14ac:dyDescent="0.2">
      <c r="A29" s="3">
        <v>45799</v>
      </c>
      <c r="B29">
        <v>144.5116252</v>
      </c>
      <c r="C29">
        <v>56.426997999999998</v>
      </c>
      <c r="D29">
        <v>211.34636800000001</v>
      </c>
      <c r="E29">
        <v>78.013760000000005</v>
      </c>
      <c r="F29">
        <v>36.631006399999997</v>
      </c>
      <c r="G29">
        <v>140.025834</v>
      </c>
      <c r="H29">
        <v>46.675277999999999</v>
      </c>
      <c r="I29">
        <v>284.57292000000001</v>
      </c>
      <c r="J29">
        <v>20.833220000000001</v>
      </c>
      <c r="K29">
        <v>45.230250400000003</v>
      </c>
      <c r="L29">
        <v>67.375519999999995</v>
      </c>
      <c r="M29">
        <v>15.0885704</v>
      </c>
      <c r="N29">
        <v>89.520789600000001</v>
      </c>
      <c r="O29">
        <v>78.820493200000001</v>
      </c>
      <c r="P29">
        <v>19.8846436</v>
      </c>
      <c r="Q29">
        <v>33.421804000000002</v>
      </c>
      <c r="R29">
        <v>42.996220000000001</v>
      </c>
      <c r="S29">
        <v>15.4609088</v>
      </c>
      <c r="T29">
        <v>68.332961600000004</v>
      </c>
      <c r="U29">
        <v>23.687814400000001</v>
      </c>
      <c r="V29" s="6"/>
      <c r="W29" s="3">
        <v>45799</v>
      </c>
      <c r="X29">
        <v>29.343812</v>
      </c>
      <c r="Y29">
        <v>902.59260759999995</v>
      </c>
      <c r="Z29">
        <v>159.44062199999999</v>
      </c>
      <c r="AA29">
        <v>57.109618400000002</v>
      </c>
      <c r="AB29">
        <v>132.78296560000001</v>
      </c>
      <c r="AC29">
        <v>859.83574799999997</v>
      </c>
      <c r="AD29">
        <v>202.54322440000001</v>
      </c>
      <c r="AE29">
        <v>138.45669359999999</v>
      </c>
      <c r="AF29">
        <v>446.34508959999999</v>
      </c>
      <c r="AG29">
        <v>231.82498000000001</v>
      </c>
      <c r="AH29">
        <v>768.16958</v>
      </c>
      <c r="AI29">
        <v>143.3857448</v>
      </c>
      <c r="AJ29">
        <v>93.164386800000003</v>
      </c>
      <c r="AK29">
        <v>216.9403092</v>
      </c>
      <c r="AL29">
        <v>324.58156760000003</v>
      </c>
      <c r="AM29">
        <v>595.91874399999995</v>
      </c>
      <c r="AN29">
        <v>269.03222440000002</v>
      </c>
      <c r="AO29">
        <v>271.54107599999998</v>
      </c>
      <c r="AP29">
        <v>83.740679200000002</v>
      </c>
      <c r="AQ29">
        <v>59.370244399999997</v>
      </c>
      <c r="AR29" cm="1">
        <f t="array" ref="AR29">SUMPRODUCT($B$162:$U$162,(B29:U29)/($B$11:$U$11))</f>
        <v>26988.801969069951</v>
      </c>
      <c r="AS29">
        <f t="shared" si="0"/>
        <v>154.16693021895117</v>
      </c>
      <c r="AT29">
        <f t="shared" si="1"/>
        <v>1.0057450727388597</v>
      </c>
      <c r="AU29" cm="1">
        <f t="array" ref="AU29">SUMPRODUCT($X$162:$AQ$162,(X29:AQ29)/($X$11:$AQ$11))</f>
        <v>27115.166764996815</v>
      </c>
      <c r="AV29">
        <f t="shared" si="2"/>
        <v>116.96336386710391</v>
      </c>
      <c r="AW29">
        <f t="shared" si="3"/>
        <v>-116.96336386710391</v>
      </c>
      <c r="AX29">
        <f t="shared" si="4"/>
        <v>37.203566351847257</v>
      </c>
    </row>
    <row r="30" spans="1:50" x14ac:dyDescent="0.2">
      <c r="A30" s="3">
        <v>45800</v>
      </c>
      <c r="B30">
        <v>145.27424730000001</v>
      </c>
      <c r="C30">
        <v>56.423676399999998</v>
      </c>
      <c r="D30">
        <v>211.2983964</v>
      </c>
      <c r="E30">
        <v>77.217367499999995</v>
      </c>
      <c r="F30">
        <v>35.277997300000003</v>
      </c>
      <c r="G30">
        <v>137.95289690000001</v>
      </c>
      <c r="H30">
        <v>47.210390500000003</v>
      </c>
      <c r="I30">
        <v>282.78715920000002</v>
      </c>
      <c r="J30">
        <v>20.881688100000002</v>
      </c>
      <c r="K30">
        <v>44.491283199999998</v>
      </c>
      <c r="L30">
        <v>65.689760500000006</v>
      </c>
      <c r="M30">
        <v>15.0034885</v>
      </c>
      <c r="N30">
        <v>88.401786200000004</v>
      </c>
      <c r="O30">
        <v>78.2205333</v>
      </c>
      <c r="P30">
        <v>19.5793325</v>
      </c>
      <c r="Q30">
        <v>34.3364294</v>
      </c>
      <c r="R30">
        <v>42.1681624</v>
      </c>
      <c r="S30">
        <v>15.2410804</v>
      </c>
      <c r="T30">
        <v>66.736924799999997</v>
      </c>
      <c r="U30">
        <v>23.108012200000001</v>
      </c>
      <c r="V30" s="6"/>
      <c r="W30" s="3">
        <v>45800</v>
      </c>
      <c r="X30">
        <v>29.047809699999998</v>
      </c>
      <c r="Y30">
        <v>887.44974500000001</v>
      </c>
      <c r="Z30">
        <v>156.5378633</v>
      </c>
      <c r="AA30">
        <v>56.0452893</v>
      </c>
      <c r="AB30">
        <v>129.90117140000001</v>
      </c>
      <c r="AC30">
        <v>847.56950459999996</v>
      </c>
      <c r="AD30">
        <v>201.80352009999999</v>
      </c>
      <c r="AE30">
        <v>137.3545173</v>
      </c>
      <c r="AF30">
        <v>438.97303449999998</v>
      </c>
      <c r="AG30">
        <v>226.94426300000001</v>
      </c>
      <c r="AH30">
        <v>759.81889620000004</v>
      </c>
      <c r="AI30">
        <v>140.82159909999999</v>
      </c>
      <c r="AJ30">
        <v>91.552078800000004</v>
      </c>
      <c r="AK30">
        <v>212.81194479999999</v>
      </c>
      <c r="AL30">
        <v>319.1739187</v>
      </c>
      <c r="AM30">
        <v>582.69853460000002</v>
      </c>
      <c r="AN30">
        <v>266.00613129999999</v>
      </c>
      <c r="AO30">
        <v>268.86603380000003</v>
      </c>
      <c r="AP30">
        <v>81.854809399999994</v>
      </c>
      <c r="AQ30">
        <v>58.1308182</v>
      </c>
      <c r="AR30" cm="1">
        <f t="array" ref="AR30">SUMPRODUCT($B$162:$U$162,(B30:U30)/($B$11:$U$11))</f>
        <v>26786.858198096896</v>
      </c>
      <c r="AS30">
        <f t="shared" si="0"/>
        <v>-201.94377097305551</v>
      </c>
      <c r="AT30">
        <f t="shared" si="1"/>
        <v>0.99251749776798204</v>
      </c>
      <c r="AU30" cm="1">
        <f t="array" ref="AU30">SUMPRODUCT($X$162:$AQ$162,(X30:AQ30)/($X$11:$AQ$11))</f>
        <v>26684.997088633267</v>
      </c>
      <c r="AV30">
        <f t="shared" si="2"/>
        <v>-430.16967636354821</v>
      </c>
      <c r="AW30">
        <f t="shared" si="3"/>
        <v>430.16967636354821</v>
      </c>
      <c r="AX30">
        <f t="shared" si="4"/>
        <v>228.2259053904927</v>
      </c>
    </row>
    <row r="31" spans="1:50" x14ac:dyDescent="0.2">
      <c r="A31" s="3">
        <v>45804</v>
      </c>
      <c r="B31">
        <v>149.7972413</v>
      </c>
      <c r="C31">
        <v>57.4241885</v>
      </c>
      <c r="D31">
        <v>225.58304580000001</v>
      </c>
      <c r="E31">
        <v>78.56653</v>
      </c>
      <c r="F31">
        <v>36.696748900000003</v>
      </c>
      <c r="G31">
        <v>141.4285817</v>
      </c>
      <c r="H31">
        <v>46.530806699999999</v>
      </c>
      <c r="I31">
        <v>288.34799279999999</v>
      </c>
      <c r="J31">
        <v>21.124686100000002</v>
      </c>
      <c r="K31">
        <v>46.954536300000001</v>
      </c>
      <c r="L31">
        <v>69.0149586</v>
      </c>
      <c r="M31">
        <v>15.051228500000001</v>
      </c>
      <c r="N31">
        <v>89.592327299999994</v>
      </c>
      <c r="O31">
        <v>80.808765800000003</v>
      </c>
      <c r="P31">
        <v>20.833372000000001</v>
      </c>
      <c r="Q31">
        <v>34.993002799999999</v>
      </c>
      <c r="R31">
        <v>43.608837999999999</v>
      </c>
      <c r="S31">
        <v>15.969309300000001</v>
      </c>
      <c r="T31">
        <v>68.758955299999997</v>
      </c>
      <c r="U31">
        <v>23.622925200000001</v>
      </c>
      <c r="V31" s="6"/>
      <c r="W31" s="3">
        <v>45804</v>
      </c>
      <c r="X31">
        <v>29.466862599999999</v>
      </c>
      <c r="Y31">
        <v>898.47447829999999</v>
      </c>
      <c r="Z31">
        <v>160.27572119999999</v>
      </c>
      <c r="AA31">
        <v>59.198556199999999</v>
      </c>
      <c r="AB31">
        <v>131.9652873</v>
      </c>
      <c r="AC31">
        <v>866.27985639999997</v>
      </c>
      <c r="AD31">
        <v>204.38773810000001</v>
      </c>
      <c r="AE31">
        <v>140.3339469</v>
      </c>
      <c r="AF31">
        <v>451.79285829999998</v>
      </c>
      <c r="AG31">
        <v>230.63249020000001</v>
      </c>
      <c r="AH31">
        <v>774.0215637</v>
      </c>
      <c r="AI31">
        <v>143.23826020000001</v>
      </c>
      <c r="AJ31">
        <v>94.120937400000003</v>
      </c>
      <c r="AK31">
        <v>217.77053129999999</v>
      </c>
      <c r="AL31">
        <v>326.97800799999999</v>
      </c>
      <c r="AM31">
        <v>605.15649040000005</v>
      </c>
      <c r="AN31">
        <v>266.18163809999999</v>
      </c>
      <c r="AO31">
        <v>276.38645930000001</v>
      </c>
      <c r="AP31">
        <v>84.357501200000002</v>
      </c>
      <c r="AQ31">
        <v>60.381467999999998</v>
      </c>
      <c r="AR31" cm="1">
        <f t="array" ref="AR31">SUMPRODUCT($B$162:$U$162,(B31:U31)/($B$11:$U$11))</f>
        <v>27631.541888138097</v>
      </c>
      <c r="AS31">
        <f t="shared" si="0"/>
        <v>844.68369004120177</v>
      </c>
      <c r="AT31">
        <f t="shared" si="1"/>
        <v>1.0315335110894497</v>
      </c>
      <c r="AU31" cm="1">
        <f t="array" ref="AU31">SUMPRODUCT($X$162:$AQ$162,(X31:AQ31)/($X$11:$AQ$11))</f>
        <v>27322.044146602428</v>
      </c>
      <c r="AV31">
        <f t="shared" si="2"/>
        <v>637.04705796916096</v>
      </c>
      <c r="AW31">
        <f t="shared" si="3"/>
        <v>-637.04705796916096</v>
      </c>
      <c r="AX31">
        <f t="shared" si="4"/>
        <v>207.63663207204081</v>
      </c>
    </row>
    <row r="32" spans="1:50" x14ac:dyDescent="0.2">
      <c r="A32" s="3">
        <v>45805</v>
      </c>
      <c r="B32">
        <v>150.8319856</v>
      </c>
      <c r="C32">
        <v>57.0136404</v>
      </c>
      <c r="D32">
        <v>222.103464</v>
      </c>
      <c r="E32">
        <v>78.161290800000003</v>
      </c>
      <c r="F32">
        <v>37.158936799999999</v>
      </c>
      <c r="G32">
        <v>142.76435179999999</v>
      </c>
      <c r="H32">
        <v>46.802903000000001</v>
      </c>
      <c r="I32">
        <v>286.52940899999999</v>
      </c>
      <c r="J32">
        <v>20.855409000000002</v>
      </c>
      <c r="K32">
        <v>47.254548800000002</v>
      </c>
      <c r="L32">
        <v>68.632450000000006</v>
      </c>
      <c r="M32">
        <v>14.966302000000001</v>
      </c>
      <c r="N32">
        <v>89.231040800000002</v>
      </c>
      <c r="O32">
        <v>81.057137400000002</v>
      </c>
      <c r="P32">
        <v>20.36834</v>
      </c>
      <c r="Q32">
        <v>34.440206199999999</v>
      </c>
      <c r="R32">
        <v>43.039188000000003</v>
      </c>
      <c r="S32">
        <v>15.5330732</v>
      </c>
      <c r="T32">
        <v>67.676023599999994</v>
      </c>
      <c r="U32">
        <v>23.069358999999999</v>
      </c>
      <c r="V32" s="6"/>
      <c r="W32" s="3">
        <v>45805</v>
      </c>
      <c r="X32">
        <v>29.401256</v>
      </c>
      <c r="Y32">
        <v>897.21652119999999</v>
      </c>
      <c r="Z32">
        <v>158.9970332</v>
      </c>
      <c r="AA32">
        <v>58.687386600000004</v>
      </c>
      <c r="AB32">
        <v>131.6503228</v>
      </c>
      <c r="AC32">
        <v>860.14614240000003</v>
      </c>
      <c r="AD32">
        <v>203.25832159999999</v>
      </c>
      <c r="AE32">
        <v>139.0272042</v>
      </c>
      <c r="AF32">
        <v>409.51875940000002</v>
      </c>
      <c r="AG32">
        <v>229.7725868</v>
      </c>
      <c r="AH32">
        <v>779.85945960000004</v>
      </c>
      <c r="AI32">
        <v>140.3998532</v>
      </c>
      <c r="AJ32">
        <v>95.571793600000007</v>
      </c>
      <c r="AK32">
        <v>215.9309714</v>
      </c>
      <c r="AL32">
        <v>325.94657480000001</v>
      </c>
      <c r="AM32">
        <v>599.96273840000003</v>
      </c>
      <c r="AN32">
        <v>264.75299680000001</v>
      </c>
      <c r="AO32">
        <v>276.64633620000001</v>
      </c>
      <c r="AP32">
        <v>83.244519999999994</v>
      </c>
      <c r="AQ32">
        <v>59.962621800000001</v>
      </c>
      <c r="AR32" cm="1">
        <f t="array" ref="AR32">SUMPRODUCT($B$162:$U$162,(B32:U32)/($B$11:$U$11))</f>
        <v>27458.348896725693</v>
      </c>
      <c r="AS32">
        <f t="shared" si="0"/>
        <v>-173.19299141240481</v>
      </c>
      <c r="AT32">
        <f t="shared" si="1"/>
        <v>0.99373205476141901</v>
      </c>
      <c r="AU32" cm="1">
        <f t="array" ref="AU32">SUMPRODUCT($X$162:$AQ$162,(X32:AQ32)/($X$11:$AQ$11))</f>
        <v>27088.204705434433</v>
      </c>
      <c r="AV32">
        <f t="shared" si="2"/>
        <v>-233.83944116799466</v>
      </c>
      <c r="AW32">
        <f t="shared" si="3"/>
        <v>233.83944116799466</v>
      </c>
      <c r="AX32">
        <f t="shared" si="4"/>
        <v>60.646449755589856</v>
      </c>
    </row>
    <row r="33" spans="1:50" x14ac:dyDescent="0.2">
      <c r="A33" s="3">
        <v>45806</v>
      </c>
      <c r="B33">
        <v>149.58224870000001</v>
      </c>
      <c r="C33">
        <v>56.415434500000003</v>
      </c>
      <c r="D33">
        <v>223.76216919999999</v>
      </c>
      <c r="E33">
        <v>74.135948999999997</v>
      </c>
      <c r="F33">
        <v>36.188544499999999</v>
      </c>
      <c r="G33">
        <v>143.54935889999999</v>
      </c>
      <c r="H33">
        <v>46.1876636</v>
      </c>
      <c r="I33">
        <v>284.8034055</v>
      </c>
      <c r="J33">
        <v>20.7369594</v>
      </c>
      <c r="K33">
        <v>47.700283200000001</v>
      </c>
      <c r="L33">
        <v>69.096815100000001</v>
      </c>
      <c r="M33">
        <v>15.011870099999999</v>
      </c>
      <c r="N33">
        <v>89.033493199999995</v>
      </c>
      <c r="O33">
        <v>79.245437300000006</v>
      </c>
      <c r="P33">
        <v>20.3675988</v>
      </c>
      <c r="Q33">
        <v>34.324152900000001</v>
      </c>
      <c r="R33">
        <v>42.652355</v>
      </c>
      <c r="S33">
        <v>15.477968000000001</v>
      </c>
      <c r="T33">
        <v>66.915828700000006</v>
      </c>
      <c r="U33">
        <v>23.6830499</v>
      </c>
      <c r="V33" s="6"/>
      <c r="W33" s="3">
        <v>45806</v>
      </c>
      <c r="X33">
        <v>29.460905</v>
      </c>
      <c r="Y33">
        <v>887.11621820000005</v>
      </c>
      <c r="Z33">
        <v>158.01598240000001</v>
      </c>
      <c r="AA33">
        <v>60.390458099999996</v>
      </c>
      <c r="AB33">
        <v>131.58911090000001</v>
      </c>
      <c r="AC33">
        <v>858.60509760000002</v>
      </c>
      <c r="AD33">
        <v>203.57925069999999</v>
      </c>
      <c r="AE33">
        <v>138.43987060000001</v>
      </c>
      <c r="AF33">
        <v>400.13185570000002</v>
      </c>
      <c r="AG33">
        <v>224.85266240000001</v>
      </c>
      <c r="AH33">
        <v>780.43256489999999</v>
      </c>
      <c r="AI33">
        <v>139.5303638</v>
      </c>
      <c r="AJ33">
        <v>96.060138899999998</v>
      </c>
      <c r="AK33">
        <v>216.10233389999999</v>
      </c>
      <c r="AL33">
        <v>323.88527470000002</v>
      </c>
      <c r="AM33">
        <v>598.64558959999999</v>
      </c>
      <c r="AN33">
        <v>264.5237497</v>
      </c>
      <c r="AO33">
        <v>276.95888989999997</v>
      </c>
      <c r="AP33">
        <v>82.939043299999994</v>
      </c>
      <c r="AQ33">
        <v>59.880388699999997</v>
      </c>
      <c r="AR33" cm="1">
        <f t="array" ref="AR33">SUMPRODUCT($B$162:$U$162,(B33:U33)/($B$11:$U$11))</f>
        <v>27287.802870928688</v>
      </c>
      <c r="AS33">
        <f t="shared" si="0"/>
        <v>-170.5460257970044</v>
      </c>
      <c r="AT33">
        <f t="shared" si="1"/>
        <v>0.99378891912115874</v>
      </c>
      <c r="AU33" cm="1">
        <f t="array" ref="AU33">SUMPRODUCT($X$162:$AQ$162,(X33:AQ33)/($X$11:$AQ$11))</f>
        <v>27044.537643421405</v>
      </c>
      <c r="AV33">
        <f t="shared" si="2"/>
        <v>-43.667062013028044</v>
      </c>
      <c r="AW33">
        <f t="shared" si="3"/>
        <v>43.667062013028044</v>
      </c>
      <c r="AX33">
        <f t="shared" si="4"/>
        <v>-126.87896378397636</v>
      </c>
    </row>
    <row r="34" spans="1:50" x14ac:dyDescent="0.2">
      <c r="A34" s="3">
        <v>45807</v>
      </c>
      <c r="B34">
        <v>149.72235810000001</v>
      </c>
      <c r="C34">
        <v>56.649321200000003</v>
      </c>
      <c r="D34">
        <v>226.46509130000001</v>
      </c>
      <c r="E34">
        <v>74.169366400000001</v>
      </c>
      <c r="F34">
        <v>35.269225800000001</v>
      </c>
      <c r="G34">
        <v>143.71196029999999</v>
      </c>
      <c r="H34">
        <v>46.4616088</v>
      </c>
      <c r="I34">
        <v>286.44568870000001</v>
      </c>
      <c r="J34">
        <v>21.036392299999999</v>
      </c>
      <c r="K34">
        <v>49.1583562</v>
      </c>
      <c r="L34">
        <v>70.014084049999994</v>
      </c>
      <c r="M34">
        <v>14.8761752</v>
      </c>
      <c r="N34">
        <v>89.036728699999998</v>
      </c>
      <c r="O34">
        <v>79.941815899999995</v>
      </c>
      <c r="P34">
        <v>20.4635538</v>
      </c>
      <c r="Q34">
        <v>33.912039200000002</v>
      </c>
      <c r="R34">
        <v>42.645623100000002</v>
      </c>
      <c r="S34">
        <v>15.5547685</v>
      </c>
      <c r="T34">
        <v>66.916349699999998</v>
      </c>
      <c r="U34">
        <v>23.407062400000001</v>
      </c>
      <c r="V34" s="6"/>
      <c r="W34" s="3">
        <v>45807</v>
      </c>
      <c r="X34">
        <v>29.699473000000001</v>
      </c>
      <c r="Y34">
        <v>916.70023219999996</v>
      </c>
      <c r="Z34">
        <v>156.64929749999999</v>
      </c>
      <c r="AA34">
        <v>58.993552600000001</v>
      </c>
      <c r="AB34">
        <v>130.7393715</v>
      </c>
      <c r="AC34">
        <v>863.5672581</v>
      </c>
      <c r="AD34">
        <v>205.92222140000001</v>
      </c>
      <c r="AE34">
        <v>139.1645039</v>
      </c>
      <c r="AF34">
        <v>408.90093419999999</v>
      </c>
      <c r="AG34">
        <v>228.3334261</v>
      </c>
      <c r="AH34">
        <v>783.30817779999995</v>
      </c>
      <c r="AI34">
        <v>138.3977816</v>
      </c>
      <c r="AJ34">
        <v>95.708094000000003</v>
      </c>
      <c r="AK34">
        <v>215.9865532</v>
      </c>
      <c r="AL34">
        <v>324.57029410000001</v>
      </c>
      <c r="AM34">
        <v>583.32585099999994</v>
      </c>
      <c r="AN34">
        <v>264.90696109999999</v>
      </c>
      <c r="AO34">
        <v>278.09105949999997</v>
      </c>
      <c r="AP34">
        <v>82.479931100000002</v>
      </c>
      <c r="AQ34">
        <v>58.878984899999999</v>
      </c>
      <c r="AR34" cm="1">
        <f t="array" ref="AR34">SUMPRODUCT($B$162:$U$162,(B34:U34)/($B$11:$U$11))</f>
        <v>27370.250756215068</v>
      </c>
      <c r="AS34">
        <f t="shared" si="0"/>
        <v>82.44788528637946</v>
      </c>
      <c r="AT34">
        <f t="shared" si="1"/>
        <v>1.0030214189715587</v>
      </c>
      <c r="AU34" cm="1">
        <f t="array" ref="AU34">SUMPRODUCT($X$162:$AQ$162,(X34:AQ34)/($X$11:$AQ$11))</f>
        <v>27081.617707297395</v>
      </c>
      <c r="AV34">
        <f t="shared" si="2"/>
        <v>37.080063875990163</v>
      </c>
      <c r="AW34">
        <f t="shared" si="3"/>
        <v>-37.080063875990163</v>
      </c>
      <c r="AX34">
        <f t="shared" si="4"/>
        <v>45.367821410389297</v>
      </c>
    </row>
    <row r="35" spans="1:50" x14ac:dyDescent="0.2">
      <c r="A35" s="3">
        <v>45810</v>
      </c>
      <c r="B35">
        <v>150.90473249999999</v>
      </c>
      <c r="C35">
        <v>56.017864500000002</v>
      </c>
      <c r="D35">
        <v>228.93991650000001</v>
      </c>
      <c r="E35">
        <v>73.105542</v>
      </c>
      <c r="F35">
        <v>36.010860000000001</v>
      </c>
      <c r="G35">
        <v>142.39148549999999</v>
      </c>
      <c r="H35">
        <v>48.579698999999998</v>
      </c>
      <c r="I35">
        <v>284.06625000000003</v>
      </c>
      <c r="J35">
        <v>20.6887635</v>
      </c>
      <c r="K35">
        <v>47.932901999999999</v>
      </c>
      <c r="L35">
        <v>70.999081500000003</v>
      </c>
      <c r="M35">
        <v>14.552932500000001</v>
      </c>
      <c r="N35">
        <v>87.649733999999995</v>
      </c>
      <c r="O35">
        <v>81.260428500000003</v>
      </c>
      <c r="P35">
        <v>20.575137000000002</v>
      </c>
      <c r="Q35">
        <v>35.093107500000002</v>
      </c>
      <c r="R35">
        <v>42.391424999999998</v>
      </c>
      <c r="S35">
        <v>15.444463499999999</v>
      </c>
      <c r="T35">
        <v>66.576388499999993</v>
      </c>
      <c r="U35">
        <v>23.6430525</v>
      </c>
      <c r="V35" s="6"/>
      <c r="W35" s="3">
        <v>45810</v>
      </c>
      <c r="X35">
        <v>29.429263500000001</v>
      </c>
      <c r="Y35">
        <v>923.73974250000003</v>
      </c>
      <c r="Z35">
        <v>153.90272400000001</v>
      </c>
      <c r="AA35">
        <v>58.255432499999998</v>
      </c>
      <c r="AB35">
        <v>127.96092</v>
      </c>
      <c r="AC35">
        <v>854.88208350000002</v>
      </c>
      <c r="AD35">
        <v>205.19197800000001</v>
      </c>
      <c r="AE35">
        <v>137.66287500000001</v>
      </c>
      <c r="AF35">
        <v>407.43840749999998</v>
      </c>
      <c r="AG35">
        <v>226.85093699999999</v>
      </c>
      <c r="AH35">
        <v>778.3327845</v>
      </c>
      <c r="AI35">
        <v>138.414558</v>
      </c>
      <c r="AJ35">
        <v>95.052937499999999</v>
      </c>
      <c r="AK35">
        <v>212.0882325</v>
      </c>
      <c r="AL35">
        <v>321.61543799999998</v>
      </c>
      <c r="AM35">
        <v>584.442273</v>
      </c>
      <c r="AN35">
        <v>262.21499999999997</v>
      </c>
      <c r="AO35">
        <v>277.31858399999999</v>
      </c>
      <c r="AP35">
        <v>80.543707499999996</v>
      </c>
      <c r="AQ35">
        <v>57.075465000000001</v>
      </c>
      <c r="AR35" cm="1">
        <f t="array" ref="AR35">SUMPRODUCT($B$162:$U$162,(B35:U35)/($B$11:$U$11))</f>
        <v>27417.757379356692</v>
      </c>
      <c r="AS35">
        <f t="shared" si="0"/>
        <v>47.506623141624004</v>
      </c>
      <c r="AT35">
        <f t="shared" si="1"/>
        <v>1.0017357028828402</v>
      </c>
      <c r="AU35" cm="1">
        <f t="array" ref="AU35">SUMPRODUCT($X$162:$AQ$162,(X35:AQ35)/($X$11:$AQ$11))</f>
        <v>26837.935303556602</v>
      </c>
      <c r="AV35">
        <f t="shared" si="2"/>
        <v>-243.68240374079323</v>
      </c>
      <c r="AW35">
        <f t="shared" si="3"/>
        <v>243.68240374079323</v>
      </c>
      <c r="AX35">
        <f t="shared" si="4"/>
        <v>291.18902688241724</v>
      </c>
    </row>
    <row r="36" spans="1:50" x14ac:dyDescent="0.2">
      <c r="A36" s="3">
        <v>45811</v>
      </c>
      <c r="B36">
        <v>151.81222109999999</v>
      </c>
      <c r="C36">
        <v>55.6290075</v>
      </c>
      <c r="D36">
        <v>234.6180876</v>
      </c>
      <c r="E36">
        <v>72.585960299999996</v>
      </c>
      <c r="F36">
        <v>37.986036900000002</v>
      </c>
      <c r="G36">
        <v>142.28712780000001</v>
      </c>
      <c r="H36">
        <v>48.672083399999998</v>
      </c>
      <c r="I36">
        <v>284.2928124</v>
      </c>
      <c r="J36">
        <v>19.5339171</v>
      </c>
      <c r="K36">
        <v>48.962321699999997</v>
      </c>
      <c r="L36">
        <v>71.310670799999997</v>
      </c>
      <c r="M36">
        <v>14.5470954</v>
      </c>
      <c r="N36">
        <v>88.267623599999993</v>
      </c>
      <c r="O36">
        <v>81.196363199999993</v>
      </c>
      <c r="P36">
        <v>21.046674299999999</v>
      </c>
      <c r="Q36">
        <v>35.391482400000001</v>
      </c>
      <c r="R36">
        <v>42.946473300000001</v>
      </c>
      <c r="S36">
        <v>16.0774428</v>
      </c>
      <c r="T36">
        <v>67.801425899999998</v>
      </c>
      <c r="U36">
        <v>24.459173100000001</v>
      </c>
      <c r="V36" s="6"/>
      <c r="W36" s="3">
        <v>45811</v>
      </c>
      <c r="X36">
        <v>29.4196095</v>
      </c>
      <c r="Y36">
        <v>928.40196089999995</v>
      </c>
      <c r="Z36">
        <v>156.5263947</v>
      </c>
      <c r="AA36">
        <v>60.624624300000001</v>
      </c>
      <c r="AB36">
        <v>130.2818163</v>
      </c>
      <c r="AC36">
        <v>863.79315629999996</v>
      </c>
      <c r="AD36">
        <v>206.56171860000001</v>
      </c>
      <c r="AE36">
        <v>139.1824575</v>
      </c>
      <c r="AF36">
        <v>410.08033260000002</v>
      </c>
      <c r="AG36">
        <v>232.01473799999999</v>
      </c>
      <c r="AH36">
        <v>787.02072840000005</v>
      </c>
      <c r="AI36">
        <v>141.41641290000001</v>
      </c>
      <c r="AJ36">
        <v>95.884180200000003</v>
      </c>
      <c r="AK36">
        <v>215.70862260000001</v>
      </c>
      <c r="AL36">
        <v>328.12759080000001</v>
      </c>
      <c r="AM36">
        <v>603.13277760000005</v>
      </c>
      <c r="AN36">
        <v>268.5583785</v>
      </c>
      <c r="AO36">
        <v>278.4704562</v>
      </c>
      <c r="AP36">
        <v>82.3045458</v>
      </c>
      <c r="AQ36">
        <v>58.8304239</v>
      </c>
      <c r="AR36" cm="1">
        <f t="array" ref="AR36">SUMPRODUCT($B$162:$U$162,(B36:U36)/($B$11:$U$11))</f>
        <v>27677.155047420012</v>
      </c>
      <c r="AS36">
        <f t="shared" si="0"/>
        <v>259.39766806332045</v>
      </c>
      <c r="AT36">
        <f t="shared" si="1"/>
        <v>1.0094609367379779</v>
      </c>
      <c r="AU36" cm="1">
        <f t="array" ref="AU36">SUMPRODUCT($X$162:$AQ$162,(X36:AQ36)/($X$11:$AQ$11))</f>
        <v>27264.871596177403</v>
      </c>
      <c r="AV36">
        <f t="shared" si="2"/>
        <v>426.9362926208014</v>
      </c>
      <c r="AW36">
        <f t="shared" si="3"/>
        <v>-426.9362926208014</v>
      </c>
      <c r="AX36">
        <f t="shared" si="4"/>
        <v>-167.53862455748094</v>
      </c>
    </row>
    <row r="37" spans="1:50" x14ac:dyDescent="0.2">
      <c r="A37" s="3">
        <v>45812</v>
      </c>
      <c r="B37">
        <v>152.35230659999999</v>
      </c>
      <c r="C37">
        <v>55.338730200000001</v>
      </c>
      <c r="D37">
        <v>232.67141960000001</v>
      </c>
      <c r="E37">
        <v>73.093020499999994</v>
      </c>
      <c r="F37">
        <v>38.653025700000001</v>
      </c>
      <c r="G37">
        <v>141.56134180000001</v>
      </c>
      <c r="H37">
        <v>48.419199200000001</v>
      </c>
      <c r="I37">
        <v>279.59284689999998</v>
      </c>
      <c r="J37">
        <v>18.989295200000001</v>
      </c>
      <c r="K37">
        <v>48.366645800000001</v>
      </c>
      <c r="L37">
        <v>71.490141800000004</v>
      </c>
      <c r="M37">
        <v>14.0667934</v>
      </c>
      <c r="N37">
        <v>86.643038799999999</v>
      </c>
      <c r="O37">
        <v>80.257800700000004</v>
      </c>
      <c r="P37">
        <v>20.872458699999999</v>
      </c>
      <c r="Q37">
        <v>35.788865399999999</v>
      </c>
      <c r="R37">
        <v>42.901092200000001</v>
      </c>
      <c r="S37">
        <v>16.116375999999999</v>
      </c>
      <c r="T37">
        <v>67.093174000000005</v>
      </c>
      <c r="U37">
        <v>23.8855203</v>
      </c>
      <c r="V37" s="6"/>
      <c r="W37" s="3">
        <v>45812</v>
      </c>
      <c r="X37">
        <v>29.1145836</v>
      </c>
      <c r="Y37">
        <v>921.16475409999998</v>
      </c>
      <c r="Z37">
        <v>155.6106174</v>
      </c>
      <c r="AA37">
        <v>60.287508699999997</v>
      </c>
      <c r="AB37">
        <v>128.58941089999999</v>
      </c>
      <c r="AC37">
        <v>866.22893329999999</v>
      </c>
      <c r="AD37">
        <v>203.4867648</v>
      </c>
      <c r="AE37">
        <v>139.55555369999999</v>
      </c>
      <c r="AF37">
        <v>414.4623891</v>
      </c>
      <c r="AG37">
        <v>231.93567200000001</v>
      </c>
      <c r="AH37">
        <v>798.98685799999998</v>
      </c>
      <c r="AI37">
        <v>141.0708434</v>
      </c>
      <c r="AJ37">
        <v>94.972752700000001</v>
      </c>
      <c r="AK37">
        <v>215.91564389999999</v>
      </c>
      <c r="AL37">
        <v>326.18143600000002</v>
      </c>
      <c r="AM37">
        <v>608.52457749999996</v>
      </c>
      <c r="AN37">
        <v>271.01788379999999</v>
      </c>
      <c r="AO37">
        <v>279.31256209999998</v>
      </c>
      <c r="AP37">
        <v>82.149723100000003</v>
      </c>
      <c r="AQ37">
        <v>57.703633199999999</v>
      </c>
      <c r="AR37" cm="1">
        <f t="array" ref="AR37">SUMPRODUCT($B$162:$U$162,(B37:U37)/($B$11:$U$11))</f>
        <v>27517.101162063562</v>
      </c>
      <c r="AS37">
        <f t="shared" si="0"/>
        <v>-160.05388535645034</v>
      </c>
      <c r="AT37">
        <f t="shared" si="1"/>
        <v>0.9942171120882104</v>
      </c>
      <c r="AU37" cm="1">
        <f t="array" ref="AU37">SUMPRODUCT($X$162:$AQ$162,(X37:AQ37)/($X$11:$AQ$11))</f>
        <v>27177.223917509749</v>
      </c>
      <c r="AV37">
        <f t="shared" si="2"/>
        <v>-87.647678667653963</v>
      </c>
      <c r="AW37">
        <f t="shared" si="3"/>
        <v>87.647678667653963</v>
      </c>
      <c r="AX37">
        <f t="shared" si="4"/>
        <v>-72.406206688796374</v>
      </c>
    </row>
    <row r="38" spans="1:50" x14ac:dyDescent="0.2">
      <c r="A38" s="3">
        <v>45813</v>
      </c>
      <c r="B38">
        <v>152.92723820000001</v>
      </c>
      <c r="C38">
        <v>55.312806000000002</v>
      </c>
      <c r="D38">
        <v>237.15474800000001</v>
      </c>
      <c r="E38">
        <v>73.986339400000006</v>
      </c>
      <c r="F38">
        <v>35.625641399999999</v>
      </c>
      <c r="G38">
        <v>140.466565</v>
      </c>
      <c r="H38">
        <v>47.631928199999997</v>
      </c>
      <c r="I38">
        <v>277.14075120000001</v>
      </c>
      <c r="J38">
        <v>18.918202999999998</v>
      </c>
      <c r="K38">
        <v>48.269816800000001</v>
      </c>
      <c r="L38">
        <v>70.211437000000004</v>
      </c>
      <c r="M38">
        <v>13.9199526</v>
      </c>
      <c r="N38">
        <v>87.093639400000001</v>
      </c>
      <c r="O38">
        <v>80.636109599999997</v>
      </c>
      <c r="P38">
        <v>20.989156399999999</v>
      </c>
      <c r="Q38">
        <v>36.429555800000003</v>
      </c>
      <c r="R38">
        <v>42.677368800000004</v>
      </c>
      <c r="S38">
        <v>16.908417</v>
      </c>
      <c r="T38">
        <v>66.532654800000003</v>
      </c>
      <c r="U38">
        <v>22.824178400000001</v>
      </c>
      <c r="V38" s="6"/>
      <c r="W38" s="3">
        <v>45813</v>
      </c>
      <c r="X38">
        <v>28.783630800000001</v>
      </c>
      <c r="Y38">
        <v>883.26599420000002</v>
      </c>
      <c r="Z38">
        <v>154.87585680000001</v>
      </c>
      <c r="AA38">
        <v>58.939158999999997</v>
      </c>
      <c r="AB38">
        <v>127.8049132</v>
      </c>
      <c r="AC38">
        <v>861.11465720000001</v>
      </c>
      <c r="AD38">
        <v>199.9824452</v>
      </c>
      <c r="AE38">
        <v>139.2082642</v>
      </c>
      <c r="AF38">
        <v>421.35600399999998</v>
      </c>
      <c r="AG38">
        <v>230.62731260000001</v>
      </c>
      <c r="AH38">
        <v>794.94900680000001</v>
      </c>
      <c r="AI38">
        <v>139.66265060000001</v>
      </c>
      <c r="AJ38">
        <v>94.215272400000003</v>
      </c>
      <c r="AK38">
        <v>215.05584020000001</v>
      </c>
      <c r="AL38">
        <v>322.68424959999999</v>
      </c>
      <c r="AM38">
        <v>595.1238492</v>
      </c>
      <c r="AN38">
        <v>269.52977900000002</v>
      </c>
      <c r="AO38">
        <v>280.05930999999998</v>
      </c>
      <c r="AP38">
        <v>81.474976799999993</v>
      </c>
      <c r="AQ38">
        <v>57.217733600000003</v>
      </c>
      <c r="AR38" cm="1">
        <f t="array" ref="AR38">SUMPRODUCT($B$162:$U$162,(B38:U38)/($B$11:$U$11))</f>
        <v>27460.475881320082</v>
      </c>
      <c r="AS38">
        <f t="shared" si="0"/>
        <v>-56.625280743479379</v>
      </c>
      <c r="AT38">
        <f t="shared" si="1"/>
        <v>0.99794217855979883</v>
      </c>
      <c r="AU38" cm="1">
        <f t="array" ref="AU38">SUMPRODUCT($X$162:$AQ$162,(X38:AQ38)/($X$11:$AQ$11))</f>
        <v>26869.03632495784</v>
      </c>
      <c r="AV38">
        <f t="shared" si="2"/>
        <v>-308.18759255190889</v>
      </c>
      <c r="AW38">
        <f t="shared" si="3"/>
        <v>308.18759255190889</v>
      </c>
      <c r="AX38">
        <f t="shared" si="4"/>
        <v>251.56231180842951</v>
      </c>
    </row>
    <row r="39" spans="1:50" x14ac:dyDescent="0.2">
      <c r="A39" s="3">
        <v>45814</v>
      </c>
      <c r="B39">
        <v>153.91348049999999</v>
      </c>
      <c r="C39">
        <v>55.853645999999998</v>
      </c>
      <c r="D39">
        <v>242.52980099999999</v>
      </c>
      <c r="E39">
        <v>75.126840000000001</v>
      </c>
      <c r="F39">
        <v>36.466357500000001</v>
      </c>
      <c r="G39">
        <v>142.267065</v>
      </c>
      <c r="H39">
        <v>45.953754000000004</v>
      </c>
      <c r="I39">
        <v>273.62494049999998</v>
      </c>
      <c r="J39">
        <v>19.071334499999999</v>
      </c>
      <c r="K39">
        <v>48.867552000000003</v>
      </c>
      <c r="L39">
        <v>73.924459499999998</v>
      </c>
      <c r="M39">
        <v>13.726445999999999</v>
      </c>
      <c r="N39">
        <v>88.001965499999997</v>
      </c>
      <c r="O39">
        <v>80.866670999999997</v>
      </c>
      <c r="P39">
        <v>21.309342000000001</v>
      </c>
      <c r="Q39">
        <v>36.404921999999999</v>
      </c>
      <c r="R39">
        <v>44.716267500000001</v>
      </c>
      <c r="S39">
        <v>17.166834000000001</v>
      </c>
      <c r="T39">
        <v>67.605379499999998</v>
      </c>
      <c r="U39">
        <v>24.100269000000001</v>
      </c>
      <c r="V39" s="6"/>
      <c r="W39" s="3">
        <v>45814</v>
      </c>
      <c r="X39">
        <v>29.129203499999999</v>
      </c>
      <c r="Y39">
        <v>890.76209100000005</v>
      </c>
      <c r="Z39">
        <v>157.4942925</v>
      </c>
      <c r="AA39">
        <v>60.083919000000002</v>
      </c>
      <c r="AB39">
        <v>127.698075</v>
      </c>
      <c r="AC39">
        <v>868.03973250000001</v>
      </c>
      <c r="AD39">
        <v>201.86827650000001</v>
      </c>
      <c r="AE39">
        <v>140.23091700000001</v>
      </c>
      <c r="AF39">
        <v>426.53789999999998</v>
      </c>
      <c r="AG39">
        <v>233.20038149999999</v>
      </c>
      <c r="AH39">
        <v>802.54948950000005</v>
      </c>
      <c r="AI39">
        <v>142.13541749999999</v>
      </c>
      <c r="AJ39">
        <v>95.479543500000005</v>
      </c>
      <c r="AK39">
        <v>217.27103399999999</v>
      </c>
      <c r="AL39">
        <v>322.38717450000001</v>
      </c>
      <c r="AM39">
        <v>603.015762</v>
      </c>
      <c r="AN39">
        <v>260.73226199999999</v>
      </c>
      <c r="AO39">
        <v>284.64822450000003</v>
      </c>
      <c r="AP39">
        <v>82.744842000000006</v>
      </c>
      <c r="AQ39">
        <v>58.486595999999999</v>
      </c>
      <c r="AR39" cm="1">
        <f t="array" ref="AR39">SUMPRODUCT($B$162:$U$162,(B39:U39)/($B$11:$U$11))</f>
        <v>27829.831256064695</v>
      </c>
      <c r="AS39">
        <f t="shared" si="0"/>
        <v>369.35537474461307</v>
      </c>
      <c r="AT39">
        <f t="shared" si="1"/>
        <v>1.0134504360500127</v>
      </c>
      <c r="AU39" cm="1">
        <f t="array" ref="AU39">SUMPRODUCT($X$162:$AQ$162,(X39:AQ39)/($X$11:$AQ$11))</f>
        <v>27146.931080364338</v>
      </c>
      <c r="AV39">
        <f t="shared" si="2"/>
        <v>277.89475540649801</v>
      </c>
      <c r="AW39">
        <f t="shared" si="3"/>
        <v>-277.89475540649801</v>
      </c>
      <c r="AX39">
        <f t="shared" si="4"/>
        <v>91.460619338115066</v>
      </c>
    </row>
    <row r="40" spans="1:50" x14ac:dyDescent="0.2">
      <c r="A40" s="3">
        <v>45817</v>
      </c>
      <c r="B40">
        <v>151.3753442</v>
      </c>
      <c r="C40">
        <v>54.860098999999998</v>
      </c>
      <c r="D40">
        <v>239.92208339999999</v>
      </c>
      <c r="E40">
        <v>76.287499199999999</v>
      </c>
      <c r="F40">
        <v>37.758459199999997</v>
      </c>
      <c r="G40">
        <v>140.47337719999999</v>
      </c>
      <c r="H40">
        <v>46.655164800000001</v>
      </c>
      <c r="I40">
        <v>267.65423559999999</v>
      </c>
      <c r="J40">
        <v>18.651558000000001</v>
      </c>
      <c r="K40">
        <v>48.747992199999999</v>
      </c>
      <c r="L40">
        <v>73.091340200000005</v>
      </c>
      <c r="M40">
        <v>12.767122799999999</v>
      </c>
      <c r="N40">
        <v>87.320815199999998</v>
      </c>
      <c r="O40">
        <v>81.305031</v>
      </c>
      <c r="P40">
        <v>21.1997286</v>
      </c>
      <c r="Q40">
        <v>37.075444400000002</v>
      </c>
      <c r="R40">
        <v>44.833792000000003</v>
      </c>
      <c r="S40">
        <v>17.1541794</v>
      </c>
      <c r="T40">
        <v>68.371532799999997</v>
      </c>
      <c r="U40">
        <v>24.641072399999999</v>
      </c>
      <c r="V40" s="6"/>
      <c r="W40" s="3">
        <v>45817</v>
      </c>
      <c r="X40">
        <v>29.063155399999999</v>
      </c>
      <c r="Y40">
        <v>881.0715788</v>
      </c>
      <c r="Z40">
        <v>158.2580318</v>
      </c>
      <c r="AA40">
        <v>60.420540000000003</v>
      </c>
      <c r="AB40">
        <v>126.2964418</v>
      </c>
      <c r="AC40">
        <v>865.88763440000002</v>
      </c>
      <c r="AD40">
        <v>194.8518632</v>
      </c>
      <c r="AE40">
        <v>137.45235020000001</v>
      </c>
      <c r="AF40">
        <v>434.12595820000001</v>
      </c>
      <c r="AG40">
        <v>226.31432699999999</v>
      </c>
      <c r="AH40">
        <v>794.64393680000001</v>
      </c>
      <c r="AI40">
        <v>142.34728960000001</v>
      </c>
      <c r="AJ40">
        <v>95.385643799999997</v>
      </c>
      <c r="AK40">
        <v>216.53320479999999</v>
      </c>
      <c r="AL40">
        <v>319.79103199999997</v>
      </c>
      <c r="AM40">
        <v>618.46114480000006</v>
      </c>
      <c r="AN40">
        <v>261.165595</v>
      </c>
      <c r="AO40">
        <v>284.02032100000002</v>
      </c>
      <c r="AP40">
        <v>83.170186799999996</v>
      </c>
      <c r="AQ40">
        <v>58.835595400000003</v>
      </c>
      <c r="AR40" cm="1">
        <f t="array" ref="AR40">SUMPRODUCT($B$162:$U$162,(B40:U40)/($B$11:$U$11))</f>
        <v>27688.530357538522</v>
      </c>
      <c r="AS40">
        <f t="shared" si="0"/>
        <v>-141.30089852617311</v>
      </c>
      <c r="AT40">
        <f t="shared" si="1"/>
        <v>0.99492268216698654</v>
      </c>
      <c r="AU40" cm="1">
        <f t="array" ref="AU40">SUMPRODUCT($X$162:$AQ$162,(X40:AQ40)/($X$11:$AQ$11))</f>
        <v>27066.115161425078</v>
      </c>
      <c r="AV40">
        <f t="shared" si="2"/>
        <v>-80.815918939260882</v>
      </c>
      <c r="AW40">
        <f t="shared" si="3"/>
        <v>80.815918939260882</v>
      </c>
      <c r="AX40">
        <f t="shared" si="4"/>
        <v>-60.484979586912232</v>
      </c>
    </row>
    <row r="41" spans="1:50" x14ac:dyDescent="0.2">
      <c r="A41" s="3">
        <v>45818</v>
      </c>
      <c r="B41">
        <v>147.61500659999999</v>
      </c>
      <c r="C41">
        <v>55.5460335</v>
      </c>
      <c r="D41">
        <v>236.10347100000001</v>
      </c>
      <c r="E41">
        <v>75.628397699999994</v>
      </c>
      <c r="F41">
        <v>37.564701300000003</v>
      </c>
      <c r="G41">
        <v>140.8479327</v>
      </c>
      <c r="H41">
        <v>46.012600800000001</v>
      </c>
      <c r="I41">
        <v>261.51720390000003</v>
      </c>
      <c r="J41">
        <v>18.839253599999999</v>
      </c>
      <c r="K41">
        <v>48.700170900000003</v>
      </c>
      <c r="L41">
        <v>72.835775999999996</v>
      </c>
      <c r="M41">
        <v>12.947609699999999</v>
      </c>
      <c r="N41">
        <v>87.507982799999994</v>
      </c>
      <c r="O41">
        <v>80.653365899999997</v>
      </c>
      <c r="P41">
        <v>21.456789300000001</v>
      </c>
      <c r="Q41">
        <v>36.934391699999999</v>
      </c>
      <c r="R41">
        <v>45.242222400000003</v>
      </c>
      <c r="S41">
        <v>17.280988199999999</v>
      </c>
      <c r="T41">
        <v>68.5199061</v>
      </c>
      <c r="U41">
        <v>24.231902399999999</v>
      </c>
      <c r="V41" s="6"/>
      <c r="W41" s="3">
        <v>45818</v>
      </c>
      <c r="X41">
        <v>29.431956599999999</v>
      </c>
      <c r="Y41">
        <v>881.79437610000002</v>
      </c>
      <c r="Z41">
        <v>158.6979504</v>
      </c>
      <c r="AA41">
        <v>61.682797800000003</v>
      </c>
      <c r="AB41">
        <v>126.98987579999999</v>
      </c>
      <c r="AC41">
        <v>868.33901700000001</v>
      </c>
      <c r="AD41">
        <v>190.94879159999999</v>
      </c>
      <c r="AE41">
        <v>135.96303330000001</v>
      </c>
      <c r="AF41">
        <v>441.566892</v>
      </c>
      <c r="AG41">
        <v>222.46427159999999</v>
      </c>
      <c r="AH41">
        <v>794.31265619999999</v>
      </c>
      <c r="AI41">
        <v>143.22910229999999</v>
      </c>
      <c r="AJ41">
        <v>95.850830700000003</v>
      </c>
      <c r="AK41">
        <v>217.98206999999999</v>
      </c>
      <c r="AL41">
        <v>322.07945130000002</v>
      </c>
      <c r="AM41">
        <v>640.67469119999998</v>
      </c>
      <c r="AN41">
        <v>268.15296330000001</v>
      </c>
      <c r="AO41">
        <v>284.7073446</v>
      </c>
      <c r="AP41">
        <v>83.979999899999996</v>
      </c>
      <c r="AQ41">
        <v>61.604009099999999</v>
      </c>
      <c r="AR41" cm="1">
        <f t="array" ref="AR41">SUMPRODUCT($B$162:$U$162,(B41:U41)/($B$11:$U$11))</f>
        <v>27555.290521788516</v>
      </c>
      <c r="AS41">
        <f t="shared" si="0"/>
        <v>-133.23983575000602</v>
      </c>
      <c r="AT41">
        <f t="shared" si="1"/>
        <v>0.9951879050989888</v>
      </c>
      <c r="AU41" cm="1">
        <f t="array" ref="AU41">SUMPRODUCT($X$162:$AQ$162,(X41:AQ41)/($X$11:$AQ$11))</f>
        <v>27294.802010579057</v>
      </c>
      <c r="AV41">
        <f t="shared" si="2"/>
        <v>228.68684915397898</v>
      </c>
      <c r="AW41">
        <f t="shared" si="3"/>
        <v>-228.68684915397898</v>
      </c>
      <c r="AX41">
        <f t="shared" si="4"/>
        <v>-361.92668490398501</v>
      </c>
    </row>
    <row r="42" spans="1:50" x14ac:dyDescent="0.2">
      <c r="A42" s="3">
        <v>45819</v>
      </c>
      <c r="B42">
        <v>148.63770700000001</v>
      </c>
      <c r="C42">
        <v>55.201575499999997</v>
      </c>
      <c r="D42">
        <v>233.27257800000001</v>
      </c>
      <c r="E42">
        <v>75.372219000000001</v>
      </c>
      <c r="F42">
        <v>37.616465499999997</v>
      </c>
      <c r="G42">
        <v>139.02683500000001</v>
      </c>
      <c r="H42">
        <v>46.409020499999997</v>
      </c>
      <c r="I42">
        <v>263.11503199999999</v>
      </c>
      <c r="J42">
        <v>19.021517500000002</v>
      </c>
      <c r="K42">
        <v>48.550573499999999</v>
      </c>
      <c r="L42">
        <v>68.4513465</v>
      </c>
      <c r="M42">
        <v>12.527214499999999</v>
      </c>
      <c r="N42">
        <v>85.496715499999993</v>
      </c>
      <c r="O42">
        <v>82.911181999999997</v>
      </c>
      <c r="P42">
        <v>20.7800285</v>
      </c>
      <c r="Q42">
        <v>35.701255500000002</v>
      </c>
      <c r="R42">
        <v>42.8049435</v>
      </c>
      <c r="S42">
        <v>16.610094</v>
      </c>
      <c r="T42">
        <v>68.068304499999996</v>
      </c>
      <c r="U42">
        <v>24.1577625</v>
      </c>
      <c r="V42" s="6"/>
      <c r="W42" s="3">
        <v>45819</v>
      </c>
      <c r="X42">
        <v>29.006726</v>
      </c>
      <c r="Y42">
        <v>867.74682900000005</v>
      </c>
      <c r="Z42">
        <v>155.95032699999999</v>
      </c>
      <c r="AA42">
        <v>60.816623</v>
      </c>
      <c r="AB42">
        <v>128.12754899999999</v>
      </c>
      <c r="AC42">
        <v>864.71731499999999</v>
      </c>
      <c r="AD42">
        <v>189.1618095</v>
      </c>
      <c r="AE42">
        <v>134.10387474999999</v>
      </c>
      <c r="AF42">
        <v>435.91050150000001</v>
      </c>
      <c r="AG42">
        <v>219.20448999999999</v>
      </c>
      <c r="AH42">
        <v>778.010535</v>
      </c>
      <c r="AI42">
        <v>141.46437499999999</v>
      </c>
      <c r="AJ42">
        <v>94.454674999999995</v>
      </c>
      <c r="AK42">
        <v>214.695041</v>
      </c>
      <c r="AL42">
        <v>313.79845299999999</v>
      </c>
      <c r="AM42">
        <v>627.51855650000005</v>
      </c>
      <c r="AN42">
        <v>261.14758899999998</v>
      </c>
      <c r="AO42">
        <v>282.963572</v>
      </c>
      <c r="AP42">
        <v>82.789304999999999</v>
      </c>
      <c r="AQ42">
        <v>61.103904499999999</v>
      </c>
      <c r="AR42" cm="1">
        <f t="array" ref="AR42">SUMPRODUCT($B$162:$U$162,(B42:U42)/($B$11:$U$11))</f>
        <v>27237.413819124151</v>
      </c>
      <c r="AS42">
        <f t="shared" si="0"/>
        <v>-317.87670266436544</v>
      </c>
      <c r="AT42">
        <f t="shared" si="1"/>
        <v>0.98846404096472817</v>
      </c>
      <c r="AU42" cm="1">
        <f t="array" ref="AU42">SUMPRODUCT($X$162:$AQ$162,(X42:AQ42)/($X$11:$AQ$11))</f>
        <v>26919.198523155454</v>
      </c>
      <c r="AV42">
        <f t="shared" si="2"/>
        <v>-375.60348742360293</v>
      </c>
      <c r="AW42">
        <f t="shared" si="3"/>
        <v>375.60348742360293</v>
      </c>
      <c r="AX42">
        <f t="shared" si="4"/>
        <v>57.726784759237489</v>
      </c>
    </row>
    <row r="43" spans="1:50" x14ac:dyDescent="0.2">
      <c r="A43" s="3">
        <v>45820</v>
      </c>
      <c r="B43">
        <v>148.07836159999999</v>
      </c>
      <c r="C43">
        <v>55.011387599999999</v>
      </c>
      <c r="D43">
        <v>229.4126809</v>
      </c>
      <c r="E43">
        <v>73.918314600000002</v>
      </c>
      <c r="F43">
        <v>37.433988800000002</v>
      </c>
      <c r="G43">
        <v>137.08817070000001</v>
      </c>
      <c r="H43">
        <v>48.277413600000003</v>
      </c>
      <c r="I43">
        <v>262.12425459999997</v>
      </c>
      <c r="J43">
        <v>19.027793200000001</v>
      </c>
      <c r="K43">
        <v>48.588212400000003</v>
      </c>
      <c r="L43">
        <v>66.847641899999999</v>
      </c>
      <c r="M43">
        <v>12.345618999999999</v>
      </c>
      <c r="N43">
        <v>85.253837500000003</v>
      </c>
      <c r="O43">
        <v>81.006253900000004</v>
      </c>
      <c r="P43">
        <v>20.3486881</v>
      </c>
      <c r="Q43">
        <v>35.551929399999999</v>
      </c>
      <c r="R43">
        <v>42.199570399999999</v>
      </c>
      <c r="S43">
        <v>16.161537599999999</v>
      </c>
      <c r="T43">
        <v>67.780038300000001</v>
      </c>
      <c r="U43">
        <v>23.6120755</v>
      </c>
      <c r="V43" s="6"/>
      <c r="W43" s="3">
        <v>45820</v>
      </c>
      <c r="X43">
        <v>29.1201209</v>
      </c>
      <c r="Y43">
        <v>865.66962430000001</v>
      </c>
      <c r="Z43">
        <v>154.3461374</v>
      </c>
      <c r="AA43">
        <v>60.424466700000004</v>
      </c>
      <c r="AB43">
        <v>124.9842841</v>
      </c>
      <c r="AC43">
        <v>853.18587249999996</v>
      </c>
      <c r="AD43">
        <v>189.414602</v>
      </c>
      <c r="AE43">
        <v>132.51252170000001</v>
      </c>
      <c r="AF43">
        <v>427.3397167</v>
      </c>
      <c r="AG43">
        <v>216.56633049999999</v>
      </c>
      <c r="AH43">
        <v>773.90627859999995</v>
      </c>
      <c r="AI43">
        <v>139.85946000000001</v>
      </c>
      <c r="AJ43">
        <v>93.619505200000006</v>
      </c>
      <c r="AK43">
        <v>212.3878133</v>
      </c>
      <c r="AL43">
        <v>313.52692280000002</v>
      </c>
      <c r="AM43">
        <v>620.36303810000004</v>
      </c>
      <c r="AN43">
        <v>255.3989139</v>
      </c>
      <c r="AO43">
        <v>280.70311620000001</v>
      </c>
      <c r="AP43">
        <v>81.653751400000004</v>
      </c>
      <c r="AQ43">
        <v>60.156834400000001</v>
      </c>
      <c r="AR43" cm="1">
        <f t="array" ref="AR43">SUMPRODUCT($B$162:$U$162,(B43:U43)/($B$11:$U$11))</f>
        <v>26983.378498276812</v>
      </c>
      <c r="AS43">
        <f t="shared" si="0"/>
        <v>-254.03532084733888</v>
      </c>
      <c r="AT43">
        <f t="shared" si="1"/>
        <v>0.99067329510304047</v>
      </c>
      <c r="AU43" cm="1">
        <f t="array" ref="AU43">SUMPRODUCT($X$162:$AQ$162,(X43:AQ43)/($X$11:$AQ$11))</f>
        <v>26677.390052942883</v>
      </c>
      <c r="AV43">
        <f t="shared" si="2"/>
        <v>-241.80847021257068</v>
      </c>
      <c r="AW43">
        <f t="shared" si="3"/>
        <v>241.80847021257068</v>
      </c>
      <c r="AX43">
        <f t="shared" si="4"/>
        <v>-12.226850634768198</v>
      </c>
    </row>
    <row r="44" spans="1:50" x14ac:dyDescent="0.2">
      <c r="A44" s="3">
        <v>45821</v>
      </c>
      <c r="B44">
        <v>148.19927999999999</v>
      </c>
      <c r="C44">
        <v>55.280408999999999</v>
      </c>
      <c r="D44">
        <v>223.40695199999999</v>
      </c>
      <c r="E44">
        <v>72.654004499999999</v>
      </c>
      <c r="F44">
        <v>35.976413999999998</v>
      </c>
      <c r="G44">
        <v>135.82048499999999</v>
      </c>
      <c r="H44">
        <v>50.121135000000002</v>
      </c>
      <c r="I44">
        <v>263.70295950000002</v>
      </c>
      <c r="J44">
        <v>18.568192499999999</v>
      </c>
      <c r="K44">
        <v>47.437620000000003</v>
      </c>
      <c r="L44">
        <v>64.058099999999996</v>
      </c>
      <c r="M44">
        <v>11.807466</v>
      </c>
      <c r="N44">
        <v>84.245058</v>
      </c>
      <c r="O44">
        <v>86.504404500000007</v>
      </c>
      <c r="P44">
        <v>19.399216500000001</v>
      </c>
      <c r="Q44">
        <v>35.439711000000003</v>
      </c>
      <c r="R44">
        <v>40.720176000000002</v>
      </c>
      <c r="S44">
        <v>15.391257</v>
      </c>
      <c r="T44">
        <v>66.681019500000005</v>
      </c>
      <c r="U44">
        <v>23.086885500000001</v>
      </c>
      <c r="V44" s="6"/>
      <c r="W44" s="3">
        <v>45821</v>
      </c>
      <c r="X44">
        <v>29.033901</v>
      </c>
      <c r="Y44">
        <v>857.17528649999997</v>
      </c>
      <c r="Z44">
        <v>152.82185100000001</v>
      </c>
      <c r="AA44">
        <v>58.266901500000003</v>
      </c>
      <c r="AB44">
        <v>123.199308</v>
      </c>
      <c r="AC44">
        <v>841.25598300000001</v>
      </c>
      <c r="AD44">
        <v>188.17499699999999</v>
      </c>
      <c r="AE44">
        <v>132.63489300000001</v>
      </c>
      <c r="AF44">
        <v>414.52515899999997</v>
      </c>
      <c r="AG44">
        <v>212.08425</v>
      </c>
      <c r="AH44">
        <v>772.71381599999995</v>
      </c>
      <c r="AI44">
        <v>136.9371735</v>
      </c>
      <c r="AJ44">
        <v>92.866932000000006</v>
      </c>
      <c r="AK44">
        <v>209.037162</v>
      </c>
      <c r="AL44">
        <v>307.01142900000002</v>
      </c>
      <c r="AM44">
        <v>582.59110650000002</v>
      </c>
      <c r="AN44">
        <v>250.086285</v>
      </c>
      <c r="AO44">
        <v>275.14685250000002</v>
      </c>
      <c r="AP44">
        <v>79.276227000000006</v>
      </c>
      <c r="AQ44">
        <v>58.214962499999999</v>
      </c>
      <c r="AR44" cm="1">
        <f t="array" ref="AR44">SUMPRODUCT($B$162:$U$162,(B44:U44)/($B$11:$U$11))</f>
        <v>26628.898435514937</v>
      </c>
      <c r="AS44">
        <f t="shared" si="0"/>
        <v>-354.48006276187516</v>
      </c>
      <c r="AT44">
        <f t="shared" si="1"/>
        <v>0.98686302151583749</v>
      </c>
      <c r="AU44" cm="1">
        <f t="array" ref="AU44">SUMPRODUCT($X$162:$AQ$162,(X44:AQ44)/($X$11:$AQ$11))</f>
        <v>26192.798866719735</v>
      </c>
      <c r="AV44">
        <f t="shared" si="2"/>
        <v>-484.59118622314782</v>
      </c>
      <c r="AW44">
        <f t="shared" si="3"/>
        <v>484.59118622314782</v>
      </c>
      <c r="AX44">
        <f t="shared" si="4"/>
        <v>130.11112346127265</v>
      </c>
    </row>
    <row r="45" spans="1:50" x14ac:dyDescent="0.2">
      <c r="A45" s="3">
        <v>45824</v>
      </c>
      <c r="B45">
        <v>148.43056799999999</v>
      </c>
      <c r="C45">
        <v>54.338043599999999</v>
      </c>
      <c r="D45">
        <v>228.9688558</v>
      </c>
      <c r="E45">
        <v>73.627097599999999</v>
      </c>
      <c r="F45">
        <v>37.790976200000003</v>
      </c>
      <c r="G45">
        <v>136.5457428</v>
      </c>
      <c r="H45">
        <v>50.272637600000003</v>
      </c>
      <c r="I45">
        <v>265.19421820000002</v>
      </c>
      <c r="J45">
        <v>18.726817</v>
      </c>
      <c r="K45">
        <v>47.824744199999998</v>
      </c>
      <c r="L45">
        <v>67.918229600000004</v>
      </c>
      <c r="M45">
        <v>11.763728</v>
      </c>
      <c r="N45">
        <v>84.5777444</v>
      </c>
      <c r="O45">
        <v>87.138085200000006</v>
      </c>
      <c r="P45">
        <v>20.6211232</v>
      </c>
      <c r="Q45">
        <v>36.251311800000003</v>
      </c>
      <c r="R45">
        <v>42.781910799999999</v>
      </c>
      <c r="S45">
        <v>16.045379000000001</v>
      </c>
      <c r="T45">
        <v>69.189750200000006</v>
      </c>
      <c r="U45">
        <v>22.48948</v>
      </c>
      <c r="V45" s="6"/>
      <c r="W45" s="3">
        <v>45824</v>
      </c>
      <c r="X45">
        <v>28.8730324</v>
      </c>
      <c r="Y45">
        <v>851.4517128</v>
      </c>
      <c r="Z45">
        <v>155.480155</v>
      </c>
      <c r="AA45">
        <v>64.518858199999997</v>
      </c>
      <c r="AB45">
        <v>125.4826486</v>
      </c>
      <c r="AC45">
        <v>849.49685799999997</v>
      </c>
      <c r="AD45">
        <v>187.38061740000001</v>
      </c>
      <c r="AE45">
        <v>132.93012640000001</v>
      </c>
      <c r="AF45">
        <v>414.68006179999998</v>
      </c>
      <c r="AG45">
        <v>213.13972179999999</v>
      </c>
      <c r="AH45">
        <v>768.231987</v>
      </c>
      <c r="AI45">
        <v>140.36030460000001</v>
      </c>
      <c r="AJ45">
        <v>92.397163599999999</v>
      </c>
      <c r="AK45">
        <v>211.44436099999999</v>
      </c>
      <c r="AL45">
        <v>305.82232879999998</v>
      </c>
      <c r="AM45">
        <v>611.18621819999998</v>
      </c>
      <c r="AN45">
        <v>251.2507406</v>
      </c>
      <c r="AO45">
        <v>280.513014</v>
      </c>
      <c r="AP45">
        <v>80.624785799999998</v>
      </c>
      <c r="AQ45">
        <v>59.839316400000001</v>
      </c>
      <c r="AR45" cm="1">
        <f t="array" ref="AR45">SUMPRODUCT($B$162:$U$162,(B45:U45)/($B$11:$U$11))</f>
        <v>27063.211931409256</v>
      </c>
      <c r="AS45">
        <f t="shared" si="0"/>
        <v>434.3134958943192</v>
      </c>
      <c r="AT45">
        <f t="shared" si="1"/>
        <v>1.0163098558863057</v>
      </c>
      <c r="AU45" cm="1">
        <f t="array" ref="AU45">SUMPRODUCT($X$162:$AQ$162,(X45:AQ45)/($X$11:$AQ$11))</f>
        <v>26621.731591554722</v>
      </c>
      <c r="AV45">
        <f t="shared" si="2"/>
        <v>428.93272483498731</v>
      </c>
      <c r="AW45">
        <f t="shared" si="3"/>
        <v>-428.93272483498731</v>
      </c>
      <c r="AX45">
        <f t="shared" si="4"/>
        <v>5.3807710593318916</v>
      </c>
    </row>
    <row r="46" spans="1:50" x14ac:dyDescent="0.2">
      <c r="A46" s="3">
        <v>45825</v>
      </c>
      <c r="B46">
        <v>149.9440592</v>
      </c>
      <c r="C46">
        <v>54.674001599999997</v>
      </c>
      <c r="D46">
        <v>228.56624919999999</v>
      </c>
      <c r="E46">
        <v>73.839521599999998</v>
      </c>
      <c r="F46">
        <v>37.555707599999998</v>
      </c>
      <c r="G46">
        <v>136.8853708</v>
      </c>
      <c r="H46">
        <v>50.980283200000002</v>
      </c>
      <c r="I46">
        <v>265.17239239999998</v>
      </c>
      <c r="J46">
        <v>18.6776704</v>
      </c>
      <c r="K46">
        <v>46.999082000000001</v>
      </c>
      <c r="L46">
        <v>64.178357199999994</v>
      </c>
      <c r="M46">
        <v>11.804218000000001</v>
      </c>
      <c r="N46">
        <v>84.885830400000003</v>
      </c>
      <c r="O46">
        <v>89.276476799999998</v>
      </c>
      <c r="P46">
        <v>20.280604799999999</v>
      </c>
      <c r="Q46">
        <v>36.039889199999998</v>
      </c>
      <c r="R46">
        <v>41.223291199999998</v>
      </c>
      <c r="S46">
        <v>15.7941308</v>
      </c>
      <c r="T46">
        <v>68.542868799999994</v>
      </c>
      <c r="U46">
        <v>22.258137999999999</v>
      </c>
      <c r="V46" s="6"/>
      <c r="W46" s="3">
        <v>45825</v>
      </c>
      <c r="X46">
        <v>29.2099948</v>
      </c>
      <c r="Y46">
        <v>851.75055520000001</v>
      </c>
      <c r="Z46">
        <v>153.39385279999999</v>
      </c>
      <c r="AA46">
        <v>65.154056400000002</v>
      </c>
      <c r="AB46">
        <v>123.8876636</v>
      </c>
      <c r="AC46">
        <v>844.31084880000003</v>
      </c>
      <c r="AD46">
        <v>188.19669479999999</v>
      </c>
      <c r="AE46">
        <v>132.8693232</v>
      </c>
      <c r="AF46">
        <v>414.14946400000002</v>
      </c>
      <c r="AG46">
        <v>210.58550679999999</v>
      </c>
      <c r="AH46">
        <v>772.50984159999996</v>
      </c>
      <c r="AI46">
        <v>139.8124684</v>
      </c>
      <c r="AJ46">
        <v>91.550204399999998</v>
      </c>
      <c r="AK46">
        <v>210.10636880000001</v>
      </c>
      <c r="AL46">
        <v>303.84318480000002</v>
      </c>
      <c r="AM46">
        <v>601.85830920000001</v>
      </c>
      <c r="AN46">
        <v>248.71618000000001</v>
      </c>
      <c r="AO46">
        <v>279.12837560000003</v>
      </c>
      <c r="AP46">
        <v>79.780832799999999</v>
      </c>
      <c r="AQ46">
        <v>58.890416000000002</v>
      </c>
      <c r="AR46" cm="1">
        <f t="array" ref="AR46">SUMPRODUCT($B$162:$U$162,(B46:U46)/($B$11:$U$11))</f>
        <v>26966.602902317733</v>
      </c>
      <c r="AS46">
        <f t="shared" si="0"/>
        <v>-96.609029091523553</v>
      </c>
      <c r="AT46">
        <f t="shared" si="1"/>
        <v>0.99643024525927015</v>
      </c>
      <c r="AU46" cm="1">
        <f t="array" ref="AU46">SUMPRODUCT($X$162:$AQ$162,(X46:AQ46)/($X$11:$AQ$11))</f>
        <v>26530.058685100845</v>
      </c>
      <c r="AV46">
        <f t="shared" si="2"/>
        <v>-91.672906453877658</v>
      </c>
      <c r="AW46">
        <f t="shared" si="3"/>
        <v>91.672906453877658</v>
      </c>
      <c r="AX46">
        <f t="shared" si="4"/>
        <v>-4.9361226376458944</v>
      </c>
    </row>
    <row r="47" spans="1:50" x14ac:dyDescent="0.2">
      <c r="A47" s="3">
        <v>45826</v>
      </c>
      <c r="B47">
        <v>148.2975668</v>
      </c>
      <c r="C47">
        <v>54.621732000000002</v>
      </c>
      <c r="D47">
        <v>233.27922480000001</v>
      </c>
      <c r="E47">
        <v>72.6895904</v>
      </c>
      <c r="F47">
        <v>38.740485200000002</v>
      </c>
      <c r="G47">
        <v>136.85923600000001</v>
      </c>
      <c r="H47">
        <v>50.753781600000003</v>
      </c>
      <c r="I47">
        <v>262.90737639999998</v>
      </c>
      <c r="J47">
        <v>18.607977600000002</v>
      </c>
      <c r="K47">
        <v>46.363135200000002</v>
      </c>
      <c r="L47">
        <v>64.727187999999998</v>
      </c>
      <c r="M47">
        <v>12.2572212</v>
      </c>
      <c r="N47">
        <v>84.528654799999998</v>
      </c>
      <c r="O47">
        <v>87.386059599999996</v>
      </c>
      <c r="P47">
        <v>20.568087599999998</v>
      </c>
      <c r="Q47">
        <v>35.874368799999999</v>
      </c>
      <c r="R47">
        <v>41.432369600000001</v>
      </c>
      <c r="S47">
        <v>16.0206324</v>
      </c>
      <c r="T47">
        <v>68.560292000000004</v>
      </c>
      <c r="U47">
        <v>22.127464</v>
      </c>
      <c r="V47" s="6"/>
      <c r="W47" s="3">
        <v>45826</v>
      </c>
      <c r="X47">
        <v>29.40165</v>
      </c>
      <c r="Y47">
        <v>849.29388400000005</v>
      </c>
      <c r="Z47">
        <v>153.06281200000001</v>
      </c>
      <c r="AA47">
        <v>65.093075200000001</v>
      </c>
      <c r="AB47">
        <v>124.14901159999999</v>
      </c>
      <c r="AC47">
        <v>853.3186432</v>
      </c>
      <c r="AD47">
        <v>186.70701120000001</v>
      </c>
      <c r="AE47">
        <v>130.9527712</v>
      </c>
      <c r="AF47">
        <v>412.59879919999997</v>
      </c>
      <c r="AG47">
        <v>202.8234712</v>
      </c>
      <c r="AH47">
        <v>772.58824600000003</v>
      </c>
      <c r="AI47">
        <v>139.50756240000001</v>
      </c>
      <c r="AJ47">
        <v>91.5414928</v>
      </c>
      <c r="AK47">
        <v>210.21961959999999</v>
      </c>
      <c r="AL47">
        <v>302.31865479999999</v>
      </c>
      <c r="AM47">
        <v>603.92295839999997</v>
      </c>
      <c r="AN47">
        <v>248.28059999999999</v>
      </c>
      <c r="AO47">
        <v>280.33928800000001</v>
      </c>
      <c r="AP47">
        <v>80.268682400000003</v>
      </c>
      <c r="AQ47">
        <v>58.942685599999997</v>
      </c>
      <c r="AR47" cm="1">
        <f t="array" ref="AR47">SUMPRODUCT($B$162:$U$162,(B47:U47)/($B$11:$U$11))</f>
        <v>27012.671694276323</v>
      </c>
      <c r="AS47">
        <f t="shared" si="0"/>
        <v>46.068791958590737</v>
      </c>
      <c r="AT47">
        <f t="shared" si="1"/>
        <v>1.0017083646807672</v>
      </c>
      <c r="AU47" cm="1">
        <f t="array" ref="AU47">SUMPRODUCT($X$162:$AQ$162,(X47:AQ47)/($X$11:$AQ$11))</f>
        <v>26488.068876858961</v>
      </c>
      <c r="AV47">
        <f t="shared" si="2"/>
        <v>-41.98980824188402</v>
      </c>
      <c r="AW47">
        <f t="shared" si="3"/>
        <v>41.98980824188402</v>
      </c>
      <c r="AX47">
        <f t="shared" si="4"/>
        <v>88.058600200474757</v>
      </c>
    </row>
    <row r="48" spans="1:50" x14ac:dyDescent="0.2">
      <c r="A48" s="3">
        <v>45828</v>
      </c>
      <c r="B48">
        <v>150.44178600000001</v>
      </c>
      <c r="C48">
        <v>54.200355000000002</v>
      </c>
      <c r="D48">
        <v>236.40728100000001</v>
      </c>
      <c r="E48">
        <v>72.712661999999995</v>
      </c>
      <c r="F48">
        <v>39.333227999999998</v>
      </c>
      <c r="G48">
        <v>136.49463299999999</v>
      </c>
      <c r="H48">
        <v>50.537816999999997</v>
      </c>
      <c r="I48">
        <v>263.10388499999999</v>
      </c>
      <c r="J48">
        <v>18.564381000000001</v>
      </c>
      <c r="K48">
        <v>46.458686999999998</v>
      </c>
      <c r="L48">
        <v>64.458933000000002</v>
      </c>
      <c r="M48">
        <v>12.037773</v>
      </c>
      <c r="N48">
        <v>83.951966999999996</v>
      </c>
      <c r="O48">
        <v>87.102444000000006</v>
      </c>
      <c r="P48">
        <v>20.629982999999999</v>
      </c>
      <c r="Q48">
        <v>34.906937999999997</v>
      </c>
      <c r="R48">
        <v>40.964880000000001</v>
      </c>
      <c r="S48">
        <v>16.368594000000002</v>
      </c>
      <c r="T48">
        <v>68.026002000000005</v>
      </c>
      <c r="U48">
        <v>22.47861</v>
      </c>
      <c r="V48" s="6"/>
      <c r="W48" s="3">
        <v>45828</v>
      </c>
      <c r="X48">
        <v>29.274266999999998</v>
      </c>
      <c r="Y48">
        <v>850.79369099999997</v>
      </c>
      <c r="Z48">
        <v>151.77835200000001</v>
      </c>
      <c r="AA48">
        <v>65.257401000000002</v>
      </c>
      <c r="AB48">
        <v>125.003637</v>
      </c>
      <c r="AC48">
        <v>845.71647599999994</v>
      </c>
      <c r="AD48">
        <v>187.64865900000001</v>
      </c>
      <c r="AE48">
        <v>129.42124799999999</v>
      </c>
      <c r="AF48">
        <v>408.37298700000002</v>
      </c>
      <c r="AG48">
        <v>201.48298500000001</v>
      </c>
      <c r="AH48">
        <v>766.25155199999995</v>
      </c>
      <c r="AI48">
        <v>138.30854400000001</v>
      </c>
      <c r="AJ48">
        <v>91.728351000000004</v>
      </c>
      <c r="AK48">
        <v>208.83409800000001</v>
      </c>
      <c r="AL48">
        <v>303.43519800000001</v>
      </c>
      <c r="AM48">
        <v>595.29260999999997</v>
      </c>
      <c r="AN48">
        <v>250.406508</v>
      </c>
      <c r="AO48">
        <v>278.93438099999997</v>
      </c>
      <c r="AP48">
        <v>80.896958999999995</v>
      </c>
      <c r="AQ48">
        <v>58.192695000000001</v>
      </c>
      <c r="AR48" cm="1">
        <f t="array" ref="AR48">SUMPRODUCT($B$162:$U$162,(B48:U48)/($B$11:$U$11))</f>
        <v>27055.836810858225</v>
      </c>
      <c r="AS48">
        <f t="shared" si="0"/>
        <v>43.165116581902112</v>
      </c>
      <c r="AT48">
        <f t="shared" si="1"/>
        <v>1.0015979580646608</v>
      </c>
      <c r="AU48" cm="1">
        <f t="array" ref="AU48">SUMPRODUCT($X$162:$AQ$162,(X48:AQ48)/($X$11:$AQ$11))</f>
        <v>26402.301243404083</v>
      </c>
      <c r="AV48">
        <f t="shared" si="2"/>
        <v>-85.767633454877796</v>
      </c>
      <c r="AW48">
        <f t="shared" si="3"/>
        <v>85.767633454877796</v>
      </c>
      <c r="AX48">
        <f t="shared" si="4"/>
        <v>128.93275003677991</v>
      </c>
    </row>
    <row r="49" spans="1:50" x14ac:dyDescent="0.2">
      <c r="A49" s="3">
        <v>45831</v>
      </c>
      <c r="B49">
        <v>151.71973180000001</v>
      </c>
      <c r="C49">
        <v>54.881025800000003</v>
      </c>
      <c r="D49">
        <v>236.4212048</v>
      </c>
      <c r="E49">
        <v>73.6354264</v>
      </c>
      <c r="F49">
        <v>35.323235400000002</v>
      </c>
      <c r="G49">
        <v>137.4228488</v>
      </c>
      <c r="H49">
        <v>51.365115600000003</v>
      </c>
      <c r="I49">
        <v>265.78380620000001</v>
      </c>
      <c r="J49">
        <v>18.4606882</v>
      </c>
      <c r="K49">
        <v>46.726187400000001</v>
      </c>
      <c r="L49">
        <v>66.491304200000002</v>
      </c>
      <c r="M49">
        <v>11.929906600000001</v>
      </c>
      <c r="N49">
        <v>85.047016999999997</v>
      </c>
      <c r="O49">
        <v>83.388405800000001</v>
      </c>
      <c r="P49">
        <v>20.767194400000001</v>
      </c>
      <c r="Q49">
        <v>35.366428399999997</v>
      </c>
      <c r="R49">
        <v>41.681244999999997</v>
      </c>
      <c r="S49">
        <v>16.067796000000001</v>
      </c>
      <c r="T49">
        <v>68.486820800000004</v>
      </c>
      <c r="U49">
        <v>22.175286199999999</v>
      </c>
      <c r="V49" s="6"/>
      <c r="W49" s="3">
        <v>45831</v>
      </c>
      <c r="X49">
        <v>29.388517199999999</v>
      </c>
      <c r="Y49">
        <v>867.73009279999997</v>
      </c>
      <c r="Z49">
        <v>153.36106580000001</v>
      </c>
      <c r="AA49">
        <v>68.098083799999998</v>
      </c>
      <c r="AB49">
        <v>127.505736</v>
      </c>
      <c r="AC49">
        <v>852.02511800000002</v>
      </c>
      <c r="AD49">
        <v>189.28036460000001</v>
      </c>
      <c r="AE49">
        <v>130.65882500000001</v>
      </c>
      <c r="AF49">
        <v>406.86078279999998</v>
      </c>
      <c r="AG49">
        <v>201.2534642</v>
      </c>
      <c r="AH49">
        <v>768.81812279999997</v>
      </c>
      <c r="AI49">
        <v>139.14193019999999</v>
      </c>
      <c r="AJ49">
        <v>92.545321799999996</v>
      </c>
      <c r="AK49">
        <v>210.954612</v>
      </c>
      <c r="AL49">
        <v>308.36346559999998</v>
      </c>
      <c r="AM49">
        <v>598.32671319999997</v>
      </c>
      <c r="AN49">
        <v>253.94028560000001</v>
      </c>
      <c r="AO49">
        <v>279.72650659999999</v>
      </c>
      <c r="AP49">
        <v>81.194201399999997</v>
      </c>
      <c r="AQ49">
        <v>57.455328600000001</v>
      </c>
      <c r="AR49" cm="1">
        <f t="array" ref="AR49">SUMPRODUCT($B$162:$U$162,(B49:U49)/($B$11:$U$11))</f>
        <v>27033.975563683016</v>
      </c>
      <c r="AS49">
        <f t="shared" si="0"/>
        <v>-21.861247175209428</v>
      </c>
      <c r="AT49">
        <f t="shared" si="1"/>
        <v>0.9991919951569771</v>
      </c>
      <c r="AU49" cm="1">
        <f t="array" ref="AU49">SUMPRODUCT($X$162:$AQ$162,(X49:AQ49)/($X$11:$AQ$11))</f>
        <v>26687.340846763498</v>
      </c>
      <c r="AV49">
        <f t="shared" si="2"/>
        <v>285.0396033594152</v>
      </c>
      <c r="AW49">
        <f t="shared" si="3"/>
        <v>-285.0396033594152</v>
      </c>
      <c r="AX49">
        <f t="shared" si="4"/>
        <v>-306.90085053462462</v>
      </c>
    </row>
    <row r="50" spans="1:50" x14ac:dyDescent="0.2">
      <c r="A50" s="3">
        <v>45832</v>
      </c>
      <c r="B50">
        <v>152.10975790000001</v>
      </c>
      <c r="C50">
        <v>54.574124500000003</v>
      </c>
      <c r="D50">
        <v>241.6164909</v>
      </c>
      <c r="E50">
        <v>78.953725500000004</v>
      </c>
      <c r="F50">
        <v>36.905374799999997</v>
      </c>
      <c r="G50">
        <v>137.93857639999999</v>
      </c>
      <c r="H50">
        <v>50.042792300000002</v>
      </c>
      <c r="I50">
        <v>267.83102300000002</v>
      </c>
      <c r="J50">
        <v>18.254549300000001</v>
      </c>
      <c r="K50">
        <v>46.338471300000002</v>
      </c>
      <c r="L50">
        <v>68.073359400000001</v>
      </c>
      <c r="M50">
        <v>12.198415199999999</v>
      </c>
      <c r="N50">
        <v>86.414055700000006</v>
      </c>
      <c r="O50">
        <v>81.563979599999996</v>
      </c>
      <c r="P50">
        <v>22.139779000000001</v>
      </c>
      <c r="Q50">
        <v>36.1903547</v>
      </c>
      <c r="R50">
        <v>42.694453199999998</v>
      </c>
      <c r="S50">
        <v>16.712517999999999</v>
      </c>
      <c r="T50">
        <v>68.969288199999994</v>
      </c>
      <c r="U50">
        <v>23.087395999999998</v>
      </c>
      <c r="V50" s="6"/>
      <c r="W50" s="3">
        <v>45832</v>
      </c>
      <c r="X50">
        <v>29.1435301</v>
      </c>
      <c r="Y50">
        <v>863.12402239999994</v>
      </c>
      <c r="Z50">
        <v>155.01291180000001</v>
      </c>
      <c r="AA50">
        <v>66.376263499999993</v>
      </c>
      <c r="AB50">
        <v>129.1085089</v>
      </c>
      <c r="AC50">
        <v>865.75150589999998</v>
      </c>
      <c r="AD50">
        <v>189.2391149</v>
      </c>
      <c r="AE50">
        <v>131.15880749999999</v>
      </c>
      <c r="AF50">
        <v>412.6269006</v>
      </c>
      <c r="AG50">
        <v>202.48852350000001</v>
      </c>
      <c r="AH50">
        <v>780.92255499999999</v>
      </c>
      <c r="AI50">
        <v>141.9099531</v>
      </c>
      <c r="AJ50">
        <v>93.150751099999994</v>
      </c>
      <c r="AK50">
        <v>211.749326</v>
      </c>
      <c r="AL50">
        <v>310.49101739999998</v>
      </c>
      <c r="AM50">
        <v>617.31217260000005</v>
      </c>
      <c r="AN50">
        <v>259.0784878</v>
      </c>
      <c r="AO50">
        <v>280.79614650000002</v>
      </c>
      <c r="AP50">
        <v>81.925797000000003</v>
      </c>
      <c r="AQ50">
        <v>58.9676215</v>
      </c>
      <c r="AR50" cm="1">
        <f t="array" ref="AR50">SUMPRODUCT($B$162:$U$162,(B50:U50)/($B$11:$U$11))</f>
        <v>27476.03426109361</v>
      </c>
      <c r="AS50">
        <f t="shared" si="0"/>
        <v>442.0586974105936</v>
      </c>
      <c r="AT50">
        <f t="shared" si="1"/>
        <v>1.0163519677810335</v>
      </c>
      <c r="AU50" cm="1">
        <f t="array" ref="AU50">SUMPRODUCT($X$162:$AQ$162,(X50:AQ50)/($X$11:$AQ$11))</f>
        <v>26826.60012101756</v>
      </c>
      <c r="AV50">
        <f t="shared" si="2"/>
        <v>139.25927425406189</v>
      </c>
      <c r="AW50">
        <f t="shared" si="3"/>
        <v>-139.25927425406189</v>
      </c>
      <c r="AX50">
        <f t="shared" si="4"/>
        <v>302.7994231565317</v>
      </c>
    </row>
    <row r="51" spans="1:50" x14ac:dyDescent="0.2">
      <c r="A51" s="3">
        <v>45833</v>
      </c>
      <c r="B51">
        <v>151.02557680000001</v>
      </c>
      <c r="C51">
        <v>54.473162100000003</v>
      </c>
      <c r="D51">
        <v>243.8812614</v>
      </c>
      <c r="E51">
        <v>77.965839000000003</v>
      </c>
      <c r="F51">
        <v>39.9778631</v>
      </c>
      <c r="G51">
        <v>135.00355400000001</v>
      </c>
      <c r="H51">
        <v>49.798642600000001</v>
      </c>
      <c r="I51">
        <v>262.65653329999998</v>
      </c>
      <c r="J51">
        <v>18.157720699999999</v>
      </c>
      <c r="K51">
        <v>45.467207100000003</v>
      </c>
      <c r="L51">
        <v>65.812088299999999</v>
      </c>
      <c r="M51">
        <v>11.827820900000001</v>
      </c>
      <c r="N51">
        <v>85.916810699999999</v>
      </c>
      <c r="O51">
        <v>78.394694000000001</v>
      </c>
      <c r="P51">
        <v>21.854450799999999</v>
      </c>
      <c r="Q51">
        <v>35.6893131</v>
      </c>
      <c r="R51">
        <v>41.435970099999999</v>
      </c>
      <c r="S51">
        <v>16.313644199999999</v>
      </c>
      <c r="T51">
        <v>68.213676300000003</v>
      </c>
      <c r="U51">
        <v>23.0380906</v>
      </c>
      <c r="V51" s="6"/>
      <c r="W51" s="3">
        <v>45833</v>
      </c>
      <c r="X51">
        <v>28.2701216</v>
      </c>
      <c r="Y51">
        <v>846.16522339999995</v>
      </c>
      <c r="Z51">
        <v>154.43068550000001</v>
      </c>
      <c r="AA51">
        <v>66.523987599999998</v>
      </c>
      <c r="AB51">
        <v>126.7266525</v>
      </c>
      <c r="AC51">
        <v>873.21739679999996</v>
      </c>
      <c r="AD51">
        <v>185.53125009999999</v>
      </c>
      <c r="AE51">
        <v>118.3125174</v>
      </c>
      <c r="AF51">
        <v>417.93635169999999</v>
      </c>
      <c r="AG51">
        <v>191.08921090000001</v>
      </c>
      <c r="AH51">
        <v>707.01893010000003</v>
      </c>
      <c r="AI51">
        <v>140.7673652</v>
      </c>
      <c r="AJ51">
        <v>89.870853800000006</v>
      </c>
      <c r="AK51">
        <v>210.73076990000001</v>
      </c>
      <c r="AL51">
        <v>310.37094059999998</v>
      </c>
      <c r="AM51">
        <v>619.96994219999999</v>
      </c>
      <c r="AN51">
        <v>255.74339069999999</v>
      </c>
      <c r="AO51">
        <v>276.58574370000002</v>
      </c>
      <c r="AP51">
        <v>81.439564500000003</v>
      </c>
      <c r="AQ51">
        <v>57.818231099999998</v>
      </c>
      <c r="AR51" cm="1">
        <f t="array" ref="AR51">SUMPRODUCT($B$162:$U$162,(B51:U51)/($B$11:$U$11))</f>
        <v>27269.487069170016</v>
      </c>
      <c r="AS51">
        <f t="shared" si="0"/>
        <v>-206.54719192359335</v>
      </c>
      <c r="AT51">
        <f t="shared" si="1"/>
        <v>0.99248264178298584</v>
      </c>
      <c r="AU51" cm="1">
        <f t="array" ref="AU51">SUMPRODUCT($X$162:$AQ$162,(X51:AQ51)/($X$11:$AQ$11))</f>
        <v>26316.071953173385</v>
      </c>
      <c r="AV51">
        <f t="shared" si="2"/>
        <v>-510.52816784417519</v>
      </c>
      <c r="AW51">
        <f t="shared" si="3"/>
        <v>510.52816784417519</v>
      </c>
      <c r="AX51">
        <f t="shared" si="4"/>
        <v>303.98097592058184</v>
      </c>
    </row>
    <row r="52" spans="1:50" x14ac:dyDescent="0.2">
      <c r="A52" s="3">
        <v>45834</v>
      </c>
      <c r="B52">
        <v>151.16607450000001</v>
      </c>
      <c r="C52">
        <v>54.132584100000003</v>
      </c>
      <c r="D52">
        <v>252.9178953</v>
      </c>
      <c r="E52">
        <v>79.596182400000004</v>
      </c>
      <c r="F52">
        <v>42.114517900000003</v>
      </c>
      <c r="G52">
        <v>137.276062</v>
      </c>
      <c r="H52">
        <v>50.5938363</v>
      </c>
      <c r="I52">
        <v>264.83338909999998</v>
      </c>
      <c r="J52">
        <v>18.044194699999998</v>
      </c>
      <c r="K52">
        <v>45.465216300000002</v>
      </c>
      <c r="L52">
        <v>66.2874135</v>
      </c>
      <c r="M52">
        <v>12.0351616</v>
      </c>
      <c r="N52">
        <v>86.434342400000006</v>
      </c>
      <c r="O52">
        <v>77.519091299999999</v>
      </c>
      <c r="P52">
        <v>22.369330900000001</v>
      </c>
      <c r="Q52">
        <v>38.0030742</v>
      </c>
      <c r="R52">
        <v>41.858086900000004</v>
      </c>
      <c r="S52">
        <v>16.633824199999999</v>
      </c>
      <c r="T52">
        <v>68.039692000000002</v>
      </c>
      <c r="U52">
        <v>23.5403658</v>
      </c>
      <c r="V52" s="6"/>
      <c r="W52" s="3">
        <v>45834</v>
      </c>
      <c r="X52">
        <v>28.139028400000001</v>
      </c>
      <c r="Y52">
        <v>840.16198069999996</v>
      </c>
      <c r="Z52">
        <v>156.45710080000001</v>
      </c>
      <c r="AA52">
        <v>67.5524731</v>
      </c>
      <c r="AB52">
        <v>128.86512519999999</v>
      </c>
      <c r="AC52">
        <v>881.08836829999996</v>
      </c>
      <c r="AD52">
        <v>184.6474154</v>
      </c>
      <c r="AE52">
        <v>120.5311177</v>
      </c>
      <c r="AF52">
        <v>423.70948900000002</v>
      </c>
      <c r="AG52">
        <v>192.71644420000001</v>
      </c>
      <c r="AH52">
        <v>637.25667810000004</v>
      </c>
      <c r="AI52">
        <v>140.9857638</v>
      </c>
      <c r="AJ52">
        <v>89.229440299999993</v>
      </c>
      <c r="AK52">
        <v>210.91449750000001</v>
      </c>
      <c r="AL52">
        <v>310.70889499999998</v>
      </c>
      <c r="AM52">
        <v>628.40126090000001</v>
      </c>
      <c r="AN52">
        <v>251.52462019999999</v>
      </c>
      <c r="AO52">
        <v>278.83452169999998</v>
      </c>
      <c r="AP52">
        <v>82.211778600000002</v>
      </c>
      <c r="AQ52">
        <v>58.073073800000003</v>
      </c>
      <c r="AR52" cm="1">
        <f t="array" ref="AR52">SUMPRODUCT($B$162:$U$162,(B52:U52)/($B$11:$U$11))</f>
        <v>27687.323631415955</v>
      </c>
      <c r="AS52">
        <f t="shared" si="0"/>
        <v>417.83656224593869</v>
      </c>
      <c r="AT52">
        <f t="shared" si="1"/>
        <v>1.0153224943757131</v>
      </c>
      <c r="AU52" cm="1">
        <f t="array" ref="AU52">SUMPRODUCT($X$162:$AQ$162,(X52:AQ52)/($X$11:$AQ$11))</f>
        <v>26344.5950748865</v>
      </c>
      <c r="AV52">
        <f t="shared" si="2"/>
        <v>28.523121713114961</v>
      </c>
      <c r="AW52">
        <f t="shared" si="3"/>
        <v>-28.523121713114961</v>
      </c>
      <c r="AX52">
        <f t="shared" si="4"/>
        <v>389.31344053282373</v>
      </c>
    </row>
    <row r="53" spans="1:50" x14ac:dyDescent="0.2">
      <c r="A53" s="3">
        <v>45835</v>
      </c>
      <c r="B53">
        <v>157.77886799999999</v>
      </c>
      <c r="C53">
        <v>53.656761600000003</v>
      </c>
      <c r="D53">
        <v>264.11107320000002</v>
      </c>
      <c r="E53">
        <v>78.104379600000001</v>
      </c>
      <c r="F53">
        <v>40.600965600000002</v>
      </c>
      <c r="G53">
        <v>136.95786000000001</v>
      </c>
      <c r="H53">
        <v>48.434443199999997</v>
      </c>
      <c r="I53">
        <v>267.15742560000001</v>
      </c>
      <c r="J53">
        <v>17.8173216</v>
      </c>
      <c r="K53">
        <v>45.567287999999998</v>
      </c>
      <c r="L53">
        <v>67.565877599999993</v>
      </c>
      <c r="M53">
        <v>11.937946800000001</v>
      </c>
      <c r="N53">
        <v>86.245052400000006</v>
      </c>
      <c r="O53">
        <v>77.643586799999994</v>
      </c>
      <c r="P53">
        <v>23.2615032</v>
      </c>
      <c r="Q53">
        <v>37.435148400000003</v>
      </c>
      <c r="R53">
        <v>42.316138799999997</v>
      </c>
      <c r="S53">
        <v>17.219997599999999</v>
      </c>
      <c r="T53">
        <v>67.924272000000002</v>
      </c>
      <c r="U53">
        <v>23.176171199999999</v>
      </c>
      <c r="V53" s="6"/>
      <c r="W53" s="3">
        <v>45835</v>
      </c>
      <c r="X53">
        <v>27.9206304</v>
      </c>
      <c r="Y53">
        <v>840.63966479999999</v>
      </c>
      <c r="Z53">
        <v>156.413556</v>
      </c>
      <c r="AA53">
        <v>68.342398799999998</v>
      </c>
      <c r="AB53">
        <v>129.72170639999999</v>
      </c>
      <c r="AC53">
        <v>894.12576239999999</v>
      </c>
      <c r="AD53">
        <v>185.14484039999999</v>
      </c>
      <c r="AE53">
        <v>122.8268808</v>
      </c>
      <c r="AF53">
        <v>428.9042316</v>
      </c>
      <c r="AG53">
        <v>193.89990359999999</v>
      </c>
      <c r="AH53">
        <v>669.95006520000004</v>
      </c>
      <c r="AI53">
        <v>140.23460879999999</v>
      </c>
      <c r="AJ53">
        <v>90.127658400000001</v>
      </c>
      <c r="AK53">
        <v>211.6745592</v>
      </c>
      <c r="AL53">
        <v>314.6532168</v>
      </c>
      <c r="AM53">
        <v>628.06911960000002</v>
      </c>
      <c r="AN53">
        <v>249.8222298</v>
      </c>
      <c r="AO53">
        <v>281.55293399999999</v>
      </c>
      <c r="AP53">
        <v>82.004052000000001</v>
      </c>
      <c r="AQ53">
        <v>58.691349600000002</v>
      </c>
      <c r="AR53" cm="1">
        <f t="array" ref="AR53">SUMPRODUCT($B$162:$U$162,(B53:U53)/($B$11:$U$11))</f>
        <v>27911.00157744615</v>
      </c>
      <c r="AS53">
        <f t="shared" si="0"/>
        <v>223.67794603019502</v>
      </c>
      <c r="AT53">
        <f t="shared" si="1"/>
        <v>1.0080787131688089</v>
      </c>
      <c r="AU53" cm="1">
        <f t="array" ref="AU53">SUMPRODUCT($X$162:$AQ$162,(X53:AQ53)/($X$11:$AQ$11))</f>
        <v>26500.458669359479</v>
      </c>
      <c r="AV53">
        <f t="shared" si="2"/>
        <v>155.86359447297946</v>
      </c>
      <c r="AW53">
        <f t="shared" si="3"/>
        <v>-155.86359447297946</v>
      </c>
      <c r="AX53">
        <f t="shared" si="4"/>
        <v>67.814351557215559</v>
      </c>
    </row>
    <row r="54" spans="1:50" x14ac:dyDescent="0.2">
      <c r="A54" s="3">
        <v>45838</v>
      </c>
      <c r="B54">
        <v>157.9238598</v>
      </c>
      <c r="C54">
        <v>53.580249000000002</v>
      </c>
      <c r="D54">
        <v>265.68676440000002</v>
      </c>
      <c r="E54">
        <v>79.161317999999994</v>
      </c>
      <c r="F54">
        <v>41.583024600000002</v>
      </c>
      <c r="G54">
        <v>136.39842959999999</v>
      </c>
      <c r="H54">
        <v>49.431279600000003</v>
      </c>
      <c r="I54">
        <v>266.56916280000002</v>
      </c>
      <c r="J54">
        <v>17.758267799999999</v>
      </c>
      <c r="K54">
        <v>43.992651000000002</v>
      </c>
      <c r="L54">
        <v>67.562869800000001</v>
      </c>
      <c r="M54">
        <v>11.827532400000001</v>
      </c>
      <c r="N54">
        <v>85.652037000000007</v>
      </c>
      <c r="O54">
        <v>78.058319999999995</v>
      </c>
      <c r="P54">
        <v>23.8586952</v>
      </c>
      <c r="Q54">
        <v>36.780740999999999</v>
      </c>
      <c r="R54">
        <v>41.727262799999998</v>
      </c>
      <c r="S54">
        <v>17.206768799999999</v>
      </c>
      <c r="T54">
        <v>67.673169599999994</v>
      </c>
      <c r="U54">
        <v>23.409011400000001</v>
      </c>
      <c r="V54" s="6"/>
      <c r="W54" s="3">
        <v>45838</v>
      </c>
      <c r="X54">
        <v>27.829488000000001</v>
      </c>
      <c r="Y54">
        <v>839.92449239999996</v>
      </c>
      <c r="Z54">
        <v>155.46332580000001</v>
      </c>
      <c r="AA54">
        <v>68.555567999999994</v>
      </c>
      <c r="AB54">
        <v>129.16955039999999</v>
      </c>
      <c r="AC54">
        <v>890.24665500000003</v>
      </c>
      <c r="AD54">
        <v>185.50729440000001</v>
      </c>
      <c r="AE54">
        <v>123.4169916</v>
      </c>
      <c r="AF54">
        <v>434.98847280000001</v>
      </c>
      <c r="AG54">
        <v>196.33364399999999</v>
      </c>
      <c r="AH54">
        <v>674.92447619999996</v>
      </c>
      <c r="AI54">
        <v>139.02865560000001</v>
      </c>
      <c r="AJ54">
        <v>89.190115199999994</v>
      </c>
      <c r="AK54">
        <v>209.781735</v>
      </c>
      <c r="AL54">
        <v>311.07937440000001</v>
      </c>
      <c r="AM54">
        <v>620.54667480000001</v>
      </c>
      <c r="AN54">
        <v>247.30912079999999</v>
      </c>
      <c r="AO54">
        <v>281.83295820000001</v>
      </c>
      <c r="AP54">
        <v>81.876390000000001</v>
      </c>
      <c r="AQ54">
        <v>57.8819412</v>
      </c>
      <c r="AR54" cm="1">
        <f t="array" ref="AR54">SUMPRODUCT($B$162:$U$162,(B54:U54)/($B$11:$U$11))</f>
        <v>27958.371856022601</v>
      </c>
      <c r="AS54">
        <f t="shared" si="0"/>
        <v>47.370278576450801</v>
      </c>
      <c r="AT54">
        <f t="shared" si="1"/>
        <v>1.001697190208134</v>
      </c>
      <c r="AU54" cm="1">
        <f t="array" ref="AU54">SUMPRODUCT($X$162:$AQ$162,(X54:AQ54)/($X$11:$AQ$11))</f>
        <v>26435.869078666619</v>
      </c>
      <c r="AV54">
        <f t="shared" si="2"/>
        <v>-64.589590692859929</v>
      </c>
      <c r="AW54">
        <f t="shared" si="3"/>
        <v>64.589590692859929</v>
      </c>
      <c r="AX54">
        <f t="shared" si="4"/>
        <v>111.95986926931073</v>
      </c>
    </row>
    <row r="55" spans="1:50" x14ac:dyDescent="0.2">
      <c r="A55" s="3">
        <v>45839</v>
      </c>
      <c r="B55">
        <v>149.27596199999999</v>
      </c>
      <c r="C55">
        <v>53.257176999999999</v>
      </c>
      <c r="D55">
        <v>266.92120999999997</v>
      </c>
      <c r="E55">
        <v>78.043323000000001</v>
      </c>
      <c r="F55">
        <v>39.98312</v>
      </c>
      <c r="G55">
        <v>139.15311700000001</v>
      </c>
      <c r="H55">
        <v>49.834893000000001</v>
      </c>
      <c r="I55">
        <v>254.12152900000001</v>
      </c>
      <c r="J55">
        <v>17.763687000000001</v>
      </c>
      <c r="K55">
        <v>44.362627000000003</v>
      </c>
      <c r="L55">
        <v>67.810355000000001</v>
      </c>
      <c r="M55">
        <v>11.969523000000001</v>
      </c>
      <c r="N55">
        <v>86.912459999999996</v>
      </c>
      <c r="O55">
        <v>78.348279000000005</v>
      </c>
      <c r="P55">
        <v>24.260943999999999</v>
      </c>
      <c r="Q55">
        <v>37.314754999999998</v>
      </c>
      <c r="R55">
        <v>41.507899999999999</v>
      </c>
      <c r="S55">
        <v>17.772158000000001</v>
      </c>
      <c r="T55">
        <v>67.437630999999996</v>
      </c>
      <c r="U55">
        <v>24.303298999999999</v>
      </c>
      <c r="V55" s="6"/>
      <c r="W55" s="3">
        <v>45839</v>
      </c>
      <c r="X55">
        <v>27.767938000000001</v>
      </c>
      <c r="Y55">
        <v>835.20671600000003</v>
      </c>
      <c r="Z55">
        <v>157.696136</v>
      </c>
      <c r="AA55">
        <v>72.096681000000004</v>
      </c>
      <c r="AB55">
        <v>130.292451</v>
      </c>
      <c r="AC55">
        <v>893.07211700000005</v>
      </c>
      <c r="AD55">
        <v>184.52379300000001</v>
      </c>
      <c r="AE55">
        <v>124.879482</v>
      </c>
      <c r="AF55">
        <v>441.99983800000001</v>
      </c>
      <c r="AG55">
        <v>198.05197999999999</v>
      </c>
      <c r="AH55">
        <v>673.76639799999998</v>
      </c>
      <c r="AI55">
        <v>139.32253700000001</v>
      </c>
      <c r="AJ55">
        <v>90.283918</v>
      </c>
      <c r="AK55">
        <v>216.171449</v>
      </c>
      <c r="AL55">
        <v>316.103836</v>
      </c>
      <c r="AM55">
        <v>632.758287</v>
      </c>
      <c r="AN55">
        <v>257.67087800000002</v>
      </c>
      <c r="AO55">
        <v>286.83653099999998</v>
      </c>
      <c r="AP55">
        <v>83.583357000000007</v>
      </c>
      <c r="AQ55">
        <v>60.711657000000002</v>
      </c>
      <c r="AR55" cm="1">
        <f t="array" ref="AR55">SUMPRODUCT($B$162:$U$162,(B55:U55)/($B$11:$U$11))</f>
        <v>27826.354418923249</v>
      </c>
      <c r="AS55">
        <f t="shared" si="0"/>
        <v>-132.01743709935181</v>
      </c>
      <c r="AT55">
        <f t="shared" si="1"/>
        <v>0.99527807134910418</v>
      </c>
      <c r="AU55" cm="1">
        <f t="array" ref="AU55">SUMPRODUCT($X$162:$AQ$162,(X55:AQ55)/($X$11:$AQ$11))</f>
        <v>26850.541309738757</v>
      </c>
      <c r="AV55">
        <f t="shared" si="2"/>
        <v>414.67223107213795</v>
      </c>
      <c r="AW55">
        <f t="shared" si="3"/>
        <v>-414.67223107213795</v>
      </c>
      <c r="AX55">
        <f t="shared" si="4"/>
        <v>-546.68966817148976</v>
      </c>
    </row>
    <row r="56" spans="1:50" x14ac:dyDescent="0.2">
      <c r="A56" s="3">
        <v>45840</v>
      </c>
      <c r="B56">
        <v>149.13522</v>
      </c>
      <c r="C56">
        <v>53.339467999999997</v>
      </c>
      <c r="D56">
        <v>276.40235999999999</v>
      </c>
      <c r="E56">
        <v>78.02158</v>
      </c>
      <c r="F56">
        <v>41.312024000000001</v>
      </c>
      <c r="G56">
        <v>140.56598399999999</v>
      </c>
      <c r="H56">
        <v>50.906855999999998</v>
      </c>
      <c r="I56">
        <v>255.65311199999999</v>
      </c>
      <c r="J56">
        <v>17.714839999999999</v>
      </c>
      <c r="K56">
        <v>44.719375999999997</v>
      </c>
      <c r="L56">
        <v>68.664075999999994</v>
      </c>
      <c r="M56">
        <v>11.857924000000001</v>
      </c>
      <c r="N56">
        <v>87.158708000000004</v>
      </c>
      <c r="O56">
        <v>79.547259999999994</v>
      </c>
      <c r="P56">
        <v>25.131340000000002</v>
      </c>
      <c r="Q56">
        <v>38.794651999999999</v>
      </c>
      <c r="R56">
        <v>42.490188000000003</v>
      </c>
      <c r="S56">
        <v>18.113212000000001</v>
      </c>
      <c r="T56">
        <v>67.350296</v>
      </c>
      <c r="U56">
        <v>25.665327999999999</v>
      </c>
      <c r="V56" s="6"/>
      <c r="W56" s="3">
        <v>45840</v>
      </c>
      <c r="X56">
        <v>27.555475999999999</v>
      </c>
      <c r="Y56">
        <v>832.64833599999997</v>
      </c>
      <c r="Z56">
        <v>159.47594000000001</v>
      </c>
      <c r="AA56">
        <v>75.080408000000006</v>
      </c>
      <c r="AB56">
        <v>130.50497200000001</v>
      </c>
      <c r="AC56">
        <v>907.41513199999997</v>
      </c>
      <c r="AD56">
        <v>180.30147199999999</v>
      </c>
      <c r="AE56">
        <v>123.71569599999999</v>
      </c>
      <c r="AF56">
        <v>443.388036</v>
      </c>
      <c r="AG56">
        <v>193.362988</v>
      </c>
      <c r="AH56">
        <v>673.96914000000004</v>
      </c>
      <c r="AI56">
        <v>140.29475199999999</v>
      </c>
      <c r="AJ56">
        <v>91.803556</v>
      </c>
      <c r="AK56">
        <v>217.36702</v>
      </c>
      <c r="AL56">
        <v>315.18006000000003</v>
      </c>
      <c r="AM56">
        <v>647.90544</v>
      </c>
      <c r="AN56">
        <v>256.543092</v>
      </c>
      <c r="AO56">
        <v>290.50642399999998</v>
      </c>
      <c r="AP56">
        <v>84.726095999999998</v>
      </c>
      <c r="AQ56">
        <v>61.188243999999997</v>
      </c>
      <c r="AR56" cm="1">
        <f t="array" ref="AR56">SUMPRODUCT($B$162:$U$162,(B56:U56)/($B$11:$U$11))</f>
        <v>28272.23656806166</v>
      </c>
      <c r="AS56">
        <f t="shared" si="0"/>
        <v>445.88214913841148</v>
      </c>
      <c r="AT56">
        <f t="shared" si="1"/>
        <v>1.0160237357156348</v>
      </c>
      <c r="AU56" cm="1">
        <f t="array" ref="AU56">SUMPRODUCT($X$162:$AQ$162,(X56:AQ56)/($X$11:$AQ$11))</f>
        <v>27021.345550990212</v>
      </c>
      <c r="AV56">
        <f t="shared" si="2"/>
        <v>170.8042412514551</v>
      </c>
      <c r="AW56">
        <f t="shared" si="3"/>
        <v>-170.8042412514551</v>
      </c>
      <c r="AX56">
        <f t="shared" si="4"/>
        <v>275.07790788695638</v>
      </c>
    </row>
    <row r="57" spans="1:50" x14ac:dyDescent="0.2">
      <c r="A57" s="3">
        <v>45841</v>
      </c>
      <c r="B57">
        <v>154.0150678</v>
      </c>
      <c r="C57">
        <v>53.530145900000001</v>
      </c>
      <c r="D57">
        <v>284.5187224</v>
      </c>
      <c r="E57">
        <v>79.644486900000004</v>
      </c>
      <c r="F57">
        <v>41.306592799999997</v>
      </c>
      <c r="G57">
        <v>141.83404619999999</v>
      </c>
      <c r="H57">
        <v>50.952736999999999</v>
      </c>
      <c r="I57">
        <v>256.08216149999998</v>
      </c>
      <c r="J57">
        <v>17.905761500000001</v>
      </c>
      <c r="K57">
        <v>44.632556100000002</v>
      </c>
      <c r="L57">
        <v>70.057886800000006</v>
      </c>
      <c r="M57">
        <v>11.832263299999999</v>
      </c>
      <c r="N57">
        <v>88.252862500000006</v>
      </c>
      <c r="O57">
        <v>80.5121295</v>
      </c>
      <c r="P57">
        <v>25.4848748</v>
      </c>
      <c r="Q57">
        <v>38.958854000000002</v>
      </c>
      <c r="R57">
        <v>43.263041800000003</v>
      </c>
      <c r="S57">
        <v>18.696847399999999</v>
      </c>
      <c r="T57">
        <v>67.608072399999998</v>
      </c>
      <c r="U57">
        <v>25.935708699999999</v>
      </c>
      <c r="V57" s="6"/>
      <c r="W57" s="3">
        <v>45841</v>
      </c>
      <c r="X57">
        <v>27.7475506</v>
      </c>
      <c r="Y57">
        <v>839.58882259999996</v>
      </c>
      <c r="Z57">
        <v>160.45433689999999</v>
      </c>
      <c r="AA57">
        <v>75.467893599999996</v>
      </c>
      <c r="AB57">
        <v>130.09535220000001</v>
      </c>
      <c r="AC57">
        <v>920.5092545</v>
      </c>
      <c r="AD57">
        <v>182.9535004</v>
      </c>
      <c r="AE57">
        <v>125.1531919</v>
      </c>
      <c r="AF57">
        <v>466.77470620000003</v>
      </c>
      <c r="AG57">
        <v>198.2563341</v>
      </c>
      <c r="AH57">
        <v>669.44581000000005</v>
      </c>
      <c r="AI57">
        <v>142.09774150000001</v>
      </c>
      <c r="AJ57">
        <v>91.885052599999995</v>
      </c>
      <c r="AK57">
        <v>219.887855</v>
      </c>
      <c r="AL57">
        <v>316.16215840000001</v>
      </c>
      <c r="AM57">
        <v>645.32194319999996</v>
      </c>
      <c r="AN57">
        <v>256.9072726</v>
      </c>
      <c r="AO57">
        <v>295.22815409999998</v>
      </c>
      <c r="AP57">
        <v>85.190594500000003</v>
      </c>
      <c r="AQ57">
        <v>61.721712799999999</v>
      </c>
      <c r="AR57" cm="1">
        <f t="array" ref="AR57">SUMPRODUCT($B$162:$U$162,(B57:U57)/($B$11:$U$11))</f>
        <v>28689.477192277911</v>
      </c>
      <c r="AS57">
        <f t="shared" si="0"/>
        <v>417.24062421625058</v>
      </c>
      <c r="AT57">
        <f t="shared" si="1"/>
        <v>1.0147579631067318</v>
      </c>
      <c r="AU57" cm="1">
        <f t="array" ref="AU57">SUMPRODUCT($X$162:$AQ$162,(X57:AQ57)/($X$11:$AQ$11))</f>
        <v>27268.139242114888</v>
      </c>
      <c r="AV57">
        <f t="shared" si="2"/>
        <v>246.79369112467612</v>
      </c>
      <c r="AW57">
        <f t="shared" si="3"/>
        <v>-246.79369112467612</v>
      </c>
      <c r="AX57">
        <f t="shared" si="4"/>
        <v>170.44693309157446</v>
      </c>
    </row>
    <row r="58" spans="1:50" x14ac:dyDescent="0.2">
      <c r="A58" s="3">
        <v>45845</v>
      </c>
      <c r="B58">
        <v>153.9677475</v>
      </c>
      <c r="C58">
        <v>53.822511900000002</v>
      </c>
      <c r="D58">
        <v>280.90038149999998</v>
      </c>
      <c r="E58">
        <v>82.583089200000003</v>
      </c>
      <c r="F58">
        <v>40.240890899999997</v>
      </c>
      <c r="G58">
        <v>140.97551759999999</v>
      </c>
      <c r="H58">
        <v>51.388070399999997</v>
      </c>
      <c r="I58">
        <v>256.85493300000002</v>
      </c>
      <c r="J58">
        <v>17.852571000000001</v>
      </c>
      <c r="K58">
        <v>43.538064300000002</v>
      </c>
      <c r="L58">
        <v>69.283350900000002</v>
      </c>
      <c r="M58">
        <v>11.6511516</v>
      </c>
      <c r="N58">
        <v>87.742396799999995</v>
      </c>
      <c r="O58">
        <v>81.310346100000004</v>
      </c>
      <c r="P58">
        <v>25.036308900000002</v>
      </c>
      <c r="Q58">
        <v>38.5495947</v>
      </c>
      <c r="R58">
        <v>42.709499999999998</v>
      </c>
      <c r="S58">
        <v>18.3223755</v>
      </c>
      <c r="T58">
        <v>67.532261399999996</v>
      </c>
      <c r="U58">
        <v>25.540281</v>
      </c>
      <c r="V58" s="6"/>
      <c r="W58" s="3">
        <v>45845</v>
      </c>
      <c r="X58">
        <v>27.598878899999999</v>
      </c>
      <c r="Y58">
        <v>847.51023420000001</v>
      </c>
      <c r="Z58">
        <v>160.0495803</v>
      </c>
      <c r="AA58">
        <v>73.280960100000001</v>
      </c>
      <c r="AB58">
        <v>129.70020959999999</v>
      </c>
      <c r="AC58">
        <v>919.0828143</v>
      </c>
      <c r="AD58">
        <v>182.0791404</v>
      </c>
      <c r="AE58">
        <v>124.42985729999999</v>
      </c>
      <c r="AF58">
        <v>458.29001879999998</v>
      </c>
      <c r="AG58">
        <v>198.50521409999999</v>
      </c>
      <c r="AH58">
        <v>663.80813279999995</v>
      </c>
      <c r="AI58">
        <v>138.76316550000001</v>
      </c>
      <c r="AJ58">
        <v>90.826022699999996</v>
      </c>
      <c r="AK58">
        <v>217.52802539999999</v>
      </c>
      <c r="AL58">
        <v>314.0344116</v>
      </c>
      <c r="AM58">
        <v>633.10000230000003</v>
      </c>
      <c r="AN58">
        <v>252.9939942</v>
      </c>
      <c r="AO58">
        <v>289.51061670000001</v>
      </c>
      <c r="AP58">
        <v>84.479391000000007</v>
      </c>
      <c r="AQ58">
        <v>61.527305699999999</v>
      </c>
      <c r="AR58" cm="1">
        <f t="array" ref="AR58">SUMPRODUCT($B$162:$U$162,(B58:U58)/($B$11:$U$11))</f>
        <v>28535.689141945735</v>
      </c>
      <c r="AS58">
        <f t="shared" si="0"/>
        <v>-153.78805033217577</v>
      </c>
      <c r="AT58">
        <f t="shared" si="1"/>
        <v>0.99463956595299796</v>
      </c>
      <c r="AU58" cm="1">
        <f t="array" ref="AU58">SUMPRODUCT($X$162:$AQ$162,(X58:AQ58)/($X$11:$AQ$11))</f>
        <v>27013.503578761924</v>
      </c>
      <c r="AV58">
        <f t="shared" si="2"/>
        <v>-254.63566335296491</v>
      </c>
      <c r="AW58">
        <f t="shared" si="3"/>
        <v>254.63566335296491</v>
      </c>
      <c r="AX58">
        <f t="shared" si="4"/>
        <v>100.84761302078914</v>
      </c>
    </row>
    <row r="59" spans="1:50" x14ac:dyDescent="0.2">
      <c r="A59" s="3">
        <v>45846</v>
      </c>
      <c r="B59">
        <v>153.07040699999999</v>
      </c>
      <c r="C59">
        <v>53.531142000000003</v>
      </c>
      <c r="D59">
        <v>281.64409000000001</v>
      </c>
      <c r="E59">
        <v>83.145566000000002</v>
      </c>
      <c r="F59">
        <v>41.888374499999998</v>
      </c>
      <c r="G59">
        <v>139.41467750000001</v>
      </c>
      <c r="H59">
        <v>49.1384495</v>
      </c>
      <c r="I59">
        <v>252.90820450000001</v>
      </c>
      <c r="J59">
        <v>17.656065000000002</v>
      </c>
      <c r="K59">
        <v>44.643402999999999</v>
      </c>
      <c r="L59">
        <v>69.268069499999996</v>
      </c>
      <c r="M59">
        <v>11.659826499999999</v>
      </c>
      <c r="N59">
        <v>87.282373500000006</v>
      </c>
      <c r="O59">
        <v>82.838504</v>
      </c>
      <c r="P59">
        <v>24.599077999999999</v>
      </c>
      <c r="Q59">
        <v>39.465996500000003</v>
      </c>
      <c r="R59">
        <v>43.091034000000001</v>
      </c>
      <c r="S59">
        <v>18.457837999999999</v>
      </c>
      <c r="T59">
        <v>68.781887999999995</v>
      </c>
      <c r="U59">
        <v>27.754992999999999</v>
      </c>
      <c r="V59" s="6"/>
      <c r="W59" s="3">
        <v>45846</v>
      </c>
      <c r="X59">
        <v>27.490578500000002</v>
      </c>
      <c r="Y59">
        <v>840.87222799999995</v>
      </c>
      <c r="Z59">
        <v>160.72136850000001</v>
      </c>
      <c r="AA59">
        <v>72.978402000000003</v>
      </c>
      <c r="AB59">
        <v>131.132533</v>
      </c>
      <c r="AC59">
        <v>916.938309</v>
      </c>
      <c r="AD59">
        <v>181.8233515</v>
      </c>
      <c r="AE59">
        <v>123.6009845</v>
      </c>
      <c r="AF59">
        <v>470.41045450000001</v>
      </c>
      <c r="AG59">
        <v>199.56471149999999</v>
      </c>
      <c r="AH59">
        <v>654.54530050000005</v>
      </c>
      <c r="AI59">
        <v>139.46585450000001</v>
      </c>
      <c r="AJ59">
        <v>91.137707500000005</v>
      </c>
      <c r="AK59">
        <v>219.97580500000001</v>
      </c>
      <c r="AL59">
        <v>313.45912499999997</v>
      </c>
      <c r="AM59">
        <v>649.35936449999997</v>
      </c>
      <c r="AN59">
        <v>258.13678800000002</v>
      </c>
      <c r="AO59">
        <v>288.42504250000002</v>
      </c>
      <c r="AP59">
        <v>85.073233000000002</v>
      </c>
      <c r="AQ59">
        <v>60.951807000000002</v>
      </c>
      <c r="AR59" cm="1">
        <f t="array" ref="AR59">SUMPRODUCT($B$162:$U$162,(B59:U59)/($B$11:$U$11))</f>
        <v>28665.048845819809</v>
      </c>
      <c r="AS59">
        <f t="shared" si="0"/>
        <v>129.3597038740736</v>
      </c>
      <c r="AT59">
        <f t="shared" si="1"/>
        <v>1.0045332602002566</v>
      </c>
      <c r="AU59" cm="1">
        <f t="array" ref="AU59">SUMPRODUCT($X$162:$AQ$162,(X59:AQ59)/($X$11:$AQ$11))</f>
        <v>27070.794939105584</v>
      </c>
      <c r="AV59">
        <f t="shared" si="2"/>
        <v>57.291360343660926</v>
      </c>
      <c r="AW59">
        <f t="shared" si="3"/>
        <v>-57.291360343660926</v>
      </c>
      <c r="AX59">
        <f t="shared" si="4"/>
        <v>72.068343530412676</v>
      </c>
    </row>
    <row r="60" spans="1:50" x14ac:dyDescent="0.2">
      <c r="A60" s="3">
        <v>45847</v>
      </c>
      <c r="B60">
        <v>154.80931440000001</v>
      </c>
      <c r="C60">
        <v>53.554363199999997</v>
      </c>
      <c r="D60">
        <v>284.64195239999998</v>
      </c>
      <c r="E60">
        <v>82.464844799999995</v>
      </c>
      <c r="F60">
        <v>42.683066400000001</v>
      </c>
      <c r="G60">
        <v>139.0314276</v>
      </c>
      <c r="H60">
        <v>50.132550000000002</v>
      </c>
      <c r="I60">
        <v>253.82856720000001</v>
      </c>
      <c r="J60">
        <v>17.714923200000001</v>
      </c>
      <c r="K60">
        <v>43.741183200000002</v>
      </c>
      <c r="L60">
        <v>68.419197600000004</v>
      </c>
      <c r="M60">
        <v>11.5368864</v>
      </c>
      <c r="N60">
        <v>87.354368399999998</v>
      </c>
      <c r="O60">
        <v>84.265349999999998</v>
      </c>
      <c r="P60">
        <v>24.6012156</v>
      </c>
      <c r="Q60">
        <v>38.902858799999997</v>
      </c>
      <c r="R60">
        <v>43.263323999999997</v>
      </c>
      <c r="S60">
        <v>18.7389072</v>
      </c>
      <c r="T60">
        <v>68.803191600000005</v>
      </c>
      <c r="U60">
        <v>27.980362800000002</v>
      </c>
      <c r="V60" s="6"/>
      <c r="W60" s="3">
        <v>45847</v>
      </c>
      <c r="X60">
        <v>27.536636399999999</v>
      </c>
      <c r="Y60">
        <v>838.0370388</v>
      </c>
      <c r="Z60">
        <v>160.61189039999999</v>
      </c>
      <c r="AA60">
        <v>73.906045199999994</v>
      </c>
      <c r="AB60">
        <v>133.10085359999999</v>
      </c>
      <c r="AC60">
        <v>929.05214999999998</v>
      </c>
      <c r="AD60">
        <v>182.75554439999999</v>
      </c>
      <c r="AE60">
        <v>124.53352080000001</v>
      </c>
      <c r="AF60">
        <v>470.13665400000002</v>
      </c>
      <c r="AG60">
        <v>199.7451456</v>
      </c>
      <c r="AH60">
        <v>652.54233720000002</v>
      </c>
      <c r="AI60">
        <v>139.859148</v>
      </c>
      <c r="AJ60">
        <v>90.784714800000003</v>
      </c>
      <c r="AK60">
        <v>221.64986999999999</v>
      </c>
      <c r="AL60">
        <v>316.61585280000003</v>
      </c>
      <c r="AM60">
        <v>640.96278480000001</v>
      </c>
      <c r="AN60">
        <v>263.21508720000003</v>
      </c>
      <c r="AO60">
        <v>290.35066319999999</v>
      </c>
      <c r="AP60">
        <v>86.569314000000006</v>
      </c>
      <c r="AQ60">
        <v>60.517454399999998</v>
      </c>
      <c r="AR60" cm="1">
        <f t="array" ref="AR60">SUMPRODUCT($B$162:$U$162,(B60:U60)/($B$11:$U$11))</f>
        <v>28776.254687545174</v>
      </c>
      <c r="AS60">
        <f t="shared" si="0"/>
        <v>111.20584172536473</v>
      </c>
      <c r="AT60">
        <f t="shared" si="1"/>
        <v>1.003879492490088</v>
      </c>
      <c r="AU60" cm="1">
        <f t="array" ref="AU60">SUMPRODUCT($X$162:$AQ$162,(X60:AQ60)/($X$11:$AQ$11))</f>
        <v>27181.789702149246</v>
      </c>
      <c r="AV60">
        <f t="shared" si="2"/>
        <v>110.99476304366181</v>
      </c>
      <c r="AW60">
        <f t="shared" si="3"/>
        <v>-110.99476304366181</v>
      </c>
      <c r="AX60">
        <f t="shared" si="4"/>
        <v>0.21107868170292932</v>
      </c>
    </row>
    <row r="61" spans="1:50" x14ac:dyDescent="0.2">
      <c r="A61" s="3">
        <v>45848</v>
      </c>
      <c r="B61">
        <v>152.58959100000001</v>
      </c>
      <c r="C61">
        <v>54.085416000000002</v>
      </c>
      <c r="D61">
        <v>291.76039200000002</v>
      </c>
      <c r="E61">
        <v>82.393079999999998</v>
      </c>
      <c r="F61">
        <v>43.042692000000002</v>
      </c>
      <c r="G61">
        <v>139.700715</v>
      </c>
      <c r="H61">
        <v>51.093966000000002</v>
      </c>
      <c r="I61">
        <v>254.18778</v>
      </c>
      <c r="J61">
        <v>17.880324000000002</v>
      </c>
      <c r="K61">
        <v>43.914485999999997</v>
      </c>
      <c r="L61">
        <v>78.350348999999994</v>
      </c>
      <c r="M61">
        <v>11.572638</v>
      </c>
      <c r="N61">
        <v>88.145211000000003</v>
      </c>
      <c r="O61">
        <v>81.846072000000007</v>
      </c>
      <c r="P61">
        <v>24.871770000000001</v>
      </c>
      <c r="Q61">
        <v>40.350386999999998</v>
      </c>
      <c r="R61">
        <v>48.529865999999998</v>
      </c>
      <c r="S61">
        <v>19.786304999999999</v>
      </c>
      <c r="T61">
        <v>67.897368</v>
      </c>
      <c r="U61">
        <v>29.299116000000001</v>
      </c>
      <c r="V61" s="6"/>
      <c r="W61" s="3">
        <v>45848</v>
      </c>
      <c r="X61">
        <v>27.675186</v>
      </c>
      <c r="Y61">
        <v>829.20429899999999</v>
      </c>
      <c r="Z61">
        <v>162.837444</v>
      </c>
      <c r="AA61">
        <v>78.717870000000005</v>
      </c>
      <c r="AB61">
        <v>134.46140399999999</v>
      </c>
      <c r="AC61">
        <v>943.63153499999999</v>
      </c>
      <c r="AD61">
        <v>183.51263700000001</v>
      </c>
      <c r="AE61">
        <v>124.196457</v>
      </c>
      <c r="AF61">
        <v>483.92259300000001</v>
      </c>
      <c r="AG61">
        <v>196.03399200000001</v>
      </c>
      <c r="AH61">
        <v>648.62328300000001</v>
      </c>
      <c r="AI61">
        <v>140.88874799999999</v>
      </c>
      <c r="AJ61">
        <v>92.658027000000004</v>
      </c>
      <c r="AK61">
        <v>224.033964</v>
      </c>
      <c r="AL61">
        <v>319.05950999999999</v>
      </c>
      <c r="AM61">
        <v>632.86261500000001</v>
      </c>
      <c r="AN61">
        <v>266.06810999999999</v>
      </c>
      <c r="AO61">
        <v>294.82876499999998</v>
      </c>
      <c r="AP61">
        <v>87.999911999999995</v>
      </c>
      <c r="AQ61">
        <v>60.324725999999998</v>
      </c>
      <c r="AR61" cm="1">
        <f t="array" ref="AR61">SUMPRODUCT($B$162:$U$162,(B61:U61)/($B$11:$U$11))</f>
        <v>29354.052992522182</v>
      </c>
      <c r="AS61">
        <f t="shared" si="0"/>
        <v>577.79830497700823</v>
      </c>
      <c r="AT61">
        <f t="shared" si="1"/>
        <v>1.0200789960768275</v>
      </c>
      <c r="AU61" cm="1">
        <f t="array" ref="AU61">SUMPRODUCT($X$162:$AQ$162,(X61:AQ61)/($X$11:$AQ$11))</f>
        <v>27496.346798917173</v>
      </c>
      <c r="AV61">
        <f t="shared" si="2"/>
        <v>314.55709676792685</v>
      </c>
      <c r="AW61">
        <f t="shared" si="3"/>
        <v>-314.55709676792685</v>
      </c>
      <c r="AX61">
        <f t="shared" si="4"/>
        <v>263.24120820908138</v>
      </c>
    </row>
    <row r="62" spans="1:50" x14ac:dyDescent="0.2">
      <c r="A62" s="3">
        <v>45849</v>
      </c>
      <c r="B62">
        <v>153.71803679999999</v>
      </c>
      <c r="C62">
        <v>55.411382699999997</v>
      </c>
      <c r="D62">
        <v>289.5986901</v>
      </c>
      <c r="E62">
        <v>81.607098899999997</v>
      </c>
      <c r="F62">
        <v>42.125312399999999</v>
      </c>
      <c r="G62">
        <v>138.37874249999999</v>
      </c>
      <c r="H62">
        <v>51.441816299999999</v>
      </c>
      <c r="I62">
        <v>247.51615319999999</v>
      </c>
      <c r="J62">
        <v>18.2565834</v>
      </c>
      <c r="K62">
        <v>43.904773200000001</v>
      </c>
      <c r="L62">
        <v>75.019671900000006</v>
      </c>
      <c r="M62">
        <v>11.4809442</v>
      </c>
      <c r="N62">
        <v>87.202134299999997</v>
      </c>
      <c r="O62">
        <v>84.045302399999997</v>
      </c>
      <c r="P62">
        <v>24.518916600000001</v>
      </c>
      <c r="Q62">
        <v>39.661443599999998</v>
      </c>
      <c r="R62">
        <v>48.464641499999999</v>
      </c>
      <c r="S62">
        <v>19.351636200000002</v>
      </c>
      <c r="T62">
        <v>66.1993638</v>
      </c>
      <c r="U62">
        <v>28.779356400000001</v>
      </c>
      <c r="V62" s="6"/>
      <c r="W62" s="3">
        <v>45849</v>
      </c>
      <c r="X62">
        <v>27.675748500000001</v>
      </c>
      <c r="Y62">
        <v>830.12701830000003</v>
      </c>
      <c r="Z62">
        <v>161.64005940000001</v>
      </c>
      <c r="AA62">
        <v>77.919850800000006</v>
      </c>
      <c r="AB62">
        <v>133.3226784</v>
      </c>
      <c r="AC62">
        <v>942.46403640000005</v>
      </c>
      <c r="AD62">
        <v>181.14568740000001</v>
      </c>
      <c r="AE62">
        <v>122.5860279</v>
      </c>
      <c r="AF62">
        <v>478.4696328</v>
      </c>
      <c r="AG62">
        <v>188.38330199999999</v>
      </c>
      <c r="AH62">
        <v>647.364417</v>
      </c>
      <c r="AI62">
        <v>140.03843190000001</v>
      </c>
      <c r="AJ62">
        <v>93.396026699999993</v>
      </c>
      <c r="AK62">
        <v>222.17594700000001</v>
      </c>
      <c r="AL62">
        <v>316.5985857</v>
      </c>
      <c r="AM62">
        <v>629.7066906</v>
      </c>
      <c r="AN62">
        <v>262.05982319999998</v>
      </c>
      <c r="AO62">
        <v>293.4998157</v>
      </c>
      <c r="AP62">
        <v>86.808599700000002</v>
      </c>
      <c r="AQ62">
        <v>59.2697328</v>
      </c>
      <c r="AR62" cm="1">
        <f t="array" ref="AR62">SUMPRODUCT($B$162:$U$162,(B62:U62)/($B$11:$U$11))</f>
        <v>29184.505784755878</v>
      </c>
      <c r="AS62">
        <f t="shared" si="0"/>
        <v>-169.54720776630347</v>
      </c>
      <c r="AT62">
        <f t="shared" si="1"/>
        <v>0.99422406139930675</v>
      </c>
      <c r="AU62" cm="1">
        <f t="array" ref="AU62">SUMPRODUCT($X$162:$AQ$162,(X62:AQ62)/($X$11:$AQ$11))</f>
        <v>27282.247165105637</v>
      </c>
      <c r="AV62">
        <f t="shared" si="2"/>
        <v>-214.09963381153648</v>
      </c>
      <c r="AW62">
        <f t="shared" si="3"/>
        <v>214.09963381153648</v>
      </c>
      <c r="AX62">
        <f t="shared" si="4"/>
        <v>44.552426045233005</v>
      </c>
    </row>
    <row r="63" spans="1:50" x14ac:dyDescent="0.2">
      <c r="A63" s="3">
        <v>45852</v>
      </c>
      <c r="B63">
        <v>158.03781119999999</v>
      </c>
      <c r="C63">
        <v>56.246096000000001</v>
      </c>
      <c r="D63">
        <v>293.25994229999998</v>
      </c>
      <c r="E63">
        <v>80.502224900000002</v>
      </c>
      <c r="F63">
        <v>42.638999300000002</v>
      </c>
      <c r="G63">
        <v>139.2691063</v>
      </c>
      <c r="H63">
        <v>52.147676199999999</v>
      </c>
      <c r="I63">
        <v>250.3722941</v>
      </c>
      <c r="J63">
        <v>18.708686199999999</v>
      </c>
      <c r="K63">
        <v>43.787928700000002</v>
      </c>
      <c r="L63">
        <v>76.2580454</v>
      </c>
      <c r="M63">
        <v>11.4807199</v>
      </c>
      <c r="N63">
        <v>87.627302</v>
      </c>
      <c r="O63">
        <v>83.520308099999994</v>
      </c>
      <c r="P63">
        <v>25.1392612</v>
      </c>
      <c r="Q63">
        <v>39.123618299999997</v>
      </c>
      <c r="R63">
        <v>49.824095100000001</v>
      </c>
      <c r="S63">
        <v>19.951930699999998</v>
      </c>
      <c r="T63">
        <v>66.372108100000005</v>
      </c>
      <c r="U63">
        <v>28.183066700000001</v>
      </c>
      <c r="V63" s="6"/>
      <c r="W63" s="3">
        <v>45852</v>
      </c>
      <c r="X63">
        <v>27.702917100000001</v>
      </c>
      <c r="Y63">
        <v>841.0420431</v>
      </c>
      <c r="Z63">
        <v>161.96474900000001</v>
      </c>
      <c r="AA63">
        <v>76.815361899999999</v>
      </c>
      <c r="AB63">
        <v>135.39361310000001</v>
      </c>
      <c r="AC63">
        <v>952.97691859999998</v>
      </c>
      <c r="AD63">
        <v>183.11705370000001</v>
      </c>
      <c r="AE63">
        <v>123.7328371</v>
      </c>
      <c r="AF63">
        <v>471.17251729999998</v>
      </c>
      <c r="AG63">
        <v>190.34502000000001</v>
      </c>
      <c r="AH63">
        <v>651.80308200000002</v>
      </c>
      <c r="AI63">
        <v>140.04934940000001</v>
      </c>
      <c r="AJ63">
        <v>93.757783500000002</v>
      </c>
      <c r="AK63">
        <v>220.88596419999999</v>
      </c>
      <c r="AL63">
        <v>317.3360151</v>
      </c>
      <c r="AM63">
        <v>618.31264739999995</v>
      </c>
      <c r="AN63">
        <v>258.23474379999999</v>
      </c>
      <c r="AO63">
        <v>294.23738969999999</v>
      </c>
      <c r="AP63">
        <v>87.678746599999997</v>
      </c>
      <c r="AQ63">
        <v>60.430256800000002</v>
      </c>
      <c r="AR63" cm="1">
        <f t="array" ref="AR63">SUMPRODUCT($B$162:$U$162,(B63:U63)/($B$11:$U$11))</f>
        <v>29502.331776697305</v>
      </c>
      <c r="AS63">
        <f t="shared" si="0"/>
        <v>317.82599194142676</v>
      </c>
      <c r="AT63">
        <f t="shared" si="1"/>
        <v>1.0108902303943568</v>
      </c>
      <c r="AU63" cm="1">
        <f t="array" ref="AU63">SUMPRODUCT($X$162:$AQ$162,(X63:AQ63)/($X$11:$AQ$11))</f>
        <v>27329.142019134313</v>
      </c>
      <c r="AV63">
        <f t="shared" si="2"/>
        <v>46.894854028676491</v>
      </c>
      <c r="AW63">
        <f t="shared" si="3"/>
        <v>-46.894854028676491</v>
      </c>
      <c r="AX63">
        <f t="shared" si="4"/>
        <v>270.93113791275027</v>
      </c>
    </row>
    <row r="64" spans="1:50" x14ac:dyDescent="0.2">
      <c r="A64" s="3">
        <v>45853</v>
      </c>
      <c r="B64">
        <v>159.22001520000001</v>
      </c>
      <c r="C64">
        <v>56.202906599999999</v>
      </c>
      <c r="D64">
        <v>294.23976060000001</v>
      </c>
      <c r="E64">
        <v>79.497929400000004</v>
      </c>
      <c r="F64">
        <v>45.839983799999999</v>
      </c>
      <c r="G64">
        <v>137.88205020000001</v>
      </c>
      <c r="H64">
        <v>49.443728999999998</v>
      </c>
      <c r="I64">
        <v>250.01197859999999</v>
      </c>
      <c r="J64">
        <v>18.4411746</v>
      </c>
      <c r="K64">
        <v>42.9259506</v>
      </c>
      <c r="L64">
        <v>74.471653200000006</v>
      </c>
      <c r="M64">
        <v>11.20782</v>
      </c>
      <c r="N64">
        <v>87.033033000000003</v>
      </c>
      <c r="O64">
        <v>82.679226</v>
      </c>
      <c r="P64">
        <v>24.976195799999999</v>
      </c>
      <c r="Q64">
        <v>38.037616800000002</v>
      </c>
      <c r="R64">
        <v>48.029819400000001</v>
      </c>
      <c r="S64">
        <v>19.605063600000001</v>
      </c>
      <c r="T64">
        <v>66.212351999999996</v>
      </c>
      <c r="U64">
        <v>27.226381199999999</v>
      </c>
      <c r="V64" s="6"/>
      <c r="W64" s="3">
        <v>45853</v>
      </c>
      <c r="X64">
        <v>27.467780399999999</v>
      </c>
      <c r="Y64">
        <v>834.27563520000001</v>
      </c>
      <c r="Z64">
        <v>161.28052980000001</v>
      </c>
      <c r="AA64">
        <v>74.230254000000002</v>
      </c>
      <c r="AB64">
        <v>135.00250260000001</v>
      </c>
      <c r="AC64">
        <v>901.93638239999996</v>
      </c>
      <c r="AD64">
        <v>181.82532599999999</v>
      </c>
      <c r="AE64">
        <v>121.2858552</v>
      </c>
      <c r="AF64">
        <v>490.64387399999998</v>
      </c>
      <c r="AG64">
        <v>191.1623022</v>
      </c>
      <c r="AH64">
        <v>655.19191439999997</v>
      </c>
      <c r="AI64">
        <v>139.6321944</v>
      </c>
      <c r="AJ64">
        <v>93.645646799999994</v>
      </c>
      <c r="AK64">
        <v>221.0268318</v>
      </c>
      <c r="AL64">
        <v>309.1978896</v>
      </c>
      <c r="AM64">
        <v>618.68890680000004</v>
      </c>
      <c r="AN64">
        <v>251.85695820000001</v>
      </c>
      <c r="AO64">
        <v>298.80910260000002</v>
      </c>
      <c r="AP64">
        <v>86.757148200000003</v>
      </c>
      <c r="AQ64">
        <v>59.746302</v>
      </c>
      <c r="AR64" cm="1">
        <f t="array" ref="AR64">SUMPRODUCT($B$162:$U$162,(B64:U64)/($B$11:$U$11))</f>
        <v>29299.631408284902</v>
      </c>
      <c r="AS64">
        <f t="shared" si="0"/>
        <v>-202.7003684124029</v>
      </c>
      <c r="AT64">
        <f t="shared" si="1"/>
        <v>0.9931293441499256</v>
      </c>
      <c r="AU64" cm="1">
        <f t="array" ref="AU64">SUMPRODUCT($X$162:$AQ$162,(X64:AQ64)/($X$11:$AQ$11))</f>
        <v>27091.477448957419</v>
      </c>
      <c r="AV64">
        <f t="shared" si="2"/>
        <v>-237.6645701768939</v>
      </c>
      <c r="AW64">
        <f t="shared" si="3"/>
        <v>237.6645701768939</v>
      </c>
      <c r="AX64">
        <f t="shared" si="4"/>
        <v>34.964201764491008</v>
      </c>
    </row>
    <row r="65" spans="1:50" x14ac:dyDescent="0.2">
      <c r="A65" s="3">
        <v>45854</v>
      </c>
      <c r="B65">
        <v>158.415065</v>
      </c>
      <c r="C65">
        <v>56.300525</v>
      </c>
      <c r="D65">
        <v>291.58514650000001</v>
      </c>
      <c r="E65">
        <v>78.004162500000007</v>
      </c>
      <c r="F65">
        <v>45.745251000000003</v>
      </c>
      <c r="G65">
        <v>138.7915385</v>
      </c>
      <c r="H65">
        <v>50.240697500000003</v>
      </c>
      <c r="I65">
        <v>247.7824785</v>
      </c>
      <c r="J65">
        <v>18.781167499999999</v>
      </c>
      <c r="K65">
        <v>42.977499999999999</v>
      </c>
      <c r="L65">
        <v>76.044388499999997</v>
      </c>
      <c r="M65">
        <v>11.311678000000001</v>
      </c>
      <c r="N65">
        <v>86.393370500000003</v>
      </c>
      <c r="O65">
        <v>79.594329999999999</v>
      </c>
      <c r="P65">
        <v>24.961331999999999</v>
      </c>
      <c r="Q65">
        <v>37.803009000000003</v>
      </c>
      <c r="R65">
        <v>47.756597999999997</v>
      </c>
      <c r="S65">
        <v>19.812627500000001</v>
      </c>
      <c r="T65">
        <v>66.219731999999993</v>
      </c>
      <c r="U65">
        <v>27.557172999999999</v>
      </c>
      <c r="V65" s="6"/>
      <c r="W65" s="3">
        <v>45854</v>
      </c>
      <c r="X65">
        <v>27.6861055</v>
      </c>
      <c r="Y65">
        <v>817.75008349999996</v>
      </c>
      <c r="Z65">
        <v>161.45787200000001</v>
      </c>
      <c r="AA65">
        <v>74.265119999999996</v>
      </c>
      <c r="AB65">
        <v>135.43069800000001</v>
      </c>
      <c r="AC65">
        <v>930.23939199999995</v>
      </c>
      <c r="AD65">
        <v>182.20740900000001</v>
      </c>
      <c r="AE65">
        <v>122.2709875</v>
      </c>
      <c r="AF65">
        <v>490.97496000000001</v>
      </c>
      <c r="AG65">
        <v>191.885942</v>
      </c>
      <c r="AH65">
        <v>658.105862</v>
      </c>
      <c r="AI65">
        <v>137.75148300000001</v>
      </c>
      <c r="AJ65">
        <v>94.696623500000001</v>
      </c>
      <c r="AK65">
        <v>220.74963099999999</v>
      </c>
      <c r="AL65">
        <v>307.20317</v>
      </c>
      <c r="AM65">
        <v>613.74448649999999</v>
      </c>
      <c r="AN65">
        <v>251.555903</v>
      </c>
      <c r="AO65">
        <v>302.27794849999998</v>
      </c>
      <c r="AP65">
        <v>88.576627500000001</v>
      </c>
      <c r="AQ65">
        <v>60.280241500000002</v>
      </c>
      <c r="AR65" cm="1">
        <f t="array" ref="AR65">SUMPRODUCT($B$162:$U$162,(B65:U65)/($B$11:$U$11))</f>
        <v>29245.180192272521</v>
      </c>
      <c r="AS65">
        <f t="shared" si="0"/>
        <v>-54.451216012381337</v>
      </c>
      <c r="AT65">
        <f t="shared" si="1"/>
        <v>0.99814157334426457</v>
      </c>
      <c r="AU65" cm="1">
        <f t="array" ref="AU65">SUMPRODUCT($X$162:$AQ$162,(X65:AQ65)/($X$11:$AQ$11))</f>
        <v>27151.840036540594</v>
      </c>
      <c r="AV65">
        <f t="shared" si="2"/>
        <v>60.3625875831749</v>
      </c>
      <c r="AW65">
        <f t="shared" si="3"/>
        <v>-60.3625875831749</v>
      </c>
      <c r="AX65">
        <f t="shared" si="4"/>
        <v>-114.81380359555624</v>
      </c>
    </row>
    <row r="66" spans="1:50" x14ac:dyDescent="0.2">
      <c r="A66" s="3">
        <v>45855</v>
      </c>
      <c r="B66">
        <v>162.85454519999999</v>
      </c>
      <c r="C66">
        <v>56.377702800000002</v>
      </c>
      <c r="D66">
        <v>300.56896440000003</v>
      </c>
      <c r="E66">
        <v>78.050820000000002</v>
      </c>
      <c r="F66">
        <v>45.49371</v>
      </c>
      <c r="G66">
        <v>140.3448612</v>
      </c>
      <c r="H66">
        <v>50.0128956</v>
      </c>
      <c r="I66">
        <v>244.458618</v>
      </c>
      <c r="J66">
        <v>18.844314000000001</v>
      </c>
      <c r="K66">
        <v>43.544595600000001</v>
      </c>
      <c r="L66">
        <v>78.671776800000004</v>
      </c>
      <c r="M66">
        <v>11.4359544</v>
      </c>
      <c r="N66">
        <v>88.814071200000001</v>
      </c>
      <c r="O66">
        <v>79.163367600000001</v>
      </c>
      <c r="P66">
        <v>25.398858000000001</v>
      </c>
      <c r="Q66">
        <v>38.344082399999998</v>
      </c>
      <c r="R66">
        <v>48.5898696</v>
      </c>
      <c r="S66">
        <v>20.353584000000001</v>
      </c>
      <c r="T66">
        <v>67.209949199999997</v>
      </c>
      <c r="U66">
        <v>27.770568000000001</v>
      </c>
      <c r="V66" s="6"/>
      <c r="W66" s="3">
        <v>45855</v>
      </c>
      <c r="X66">
        <v>27.8223144</v>
      </c>
      <c r="Y66">
        <v>822.69014040000002</v>
      </c>
      <c r="Z66">
        <v>164.37243960000001</v>
      </c>
      <c r="AA66">
        <v>74.652806400000003</v>
      </c>
      <c r="AB66">
        <v>137.16245760000001</v>
      </c>
      <c r="AC66">
        <v>953.32392719999996</v>
      </c>
      <c r="AD66">
        <v>182.00933760000001</v>
      </c>
      <c r="AE66">
        <v>123.5790276</v>
      </c>
      <c r="AF66">
        <v>507.9857844</v>
      </c>
      <c r="AG66">
        <v>193.8075168</v>
      </c>
      <c r="AH66">
        <v>668.8825908</v>
      </c>
      <c r="AI66">
        <v>140.62946640000001</v>
      </c>
      <c r="AJ66">
        <v>91.789489200000006</v>
      </c>
      <c r="AK66">
        <v>222.250788</v>
      </c>
      <c r="AL66">
        <v>309.65045759999998</v>
      </c>
      <c r="AM66">
        <v>615.41131080000002</v>
      </c>
      <c r="AN66">
        <v>257.70569640000002</v>
      </c>
      <c r="AO66">
        <v>307.45123560000002</v>
      </c>
      <c r="AP66">
        <v>91.772240400000001</v>
      </c>
      <c r="AQ66">
        <v>60.603658799999998</v>
      </c>
      <c r="AR66" cm="1">
        <f t="array" ref="AR66">SUMPRODUCT($B$162:$U$162,(B66:U66)/($B$11:$U$11))</f>
        <v>29659.765530037526</v>
      </c>
      <c r="AS66">
        <f t="shared" si="0"/>
        <v>414.58533776500553</v>
      </c>
      <c r="AT66">
        <f t="shared" si="1"/>
        <v>1.014176193651033</v>
      </c>
      <c r="AU66" cm="1">
        <f t="array" ref="AU66">SUMPRODUCT($X$162:$AQ$162,(X66:AQ66)/($X$11:$AQ$11))</f>
        <v>27457.685058614294</v>
      </c>
      <c r="AV66">
        <f t="shared" si="2"/>
        <v>305.84502207369951</v>
      </c>
      <c r="AW66">
        <f t="shared" si="3"/>
        <v>-305.84502207369951</v>
      </c>
      <c r="AX66">
        <f t="shared" si="4"/>
        <v>108.74031569130602</v>
      </c>
    </row>
    <row r="67" spans="1:50" x14ac:dyDescent="0.2">
      <c r="A67" s="3">
        <v>45856</v>
      </c>
      <c r="B67">
        <v>163.8633078</v>
      </c>
      <c r="C67">
        <v>56.602476000000003</v>
      </c>
      <c r="D67">
        <v>301.16302200000001</v>
      </c>
      <c r="E67">
        <v>77.927329799999995</v>
      </c>
      <c r="F67">
        <v>44.533589399999997</v>
      </c>
      <c r="G67">
        <v>140.09542920000001</v>
      </c>
      <c r="H67">
        <v>50.056201799999997</v>
      </c>
      <c r="I67">
        <v>244.50033060000001</v>
      </c>
      <c r="J67">
        <v>18.92484</v>
      </c>
      <c r="K67">
        <v>42.150779999999997</v>
      </c>
      <c r="L67">
        <v>79.355294999999998</v>
      </c>
      <c r="M67">
        <v>11.569959000000001</v>
      </c>
      <c r="N67">
        <v>88.895134799999994</v>
      </c>
      <c r="O67">
        <v>79.6821786</v>
      </c>
      <c r="P67">
        <v>25.419501</v>
      </c>
      <c r="Q67">
        <v>38.537855999999998</v>
      </c>
      <c r="R67">
        <v>48.4217838</v>
      </c>
      <c r="S67">
        <v>20.292589799999998</v>
      </c>
      <c r="T67">
        <v>67.690711800000003</v>
      </c>
      <c r="U67">
        <v>26.890477199999999</v>
      </c>
      <c r="V67" s="6"/>
      <c r="W67" s="3">
        <v>45856</v>
      </c>
      <c r="X67">
        <v>27.7334928</v>
      </c>
      <c r="Y67">
        <v>818.02620899999999</v>
      </c>
      <c r="Z67">
        <v>161.9278128</v>
      </c>
      <c r="AA67">
        <v>75.019786199999999</v>
      </c>
      <c r="AB67">
        <v>131.81151059999999</v>
      </c>
      <c r="AC67">
        <v>949.33018979999997</v>
      </c>
      <c r="AD67">
        <v>182.60750160000001</v>
      </c>
      <c r="AE67">
        <v>123.4071612</v>
      </c>
      <c r="AF67">
        <v>503.02224719999998</v>
      </c>
      <c r="AG67">
        <v>197.60113620000001</v>
      </c>
      <c r="AH67">
        <v>669.06191160000003</v>
      </c>
      <c r="AI67">
        <v>139.742739</v>
      </c>
      <c r="AJ67">
        <v>91.854291599999996</v>
      </c>
      <c r="AK67">
        <v>219.48513299999999</v>
      </c>
      <c r="AL67">
        <v>309.16306800000001</v>
      </c>
      <c r="AM67">
        <v>623.86595279999995</v>
      </c>
      <c r="AN67">
        <v>257.0853492</v>
      </c>
      <c r="AO67">
        <v>306.23831999999999</v>
      </c>
      <c r="AP67">
        <v>90.985469399999999</v>
      </c>
      <c r="AQ67">
        <v>58.667003999999999</v>
      </c>
      <c r="AR67" cm="1">
        <f t="array" ref="AR67">SUMPRODUCT($B$162:$U$162,(B67:U67)/($B$11:$U$11))</f>
        <v>29633.271713092407</v>
      </c>
      <c r="AS67">
        <f t="shared" si="0"/>
        <v>-26.493816945119761</v>
      </c>
      <c r="AT67">
        <f t="shared" si="1"/>
        <v>0.9991067421986769</v>
      </c>
      <c r="AU67" cm="1">
        <f t="array" ref="AU67">SUMPRODUCT($X$162:$AQ$162,(X67:AQ67)/($X$11:$AQ$11))</f>
        <v>27312.213803347684</v>
      </c>
      <c r="AV67">
        <f t="shared" si="2"/>
        <v>-145.47125526660966</v>
      </c>
      <c r="AW67">
        <f t="shared" si="3"/>
        <v>145.47125526660966</v>
      </c>
      <c r="AX67">
        <f t="shared" si="4"/>
        <v>118.9774383214899</v>
      </c>
    </row>
    <row r="68" spans="1:50" x14ac:dyDescent="0.2">
      <c r="A68" s="3">
        <v>45859</v>
      </c>
      <c r="B68">
        <v>160.6077981</v>
      </c>
      <c r="C68">
        <v>56.810850799999997</v>
      </c>
      <c r="D68">
        <v>296.25610289999997</v>
      </c>
      <c r="E68">
        <v>77.948181199999993</v>
      </c>
      <c r="F68">
        <v>44.036104999999999</v>
      </c>
      <c r="G68">
        <v>140.02626319999999</v>
      </c>
      <c r="H68">
        <v>51.184490199999999</v>
      </c>
      <c r="I68">
        <v>240.24046720000001</v>
      </c>
      <c r="J68">
        <v>18.922699099999999</v>
      </c>
      <c r="K68">
        <v>41.077562800000003</v>
      </c>
      <c r="L68">
        <v>78.965714500000004</v>
      </c>
      <c r="M68">
        <v>11.440836600000001</v>
      </c>
      <c r="N68">
        <v>87.311197699999994</v>
      </c>
      <c r="O68">
        <v>77.802819299999996</v>
      </c>
      <c r="P68">
        <v>25.472535300000001</v>
      </c>
      <c r="Q68">
        <v>38.640613299999998</v>
      </c>
      <c r="R68">
        <v>47.918122799999999</v>
      </c>
      <c r="S68">
        <v>19.829073300000001</v>
      </c>
      <c r="T68">
        <v>67.302559700000003</v>
      </c>
      <c r="U68">
        <v>26.4815179</v>
      </c>
      <c r="V68" s="6"/>
      <c r="W68" s="3">
        <v>45859</v>
      </c>
      <c r="X68">
        <v>27.4135442</v>
      </c>
      <c r="Y68">
        <v>810.23012919999996</v>
      </c>
      <c r="Z68">
        <v>159.88098859999999</v>
      </c>
      <c r="AA68">
        <v>73.570222799999996</v>
      </c>
      <c r="AB68">
        <v>130.6717974</v>
      </c>
      <c r="AC68">
        <v>934.60861139999997</v>
      </c>
      <c r="AD68">
        <v>179.57325069999999</v>
      </c>
      <c r="AE68">
        <v>121.9842862</v>
      </c>
      <c r="AF68">
        <v>505.73970220000001</v>
      </c>
      <c r="AG68">
        <v>194.9046558</v>
      </c>
      <c r="AH68">
        <v>674.81269329999998</v>
      </c>
      <c r="AI68">
        <v>139.37640999999999</v>
      </c>
      <c r="AJ68">
        <v>92.227850200000006</v>
      </c>
      <c r="AK68">
        <v>217.73502479999999</v>
      </c>
      <c r="AL68">
        <v>311.27968279999999</v>
      </c>
      <c r="AM68">
        <v>619.72908389999998</v>
      </c>
      <c r="AN68">
        <v>255.6573793</v>
      </c>
      <c r="AO68">
        <v>299.88159969999998</v>
      </c>
      <c r="AP68">
        <v>89.525829000000002</v>
      </c>
      <c r="AQ68">
        <v>58.999830000000003</v>
      </c>
      <c r="AR68" cm="1">
        <f t="array" ref="AR68">SUMPRODUCT($B$162:$U$162,(B68:U68)/($B$11:$U$11))</f>
        <v>29351.796642888839</v>
      </c>
      <c r="AS68">
        <f t="shared" si="0"/>
        <v>-281.47507020356716</v>
      </c>
      <c r="AT68">
        <f t="shared" si="1"/>
        <v>0.99050138395352383</v>
      </c>
      <c r="AU68" cm="1">
        <f t="array" ref="AU68">SUMPRODUCT($X$162:$AQ$162,(X68:AQ68)/($X$11:$AQ$11))</f>
        <v>27071.970447225496</v>
      </c>
      <c r="AV68">
        <f t="shared" si="2"/>
        <v>-240.24335612218783</v>
      </c>
      <c r="AW68">
        <f t="shared" si="3"/>
        <v>240.24335612218783</v>
      </c>
      <c r="AX68">
        <f t="shared" si="4"/>
        <v>-41.231714081379323</v>
      </c>
    </row>
    <row r="69" spans="1:50" x14ac:dyDescent="0.2">
      <c r="A69" s="3">
        <v>45860</v>
      </c>
      <c r="B69">
        <v>155.99483900000001</v>
      </c>
      <c r="C69">
        <v>57.100543500000001</v>
      </c>
      <c r="D69">
        <v>296.55525899999998</v>
      </c>
      <c r="E69">
        <v>78.099521499999994</v>
      </c>
      <c r="F69">
        <v>42.423380999999999</v>
      </c>
      <c r="G69">
        <v>140.8752345</v>
      </c>
      <c r="H69">
        <v>52.497444999999999</v>
      </c>
      <c r="I69">
        <v>242.97723450000001</v>
      </c>
      <c r="J69">
        <v>19.288769500000001</v>
      </c>
      <c r="K69">
        <v>41.836294500000001</v>
      </c>
      <c r="L69">
        <v>77.240162999999995</v>
      </c>
      <c r="M69">
        <v>11.622610999999999</v>
      </c>
      <c r="N69">
        <v>87.246159000000006</v>
      </c>
      <c r="O69">
        <v>78.039962000000003</v>
      </c>
      <c r="P69">
        <v>25.4319065</v>
      </c>
      <c r="Q69">
        <v>38.96893</v>
      </c>
      <c r="R69">
        <v>47.366819499999998</v>
      </c>
      <c r="S69">
        <v>20.08006</v>
      </c>
      <c r="T69">
        <v>68.408339999999995</v>
      </c>
      <c r="U69">
        <v>27.8483205</v>
      </c>
      <c r="V69" s="6"/>
      <c r="W69" s="3">
        <v>45860</v>
      </c>
      <c r="X69">
        <v>27.73771</v>
      </c>
      <c r="Y69">
        <v>801.16886850000003</v>
      </c>
      <c r="Z69">
        <v>161.27010899999999</v>
      </c>
      <c r="AA69">
        <v>75.725650000000002</v>
      </c>
      <c r="AB69">
        <v>128.64851999999999</v>
      </c>
      <c r="AC69">
        <v>936.26683149999997</v>
      </c>
      <c r="AD69">
        <v>178.93375499999999</v>
      </c>
      <c r="AE69">
        <v>123.01589300000001</v>
      </c>
      <c r="AF69">
        <v>523.38336049999998</v>
      </c>
      <c r="AG69">
        <v>198.46076249999999</v>
      </c>
      <c r="AH69">
        <v>681.14796750000005</v>
      </c>
      <c r="AI69">
        <v>140.6199795</v>
      </c>
      <c r="AJ69">
        <v>92.904311500000006</v>
      </c>
      <c r="AK69">
        <v>221.33161050000001</v>
      </c>
      <c r="AL69">
        <v>315.67385849999999</v>
      </c>
      <c r="AM69">
        <v>612.59498299999996</v>
      </c>
      <c r="AN69">
        <v>267.72846099999998</v>
      </c>
      <c r="AO69">
        <v>300.87757699999997</v>
      </c>
      <c r="AP69">
        <v>90.564474000000004</v>
      </c>
      <c r="AQ69">
        <v>59.533974499999999</v>
      </c>
      <c r="AR69" cm="1">
        <f t="array" ref="AR69">SUMPRODUCT($B$162:$U$162,(B69:U69)/($B$11:$U$11))</f>
        <v>29369.407827535932</v>
      </c>
      <c r="AS69">
        <f t="shared" si="0"/>
        <v>17.611184647092159</v>
      </c>
      <c r="AT69">
        <f t="shared" si="1"/>
        <v>1.0006000036338953</v>
      </c>
      <c r="AU69" cm="1">
        <f t="array" ref="AU69">SUMPRODUCT($X$162:$AQ$162,(X69:AQ69)/($X$11:$AQ$11))</f>
        <v>27343.19016760201</v>
      </c>
      <c r="AV69">
        <f t="shared" si="2"/>
        <v>271.21972037651358</v>
      </c>
      <c r="AW69">
        <f t="shared" si="3"/>
        <v>-271.21972037651358</v>
      </c>
      <c r="AX69">
        <f t="shared" si="4"/>
        <v>-253.60853572942142</v>
      </c>
    </row>
    <row r="70" spans="1:50" x14ac:dyDescent="0.2">
      <c r="A70" s="3">
        <v>45861</v>
      </c>
      <c r="B70">
        <v>158.369168</v>
      </c>
      <c r="C70">
        <v>57.315365200000002</v>
      </c>
      <c r="D70">
        <v>299.77992080000001</v>
      </c>
      <c r="E70">
        <v>76.414822799999996</v>
      </c>
      <c r="F70">
        <v>43.925353999999999</v>
      </c>
      <c r="G70">
        <v>140.81601879999999</v>
      </c>
      <c r="H70">
        <v>52.183660400000001</v>
      </c>
      <c r="I70">
        <v>243.5605654</v>
      </c>
      <c r="J70">
        <v>19.150434799999999</v>
      </c>
      <c r="K70">
        <v>48.589767799999997</v>
      </c>
      <c r="L70">
        <v>76.831136599999994</v>
      </c>
      <c r="M70">
        <v>11.665282599999999</v>
      </c>
      <c r="N70">
        <v>86.499812199999994</v>
      </c>
      <c r="O70">
        <v>79.617890200000005</v>
      </c>
      <c r="P70">
        <v>26.1173188</v>
      </c>
      <c r="Q70">
        <v>38.096960799999998</v>
      </c>
      <c r="R70">
        <v>47.561727599999998</v>
      </c>
      <c r="S70">
        <v>20.662758400000001</v>
      </c>
      <c r="T70">
        <v>68.547341599999996</v>
      </c>
      <c r="U70">
        <v>29.456325400000001</v>
      </c>
      <c r="V70" s="6"/>
      <c r="W70" s="3">
        <v>45861</v>
      </c>
      <c r="X70">
        <v>27.595657599999999</v>
      </c>
      <c r="Y70">
        <v>799.65384779999999</v>
      </c>
      <c r="Z70">
        <v>162.19245799999999</v>
      </c>
      <c r="AA70">
        <v>76.193921599999996</v>
      </c>
      <c r="AB70">
        <v>128.13968840000001</v>
      </c>
      <c r="AC70">
        <v>951.88875940000003</v>
      </c>
      <c r="AD70">
        <v>178.25027600000001</v>
      </c>
      <c r="AE70">
        <v>123.3988088</v>
      </c>
      <c r="AF70">
        <v>522.02352040000005</v>
      </c>
      <c r="AG70">
        <v>200.88415280000001</v>
      </c>
      <c r="AH70">
        <v>676.47594019999997</v>
      </c>
      <c r="AI70">
        <v>142.72766379999999</v>
      </c>
      <c r="AJ70">
        <v>93.458200000000005</v>
      </c>
      <c r="AK70">
        <v>223.6539688</v>
      </c>
      <c r="AL70">
        <v>319.75448699999998</v>
      </c>
      <c r="AM70">
        <v>611.73489619999998</v>
      </c>
      <c r="AN70">
        <v>269.20209699999998</v>
      </c>
      <c r="AO70">
        <v>304.15546380000001</v>
      </c>
      <c r="AP70">
        <v>91.206706999999994</v>
      </c>
      <c r="AQ70">
        <v>61.0961742</v>
      </c>
      <c r="AR70" cm="1">
        <f t="array" ref="AR70">SUMPRODUCT($B$162:$U$162,(B70:U70)/($B$11:$U$11))</f>
        <v>29764.063931581528</v>
      </c>
      <c r="AS70">
        <f t="shared" si="0"/>
        <v>394.65610404559629</v>
      </c>
      <c r="AT70">
        <f t="shared" si="1"/>
        <v>1.0134376595661414</v>
      </c>
      <c r="AU70" cm="1">
        <f t="array" ref="AU70">SUMPRODUCT($X$162:$AQ$162,(X70:AQ70)/($X$11:$AQ$11))</f>
        <v>27480.033697089719</v>
      </c>
      <c r="AV70">
        <f t="shared" si="2"/>
        <v>136.84352948770902</v>
      </c>
      <c r="AW70">
        <f t="shared" si="3"/>
        <v>-136.84352948770902</v>
      </c>
      <c r="AX70">
        <f t="shared" si="4"/>
        <v>257.81257455788727</v>
      </c>
    </row>
    <row r="71" spans="1:50" x14ac:dyDescent="0.2">
      <c r="A71" s="3">
        <v>45862</v>
      </c>
      <c r="B71">
        <v>158.92383599999999</v>
      </c>
      <c r="C71">
        <v>57.095174700000001</v>
      </c>
      <c r="D71">
        <v>297.22500719999999</v>
      </c>
      <c r="E71">
        <v>77.309469899999996</v>
      </c>
      <c r="F71">
        <v>44.682440399999997</v>
      </c>
      <c r="G71">
        <v>140.34301919999999</v>
      </c>
      <c r="H71">
        <v>52.330862699999997</v>
      </c>
      <c r="I71">
        <v>243.8136666</v>
      </c>
      <c r="J71">
        <v>19.142325</v>
      </c>
      <c r="K71">
        <v>49.863629699999997</v>
      </c>
      <c r="L71">
        <v>76.339592100000004</v>
      </c>
      <c r="M71">
        <v>11.7831645</v>
      </c>
      <c r="N71">
        <v>87.859017899999998</v>
      </c>
      <c r="O71">
        <v>79.546994999999995</v>
      </c>
      <c r="P71">
        <v>25.335930600000001</v>
      </c>
      <c r="Q71">
        <v>37.927326600000001</v>
      </c>
      <c r="R71">
        <v>46.5456267</v>
      </c>
      <c r="S71">
        <v>19.993095</v>
      </c>
      <c r="T71">
        <v>68.665646699999996</v>
      </c>
      <c r="U71">
        <v>28.934687700000001</v>
      </c>
      <c r="V71" s="6"/>
      <c r="W71" s="3">
        <v>45862</v>
      </c>
      <c r="X71">
        <v>27.326732400000001</v>
      </c>
      <c r="Y71">
        <v>794.449026</v>
      </c>
      <c r="Z71">
        <v>158.77920510000001</v>
      </c>
      <c r="AA71">
        <v>73.821312899999995</v>
      </c>
      <c r="AB71">
        <v>127.019961</v>
      </c>
      <c r="AC71">
        <v>951.47564490000002</v>
      </c>
      <c r="AD71">
        <v>177.2324064</v>
      </c>
      <c r="AE71">
        <v>124.552728</v>
      </c>
      <c r="AF71">
        <v>518.69745360000002</v>
      </c>
      <c r="AG71">
        <v>202.4407215</v>
      </c>
      <c r="AH71">
        <v>671.71694579999996</v>
      </c>
      <c r="AI71">
        <v>140.89601970000001</v>
      </c>
      <c r="AJ71">
        <v>93.346484399999994</v>
      </c>
      <c r="AK71">
        <v>222.75710910000001</v>
      </c>
      <c r="AL71">
        <v>317.41377929999999</v>
      </c>
      <c r="AM71">
        <v>606.59901000000002</v>
      </c>
      <c r="AN71">
        <v>277.64028180000003</v>
      </c>
      <c r="AO71">
        <v>303.73339770000001</v>
      </c>
      <c r="AP71">
        <v>91.5088212</v>
      </c>
      <c r="AQ71">
        <v>59.945254200000001</v>
      </c>
      <c r="AR71" cm="1">
        <f t="array" ref="AR71">SUMPRODUCT($B$162:$U$162,(B71:U71)/($B$11:$U$11))</f>
        <v>29675.307042117769</v>
      </c>
      <c r="AS71">
        <f t="shared" si="0"/>
        <v>-88.756889463758853</v>
      </c>
      <c r="AT71">
        <f t="shared" si="1"/>
        <v>0.9970179848535542</v>
      </c>
      <c r="AU71" cm="1">
        <f t="array" ref="AU71">SUMPRODUCT($X$162:$AQ$162,(X71:AQ71)/($X$11:$AQ$11))</f>
        <v>27270.358406565039</v>
      </c>
      <c r="AV71">
        <f t="shared" si="2"/>
        <v>-209.67529052467944</v>
      </c>
      <c r="AW71">
        <f t="shared" si="3"/>
        <v>209.67529052467944</v>
      </c>
      <c r="AX71">
        <f t="shared" si="4"/>
        <v>120.91840106092059</v>
      </c>
    </row>
    <row r="72" spans="1:50" x14ac:dyDescent="0.2">
      <c r="A72" s="3">
        <v>45863</v>
      </c>
      <c r="B72">
        <v>161.43124080000001</v>
      </c>
      <c r="C72">
        <v>56.609963399999998</v>
      </c>
      <c r="D72">
        <v>300.51151199999998</v>
      </c>
      <c r="E72">
        <v>77.759909100000002</v>
      </c>
      <c r="F72">
        <v>46.397001299999999</v>
      </c>
      <c r="G72">
        <v>142.3426269</v>
      </c>
      <c r="H72">
        <v>56.0051925</v>
      </c>
      <c r="I72">
        <v>247.2064938</v>
      </c>
      <c r="J72">
        <v>19.454883599999999</v>
      </c>
      <c r="K72">
        <v>51.839939399999999</v>
      </c>
      <c r="L72">
        <v>77.606586899999996</v>
      </c>
      <c r="M72">
        <v>11.9932032</v>
      </c>
      <c r="N72">
        <v>87.9728712</v>
      </c>
      <c r="O72">
        <v>79.472007000000005</v>
      </c>
      <c r="P72">
        <v>25.340752500000001</v>
      </c>
      <c r="Q72">
        <v>38.236853099999998</v>
      </c>
      <c r="R72">
        <v>46.729199399999999</v>
      </c>
      <c r="S72">
        <v>20.289637800000001</v>
      </c>
      <c r="T72">
        <v>68.782042500000003</v>
      </c>
      <c r="U72">
        <v>29.088628499999999</v>
      </c>
      <c r="V72" s="6"/>
      <c r="W72" s="3">
        <v>45863</v>
      </c>
      <c r="X72">
        <v>27.180618899999999</v>
      </c>
      <c r="Y72">
        <v>796.8325092</v>
      </c>
      <c r="Z72">
        <v>158.858835</v>
      </c>
      <c r="AA72">
        <v>77.001816000000005</v>
      </c>
      <c r="AB72">
        <v>128.8502733</v>
      </c>
      <c r="AC72">
        <v>956.79867119999994</v>
      </c>
      <c r="AD72">
        <v>179.21661599999999</v>
      </c>
      <c r="AE72">
        <v>126.0564021</v>
      </c>
      <c r="AF72">
        <v>512.39427450000005</v>
      </c>
      <c r="AG72">
        <v>203.40745200000001</v>
      </c>
      <c r="AH72">
        <v>682.65005970000004</v>
      </c>
      <c r="AI72">
        <v>141.78044550000001</v>
      </c>
      <c r="AJ72">
        <v>93.943919100000002</v>
      </c>
      <c r="AK72">
        <v>222.913443</v>
      </c>
      <c r="AL72">
        <v>319.71085859999999</v>
      </c>
      <c r="AM72">
        <v>608.75727719999998</v>
      </c>
      <c r="AN72">
        <v>276.74657100000002</v>
      </c>
      <c r="AO72">
        <v>305.38375079999997</v>
      </c>
      <c r="AP72">
        <v>91.081904699999996</v>
      </c>
      <c r="AQ72">
        <v>60.400428900000001</v>
      </c>
      <c r="AR72" cm="1">
        <f t="array" ref="AR72">SUMPRODUCT($B$162:$U$162,(B72:U72)/($B$11:$U$11))</f>
        <v>30064.148174838727</v>
      </c>
      <c r="AS72">
        <f t="shared" si="0"/>
        <v>388.84113272095783</v>
      </c>
      <c r="AT72">
        <f t="shared" si="1"/>
        <v>1.0131031881883843</v>
      </c>
      <c r="AU72" cm="1">
        <f t="array" ref="AU72">SUMPRODUCT($X$162:$AQ$162,(X72:AQ72)/($X$11:$AQ$11))</f>
        <v>27465.624875347839</v>
      </c>
      <c r="AV72">
        <f t="shared" si="2"/>
        <v>195.26646878280008</v>
      </c>
      <c r="AW72">
        <f t="shared" si="3"/>
        <v>-195.26646878280008</v>
      </c>
      <c r="AX72">
        <f t="shared" si="4"/>
        <v>193.57466393815776</v>
      </c>
    </row>
    <row r="73" spans="1:50" x14ac:dyDescent="0.2">
      <c r="A73" s="3">
        <v>45866</v>
      </c>
      <c r="B73">
        <v>162.38318319999999</v>
      </c>
      <c r="C73">
        <v>56.290880799999996</v>
      </c>
      <c r="D73">
        <v>303.76191999999998</v>
      </c>
      <c r="E73">
        <v>78.184175999999994</v>
      </c>
      <c r="F73">
        <v>51.820748000000002</v>
      </c>
      <c r="G73">
        <v>142.63002879999999</v>
      </c>
      <c r="H73">
        <v>54.936033600000002</v>
      </c>
      <c r="I73">
        <v>252.21731919999999</v>
      </c>
      <c r="J73">
        <v>19.295785599999999</v>
      </c>
      <c r="K73">
        <v>51.104491199999998</v>
      </c>
      <c r="L73">
        <v>79.763392800000005</v>
      </c>
      <c r="M73">
        <v>12.064180800000001</v>
      </c>
      <c r="N73">
        <v>88.971176</v>
      </c>
      <c r="O73">
        <v>79.849688799999996</v>
      </c>
      <c r="P73">
        <v>25.655800800000002</v>
      </c>
      <c r="Q73">
        <v>37.789018400000003</v>
      </c>
      <c r="R73">
        <v>47.989205599999998</v>
      </c>
      <c r="S73">
        <v>20.607484800000002</v>
      </c>
      <c r="T73">
        <v>68.786541600000007</v>
      </c>
      <c r="U73">
        <v>29.262973599999999</v>
      </c>
      <c r="V73" s="6"/>
      <c r="W73" s="3">
        <v>45866</v>
      </c>
      <c r="X73">
        <v>26.941611200000001</v>
      </c>
      <c r="Y73">
        <v>805.99601040000005</v>
      </c>
      <c r="Z73">
        <v>159.5871928</v>
      </c>
      <c r="AA73">
        <v>79.841059200000004</v>
      </c>
      <c r="AB73">
        <v>131.21306799999999</v>
      </c>
      <c r="AC73">
        <v>964.63394719999997</v>
      </c>
      <c r="AD73">
        <v>178.00275920000001</v>
      </c>
      <c r="AE73">
        <v>126.2165296</v>
      </c>
      <c r="AF73">
        <v>511.41598479999999</v>
      </c>
      <c r="AG73">
        <v>204.03826240000001</v>
      </c>
      <c r="AH73">
        <v>684.86231520000001</v>
      </c>
      <c r="AI73">
        <v>143.769136</v>
      </c>
      <c r="AJ73">
        <v>92.440275200000002</v>
      </c>
      <c r="AK73">
        <v>224.3782296</v>
      </c>
      <c r="AL73">
        <v>325.53440080000001</v>
      </c>
      <c r="AM73">
        <v>637.33910800000001</v>
      </c>
      <c r="AN73">
        <v>277.42438079999999</v>
      </c>
      <c r="AO73">
        <v>307.2396488</v>
      </c>
      <c r="AP73">
        <v>91.473759999999999</v>
      </c>
      <c r="AQ73">
        <v>60.295015200000002</v>
      </c>
      <c r="AR73" cm="1">
        <f t="array" ref="AR73">SUMPRODUCT($B$162:$U$162,(B73:U73)/($B$11:$U$11))</f>
        <v>30408.16438491338</v>
      </c>
      <c r="AS73">
        <f t="shared" si="0"/>
        <v>344.01621007465292</v>
      </c>
      <c r="AT73">
        <f t="shared" si="1"/>
        <v>1.0114427393077634</v>
      </c>
      <c r="AU73" cm="1">
        <f t="array" ref="AU73">SUMPRODUCT($X$162:$AQ$162,(X73:AQ73)/($X$11:$AQ$11))</f>
        <v>27710.533485112166</v>
      </c>
      <c r="AV73">
        <f t="shared" si="2"/>
        <v>244.90860976432668</v>
      </c>
      <c r="AW73">
        <f t="shared" si="3"/>
        <v>-244.90860976432668</v>
      </c>
      <c r="AX73">
        <f t="shared" si="4"/>
        <v>99.107600310326234</v>
      </c>
    </row>
    <row r="74" spans="1:50" x14ac:dyDescent="0.2">
      <c r="A74" s="3">
        <v>45867</v>
      </c>
      <c r="B74">
        <v>163.85527060000001</v>
      </c>
      <c r="C74">
        <v>57.886809399999997</v>
      </c>
      <c r="D74">
        <v>289.62460659999999</v>
      </c>
      <c r="E74">
        <v>75.452939799999996</v>
      </c>
      <c r="F74">
        <v>50.784133400000002</v>
      </c>
      <c r="G74">
        <v>145.58753440000001</v>
      </c>
      <c r="H74">
        <v>55.426858199999998</v>
      </c>
      <c r="I74">
        <v>252.48280819999999</v>
      </c>
      <c r="J74">
        <v>19.203210599999998</v>
      </c>
      <c r="K74">
        <v>51.503062800000002</v>
      </c>
      <c r="L74">
        <v>78.519216999999998</v>
      </c>
      <c r="M74">
        <v>12.117858200000001</v>
      </c>
      <c r="N74">
        <v>90.974885400000005</v>
      </c>
      <c r="O74">
        <v>82.209143800000007</v>
      </c>
      <c r="P74">
        <v>25.725546000000001</v>
      </c>
      <c r="Q74">
        <v>37.444961399999997</v>
      </c>
      <c r="R74">
        <v>47.206809999999997</v>
      </c>
      <c r="S74">
        <v>20.2772738</v>
      </c>
      <c r="T74">
        <v>68.852648200000004</v>
      </c>
      <c r="U74">
        <v>28.289438799999999</v>
      </c>
      <c r="V74" s="6"/>
      <c r="W74" s="3">
        <v>45867</v>
      </c>
      <c r="X74">
        <v>27.717759999999998</v>
      </c>
      <c r="Y74">
        <v>809.50584260000005</v>
      </c>
      <c r="Z74">
        <v>159.42042900000001</v>
      </c>
      <c r="AA74">
        <v>79.168852000000001</v>
      </c>
      <c r="AB74">
        <v>131.47746219999999</v>
      </c>
      <c r="AC74">
        <v>971.4468554</v>
      </c>
      <c r="AD74">
        <v>175.76524559999999</v>
      </c>
      <c r="AE74">
        <v>127.5796522</v>
      </c>
      <c r="AF74">
        <v>550.72590579999996</v>
      </c>
      <c r="AG74">
        <v>205.674441</v>
      </c>
      <c r="AH74">
        <v>702.58458340000004</v>
      </c>
      <c r="AI74">
        <v>144.6607218</v>
      </c>
      <c r="AJ74">
        <v>95.037269600000002</v>
      </c>
      <c r="AK74">
        <v>224.77370999999999</v>
      </c>
      <c r="AL74">
        <v>326.84436119999998</v>
      </c>
      <c r="AM74">
        <v>627.4348066</v>
      </c>
      <c r="AN74">
        <v>274.12864639999998</v>
      </c>
      <c r="AO74">
        <v>306.54110200000002</v>
      </c>
      <c r="AP74">
        <v>90.879605600000005</v>
      </c>
      <c r="AQ74">
        <v>59.108123200000001</v>
      </c>
      <c r="AR74" cm="1">
        <f t="array" ref="AR74">SUMPRODUCT($B$162:$U$162,(B74:U74)/($B$11:$U$11))</f>
        <v>30223.1761108227</v>
      </c>
      <c r="AS74">
        <f t="shared" si="0"/>
        <v>-184.98827409067962</v>
      </c>
      <c r="AT74">
        <f t="shared" si="1"/>
        <v>0.99391649322369291</v>
      </c>
      <c r="AU74" cm="1">
        <f t="array" ref="AU74">SUMPRODUCT($X$162:$AQ$162,(X74:AQ74)/($X$11:$AQ$11))</f>
        <v>27877.98932391209</v>
      </c>
      <c r="AV74">
        <f t="shared" si="2"/>
        <v>167.45583879992409</v>
      </c>
      <c r="AW74">
        <f t="shared" si="3"/>
        <v>-167.45583879992409</v>
      </c>
      <c r="AX74">
        <f t="shared" si="4"/>
        <v>-352.44411289060372</v>
      </c>
    </row>
    <row r="75" spans="1:50" x14ac:dyDescent="0.2">
      <c r="A75" s="3">
        <v>45868</v>
      </c>
      <c r="B75">
        <v>168.4856446</v>
      </c>
      <c r="C75">
        <v>58.295647199999998</v>
      </c>
      <c r="D75">
        <v>290.38212349999998</v>
      </c>
      <c r="E75">
        <v>76.850639599999994</v>
      </c>
      <c r="F75">
        <v>53.235991900000002</v>
      </c>
      <c r="G75">
        <v>145.0902194</v>
      </c>
      <c r="H75">
        <v>54.639015899999997</v>
      </c>
      <c r="I75">
        <v>261.54998030000002</v>
      </c>
      <c r="J75">
        <v>19.010975200000001</v>
      </c>
      <c r="K75">
        <v>51.473443000000003</v>
      </c>
      <c r="L75">
        <v>79.130553599999999</v>
      </c>
      <c r="M75">
        <v>12.2939978</v>
      </c>
      <c r="N75">
        <v>92.757424200000003</v>
      </c>
      <c r="O75">
        <v>81.235089599999995</v>
      </c>
      <c r="P75">
        <v>26.429464599999999</v>
      </c>
      <c r="Q75">
        <v>34.321474600000002</v>
      </c>
      <c r="R75">
        <v>47.001303999999998</v>
      </c>
      <c r="S75">
        <v>20.519226</v>
      </c>
      <c r="T75">
        <v>68.450033399999995</v>
      </c>
      <c r="U75">
        <v>28.192013500000002</v>
      </c>
      <c r="V75" s="6"/>
      <c r="W75" s="3">
        <v>45868</v>
      </c>
      <c r="X75">
        <v>27.5168082</v>
      </c>
      <c r="Y75">
        <v>813.32424390000006</v>
      </c>
      <c r="Z75">
        <v>159.7868958</v>
      </c>
      <c r="AA75">
        <v>82.129517399999997</v>
      </c>
      <c r="AB75">
        <v>128.56961179999999</v>
      </c>
      <c r="AC75">
        <v>977.42543850000004</v>
      </c>
      <c r="AD75">
        <v>175.8690584</v>
      </c>
      <c r="AE75">
        <v>127.9470199</v>
      </c>
      <c r="AF75">
        <v>565.90096149999999</v>
      </c>
      <c r="AG75">
        <v>206.5689773</v>
      </c>
      <c r="AH75">
        <v>698.91640559999996</v>
      </c>
      <c r="AI75">
        <v>146.92291950000001</v>
      </c>
      <c r="AJ75">
        <v>95.133796099999998</v>
      </c>
      <c r="AK75">
        <v>222.44068630000001</v>
      </c>
      <c r="AL75">
        <v>326.2732312</v>
      </c>
      <c r="AM75">
        <v>640.60322059999999</v>
      </c>
      <c r="AN75">
        <v>273.80013359999998</v>
      </c>
      <c r="AO75">
        <v>307.95499910000001</v>
      </c>
      <c r="AP75">
        <v>91.108870999999994</v>
      </c>
      <c r="AQ75">
        <v>58.4710252</v>
      </c>
      <c r="AR75" cm="1">
        <f t="array" ref="AR75">SUMPRODUCT($B$162:$U$162,(B75:U75)/($B$11:$U$11))</f>
        <v>30443.025959257295</v>
      </c>
      <c r="AS75">
        <f t="shared" si="0"/>
        <v>219.84984843459461</v>
      </c>
      <c r="AT75">
        <f t="shared" si="1"/>
        <v>1.0072742139220725</v>
      </c>
      <c r="AU75" cm="1">
        <f t="array" ref="AU75">SUMPRODUCT($X$162:$AQ$162,(X75:AQ75)/($X$11:$AQ$11))</f>
        <v>28037.721624326088</v>
      </c>
      <c r="AV75">
        <f t="shared" si="2"/>
        <v>159.73230041399802</v>
      </c>
      <c r="AW75">
        <f t="shared" si="3"/>
        <v>-159.73230041399802</v>
      </c>
      <c r="AX75">
        <f t="shared" si="4"/>
        <v>60.117548020596587</v>
      </c>
    </row>
    <row r="76" spans="1:50" x14ac:dyDescent="0.2">
      <c r="A76" s="3">
        <v>45869</v>
      </c>
      <c r="B76">
        <v>157.48571079999999</v>
      </c>
      <c r="C76">
        <v>58.852367200000003</v>
      </c>
      <c r="D76">
        <v>278.46683480000002</v>
      </c>
      <c r="E76">
        <v>76.872510000000005</v>
      </c>
      <c r="F76">
        <v>51.660078800000001</v>
      </c>
      <c r="G76">
        <v>143.4865916</v>
      </c>
      <c r="H76">
        <v>54.402084000000002</v>
      </c>
      <c r="I76">
        <v>252.649936</v>
      </c>
      <c r="J76">
        <v>18.7822976</v>
      </c>
      <c r="K76">
        <v>49.9956028</v>
      </c>
      <c r="L76">
        <v>77.363092399999999</v>
      </c>
      <c r="M76">
        <v>12.282080799999999</v>
      </c>
      <c r="N76">
        <v>91.835273200000003</v>
      </c>
      <c r="O76">
        <v>81.322793200000007</v>
      </c>
      <c r="P76">
        <v>26.079710800000001</v>
      </c>
      <c r="Q76">
        <v>35.2518496</v>
      </c>
      <c r="R76">
        <v>46.6140884</v>
      </c>
      <c r="S76">
        <v>22.391582400000001</v>
      </c>
      <c r="T76">
        <v>66.850612400000003</v>
      </c>
      <c r="U76">
        <v>25.8957424</v>
      </c>
      <c r="V76" s="6"/>
      <c r="W76" s="3">
        <v>45869</v>
      </c>
      <c r="X76">
        <v>26.850625999999998</v>
      </c>
      <c r="Y76">
        <v>823.16222560000006</v>
      </c>
      <c r="Z76">
        <v>158.68588560000001</v>
      </c>
      <c r="AA76">
        <v>81.769573600000001</v>
      </c>
      <c r="AB76">
        <v>130.72268879999999</v>
      </c>
      <c r="AC76">
        <v>968.90900039999997</v>
      </c>
      <c r="AD76">
        <v>174.50716800000001</v>
      </c>
      <c r="AE76">
        <v>126.4388532</v>
      </c>
      <c r="AF76">
        <v>554.94505879999997</v>
      </c>
      <c r="AG76">
        <v>202.83830159999999</v>
      </c>
      <c r="AH76">
        <v>687.84032679999996</v>
      </c>
      <c r="AI76">
        <v>143.5917164</v>
      </c>
      <c r="AJ76">
        <v>93.543551199999996</v>
      </c>
      <c r="AK76">
        <v>224.23995880000001</v>
      </c>
      <c r="AL76">
        <v>321.95346039999998</v>
      </c>
      <c r="AM76">
        <v>623.07468960000006</v>
      </c>
      <c r="AN76">
        <v>269.94296559999998</v>
      </c>
      <c r="AO76">
        <v>308.11202839999999</v>
      </c>
      <c r="AP76">
        <v>88.874257999999998</v>
      </c>
      <c r="AQ76">
        <v>60.131385600000002</v>
      </c>
      <c r="AR76" cm="1">
        <f t="array" ref="AR76">SUMPRODUCT($B$162:$U$162,(B76:U76)/($B$11:$U$11))</f>
        <v>29886.299612273375</v>
      </c>
      <c r="AS76">
        <f t="shared" si="0"/>
        <v>-556.72634698391994</v>
      </c>
      <c r="AT76">
        <f t="shared" si="1"/>
        <v>0.98171251610372101</v>
      </c>
      <c r="AU76" cm="1">
        <f t="array" ref="AU76">SUMPRODUCT($X$162:$AQ$162,(X76:AQ76)/($X$11:$AQ$11))</f>
        <v>27815.916821131748</v>
      </c>
      <c r="AV76">
        <f t="shared" si="2"/>
        <v>-221.80480319433991</v>
      </c>
      <c r="AW76">
        <f t="shared" si="3"/>
        <v>221.80480319433991</v>
      </c>
      <c r="AX76">
        <f t="shared" si="4"/>
        <v>-334.92154378958003</v>
      </c>
    </row>
    <row r="77" spans="1:50" x14ac:dyDescent="0.2">
      <c r="A77" s="3">
        <v>45870</v>
      </c>
      <c r="B77">
        <v>159.0642876</v>
      </c>
      <c r="C77">
        <v>58.270049999999998</v>
      </c>
      <c r="D77">
        <v>271.27945499999998</v>
      </c>
      <c r="E77">
        <v>75.025926600000005</v>
      </c>
      <c r="F77">
        <v>48.895046399999998</v>
      </c>
      <c r="G77">
        <v>138.70861679999999</v>
      </c>
      <c r="H77">
        <v>54.031443400000001</v>
      </c>
      <c r="I77">
        <v>245.95140660000001</v>
      </c>
      <c r="J77">
        <v>18.6377834</v>
      </c>
      <c r="K77">
        <v>48.3339274</v>
      </c>
      <c r="L77">
        <v>73.005898200000004</v>
      </c>
      <c r="M77">
        <v>12.1892312</v>
      </c>
      <c r="N77">
        <v>90.426485</v>
      </c>
      <c r="O77">
        <v>79.040085599999998</v>
      </c>
      <c r="P77">
        <v>25.0949682</v>
      </c>
      <c r="Q77">
        <v>34.556297800000003</v>
      </c>
      <c r="R77">
        <v>44.155749</v>
      </c>
      <c r="S77">
        <v>21.14987</v>
      </c>
      <c r="T77">
        <v>64.209278800000007</v>
      </c>
      <c r="U77">
        <v>23.8302923</v>
      </c>
      <c r="V77" s="6"/>
      <c r="W77" s="3">
        <v>45870</v>
      </c>
      <c r="X77">
        <v>26.1913084</v>
      </c>
      <c r="Y77">
        <v>822.27241519999995</v>
      </c>
      <c r="Z77">
        <v>151.04460220000001</v>
      </c>
      <c r="AA77">
        <v>78.591190400000002</v>
      </c>
      <c r="AB77">
        <v>124.66337660000001</v>
      </c>
      <c r="AC77">
        <v>942.50726799999995</v>
      </c>
      <c r="AD77">
        <v>170.7355628</v>
      </c>
      <c r="AE77">
        <v>120.2866484</v>
      </c>
      <c r="AF77">
        <v>534.05579899999998</v>
      </c>
      <c r="AG77">
        <v>195.47659440000001</v>
      </c>
      <c r="AH77">
        <v>666.22090500000002</v>
      </c>
      <c r="AI77">
        <v>136.98209679999999</v>
      </c>
      <c r="AJ77">
        <v>90.564606600000005</v>
      </c>
      <c r="AK77">
        <v>217.8091306</v>
      </c>
      <c r="AL77">
        <v>322.56573159999999</v>
      </c>
      <c r="AM77">
        <v>678.19432119999999</v>
      </c>
      <c r="AN77">
        <v>266.4624642</v>
      </c>
      <c r="AO77">
        <v>297.39307000000002</v>
      </c>
      <c r="AP77">
        <v>88.967575600000004</v>
      </c>
      <c r="AQ77">
        <v>56.673018999999996</v>
      </c>
      <c r="AR77" cm="1">
        <f t="array" ref="AR77">SUMPRODUCT($B$162:$U$162,(B77:U77)/($B$11:$U$11))</f>
        <v>29072.175821745001</v>
      </c>
      <c r="AS77">
        <f t="shared" ref="AS77:AS140" si="5">AR77-AR76</f>
        <v>-814.12379052837423</v>
      </c>
      <c r="AT77">
        <f t="shared" ref="AT77:AT140" si="6">AR77/AR76</f>
        <v>0.97275929770194636</v>
      </c>
      <c r="AU77" cm="1">
        <f t="array" ref="AU77">SUMPRODUCT($X$162:$AQ$162,(X77:AQ77)/($X$11:$AQ$11))</f>
        <v>27124.692781957117</v>
      </c>
      <c r="AV77">
        <f t="shared" ref="AV77:AV140" si="7">AU77-AU76</f>
        <v>-691.22403917463089</v>
      </c>
      <c r="AW77">
        <f t="shared" ref="AW77:AW140" si="8">IF(AV77&gt;0, -AV77, ABS(AV77))</f>
        <v>691.22403917463089</v>
      </c>
      <c r="AX77">
        <f t="shared" ref="AX77:AX140" si="9">AS77+AW77</f>
        <v>-122.89975135374334</v>
      </c>
    </row>
    <row r="78" spans="1:50" x14ac:dyDescent="0.2">
      <c r="A78" s="3">
        <v>45873</v>
      </c>
      <c r="B78">
        <v>156.57658799999999</v>
      </c>
      <c r="C78">
        <v>59.014403999999999</v>
      </c>
      <c r="D78">
        <v>272.85951</v>
      </c>
      <c r="E78">
        <v>76.430048999999997</v>
      </c>
      <c r="F78">
        <v>50.328189000000002</v>
      </c>
      <c r="G78">
        <v>141.693342</v>
      </c>
      <c r="H78">
        <v>56.542506000000003</v>
      </c>
      <c r="I78">
        <v>248.71961099999999</v>
      </c>
      <c r="J78">
        <v>19.170173999999999</v>
      </c>
      <c r="K78">
        <v>47.225352000000001</v>
      </c>
      <c r="L78">
        <v>75.202742999999998</v>
      </c>
      <c r="M78">
        <v>12.999072</v>
      </c>
      <c r="N78">
        <v>92.436885000000004</v>
      </c>
      <c r="O78">
        <v>80.941694999999996</v>
      </c>
      <c r="P78">
        <v>25.686996000000001</v>
      </c>
      <c r="Q78">
        <v>34.935006000000001</v>
      </c>
      <c r="R78">
        <v>45.393036000000002</v>
      </c>
      <c r="S78">
        <v>21.901361999999999</v>
      </c>
      <c r="T78">
        <v>65.254649999999998</v>
      </c>
      <c r="U78">
        <v>23.889251999999999</v>
      </c>
      <c r="V78" s="6"/>
      <c r="W78" s="3">
        <v>45873</v>
      </c>
      <c r="X78">
        <v>26.093216999999999</v>
      </c>
      <c r="Y78">
        <v>825.72629099999995</v>
      </c>
      <c r="Z78">
        <v>152.20322999999999</v>
      </c>
      <c r="AA78">
        <v>79.947749999999999</v>
      </c>
      <c r="AB78">
        <v>127.804041</v>
      </c>
      <c r="AC78">
        <v>964.61065799999994</v>
      </c>
      <c r="AD78">
        <v>172.06484399999999</v>
      </c>
      <c r="AE78">
        <v>120.509349</v>
      </c>
      <c r="AF78">
        <v>549.712086</v>
      </c>
      <c r="AG78">
        <v>198.20127600000001</v>
      </c>
      <c r="AH78">
        <v>672.76247699999999</v>
      </c>
      <c r="AI78">
        <v>139.774596</v>
      </c>
      <c r="AJ78">
        <v>90.933002999999999</v>
      </c>
      <c r="AK78">
        <v>219.169194</v>
      </c>
      <c r="AL78">
        <v>329.14272599999998</v>
      </c>
      <c r="AM78">
        <v>717.91350899999998</v>
      </c>
      <c r="AN78">
        <v>267.76878299999998</v>
      </c>
      <c r="AO78">
        <v>302.64328799999998</v>
      </c>
      <c r="AP78">
        <v>91.563941999999997</v>
      </c>
      <c r="AQ78">
        <v>56.058498</v>
      </c>
      <c r="AR78" cm="1">
        <f t="array" ref="AR78">SUMPRODUCT($B$162:$U$162,(B78:U78)/($B$11:$U$11))</f>
        <v>29528.625243907638</v>
      </c>
      <c r="AS78">
        <f t="shared" si="5"/>
        <v>456.44942216263735</v>
      </c>
      <c r="AT78">
        <f t="shared" si="6"/>
        <v>1.0157005593582449</v>
      </c>
      <c r="AU78" cm="1">
        <f t="array" ref="AU78">SUMPRODUCT($X$162:$AQ$162,(X78:AQ78)/($X$11:$AQ$11))</f>
        <v>27501.495387135757</v>
      </c>
      <c r="AV78">
        <f t="shared" si="7"/>
        <v>376.80260517864008</v>
      </c>
      <c r="AW78">
        <f t="shared" si="8"/>
        <v>-376.80260517864008</v>
      </c>
      <c r="AX78">
        <f t="shared" si="9"/>
        <v>79.646816983997269</v>
      </c>
    </row>
    <row r="79" spans="1:50" x14ac:dyDescent="0.2">
      <c r="A79" s="3">
        <v>45874</v>
      </c>
      <c r="B79">
        <v>154.93427320000001</v>
      </c>
      <c r="C79">
        <v>59.383407300000002</v>
      </c>
      <c r="D79">
        <v>269.01815360000001</v>
      </c>
      <c r="E79">
        <v>77.2338539</v>
      </c>
      <c r="F79">
        <v>49.473212599999997</v>
      </c>
      <c r="G79">
        <v>146.28553310000001</v>
      </c>
      <c r="H79">
        <v>58.096032399999999</v>
      </c>
      <c r="I79">
        <v>242.78681</v>
      </c>
      <c r="J79">
        <v>18.6971764</v>
      </c>
      <c r="K79">
        <v>45.9307716</v>
      </c>
      <c r="L79">
        <v>75.739116600000003</v>
      </c>
      <c r="M79">
        <v>13.1070317</v>
      </c>
      <c r="N79">
        <v>92.068905599999994</v>
      </c>
      <c r="O79">
        <v>80.111007200000003</v>
      </c>
      <c r="P79">
        <v>25.298212800000002</v>
      </c>
      <c r="Q79">
        <v>34.586320299999997</v>
      </c>
      <c r="R79">
        <v>45.680208700000001</v>
      </c>
      <c r="S79">
        <v>21.600249999999999</v>
      </c>
      <c r="T79">
        <v>63.634336500000003</v>
      </c>
      <c r="U79">
        <v>23.734354700000001</v>
      </c>
      <c r="V79" s="6"/>
      <c r="W79" s="3">
        <v>45874</v>
      </c>
      <c r="X79">
        <v>26.317744600000001</v>
      </c>
      <c r="Y79">
        <v>815.30575629999998</v>
      </c>
      <c r="Z79">
        <v>153.08529179999999</v>
      </c>
      <c r="AA79">
        <v>78.555789200000007</v>
      </c>
      <c r="AB79">
        <v>129.6792609</v>
      </c>
      <c r="AC79">
        <v>958.74005639999996</v>
      </c>
      <c r="AD79">
        <v>173.234005</v>
      </c>
      <c r="AE79">
        <v>120.25291180000001</v>
      </c>
      <c r="AF79">
        <v>543.03028500000005</v>
      </c>
      <c r="AG79">
        <v>192.90751270000001</v>
      </c>
      <c r="AH79">
        <v>673.01194940000005</v>
      </c>
      <c r="AI79">
        <v>139.38209320000001</v>
      </c>
      <c r="AJ79">
        <v>92.483630399999996</v>
      </c>
      <c r="AK79">
        <v>221.22112039999999</v>
      </c>
      <c r="AL79">
        <v>332.9980941</v>
      </c>
      <c r="AM79">
        <v>693.60994779999999</v>
      </c>
      <c r="AN79">
        <v>269.55383979999999</v>
      </c>
      <c r="AO79">
        <v>298.94745999999998</v>
      </c>
      <c r="AP79">
        <v>91.282656500000002</v>
      </c>
      <c r="AQ79">
        <v>55.970567799999998</v>
      </c>
      <c r="AR79" cm="1">
        <f t="array" ref="AR79">SUMPRODUCT($B$162:$U$162,(B79:U79)/($B$11:$U$11))</f>
        <v>29358.293749298413</v>
      </c>
      <c r="AS79">
        <f t="shared" si="5"/>
        <v>-170.33149460922505</v>
      </c>
      <c r="AT79">
        <f t="shared" si="6"/>
        <v>0.99423164833437794</v>
      </c>
      <c r="AU79" cm="1">
        <f t="array" ref="AU79">SUMPRODUCT($X$162:$AQ$162,(X79:AQ79)/($X$11:$AQ$11))</f>
        <v>27392.750223222323</v>
      </c>
      <c r="AV79">
        <f t="shared" si="7"/>
        <v>-108.74516391343423</v>
      </c>
      <c r="AW79">
        <f t="shared" si="8"/>
        <v>108.74516391343423</v>
      </c>
      <c r="AX79">
        <f t="shared" si="9"/>
        <v>-61.586330695790821</v>
      </c>
    </row>
    <row r="80" spans="1:50" x14ac:dyDescent="0.2">
      <c r="A80" s="3">
        <v>45875</v>
      </c>
      <c r="B80">
        <v>156.1546826</v>
      </c>
      <c r="C80">
        <v>58.753135</v>
      </c>
      <c r="D80">
        <v>269.3380942</v>
      </c>
      <c r="E80">
        <v>76.524886199999997</v>
      </c>
      <c r="F80">
        <v>40.132250900000003</v>
      </c>
      <c r="G80">
        <v>143.69215629999999</v>
      </c>
      <c r="H80">
        <v>58.255663200000001</v>
      </c>
      <c r="I80">
        <v>237.842983</v>
      </c>
      <c r="J80">
        <v>18.389302399999998</v>
      </c>
      <c r="K80">
        <v>44.129179499999999</v>
      </c>
      <c r="L80">
        <v>76.224687700000004</v>
      </c>
      <c r="M80">
        <v>12.9771523</v>
      </c>
      <c r="N80">
        <v>92.186670800000002</v>
      </c>
      <c r="O80">
        <v>77.108129000000005</v>
      </c>
      <c r="P80">
        <v>25.079440399999999</v>
      </c>
      <c r="Q80">
        <v>34.188320599999997</v>
      </c>
      <c r="R80">
        <v>46.419265199999998</v>
      </c>
      <c r="S80">
        <v>21.279785100000002</v>
      </c>
      <c r="T80">
        <v>63.882240799999998</v>
      </c>
      <c r="U80">
        <v>22.909434099999999</v>
      </c>
      <c r="V80" s="6"/>
      <c r="W80" s="3">
        <v>45875</v>
      </c>
      <c r="X80">
        <v>25.9543046</v>
      </c>
      <c r="Y80">
        <v>830.74359760000004</v>
      </c>
      <c r="Z80">
        <v>149.498853</v>
      </c>
      <c r="AA80">
        <v>77.322556500000005</v>
      </c>
      <c r="AB80">
        <v>129.3598222</v>
      </c>
      <c r="AC80">
        <v>961.09836340000004</v>
      </c>
      <c r="AD80">
        <v>174.887069</v>
      </c>
      <c r="AE80">
        <v>119.2903068</v>
      </c>
      <c r="AF80">
        <v>536.82353479999995</v>
      </c>
      <c r="AG80">
        <v>191.49233459999999</v>
      </c>
      <c r="AH80">
        <v>663.00982999999997</v>
      </c>
      <c r="AI80">
        <v>137.87688249999999</v>
      </c>
      <c r="AJ80">
        <v>90.685678300000006</v>
      </c>
      <c r="AK80">
        <v>220.86890210000001</v>
      </c>
      <c r="AL80">
        <v>331.76222799999999</v>
      </c>
      <c r="AM80">
        <v>691.18560349999996</v>
      </c>
      <c r="AN80">
        <v>265.5127076</v>
      </c>
      <c r="AO80">
        <v>281.9035457</v>
      </c>
      <c r="AP80">
        <v>90.419788199999999</v>
      </c>
      <c r="AQ80">
        <v>55.854075199999997</v>
      </c>
      <c r="AR80" cm="1">
        <f t="array" ref="AR80">SUMPRODUCT($B$162:$U$162,(B80:U80)/($B$11:$U$11))</f>
        <v>28840.49432827648</v>
      </c>
      <c r="AS80">
        <f t="shared" si="5"/>
        <v>-517.79942102193309</v>
      </c>
      <c r="AT80">
        <f t="shared" si="6"/>
        <v>0.98236275495287229</v>
      </c>
      <c r="AU80" cm="1">
        <f t="array" ref="AU80">SUMPRODUCT($X$162:$AQ$162,(X80:AQ80)/($X$11:$AQ$11))</f>
        <v>27127.855517372329</v>
      </c>
      <c r="AV80">
        <f t="shared" si="7"/>
        <v>-264.89470584999435</v>
      </c>
      <c r="AW80">
        <f t="shared" si="8"/>
        <v>264.89470584999435</v>
      </c>
      <c r="AX80">
        <f t="shared" si="9"/>
        <v>-252.90471517193873</v>
      </c>
    </row>
    <row r="81" spans="1:50" x14ac:dyDescent="0.2">
      <c r="A81" s="3">
        <v>45876</v>
      </c>
      <c r="B81">
        <v>155.66308660000001</v>
      </c>
      <c r="C81">
        <v>58.903021699999996</v>
      </c>
      <c r="D81">
        <v>265.56510059999999</v>
      </c>
      <c r="E81">
        <v>79.443210899999997</v>
      </c>
      <c r="F81">
        <v>40.008790900000001</v>
      </c>
      <c r="G81">
        <v>142.6068645</v>
      </c>
      <c r="H81">
        <v>59.211638899999997</v>
      </c>
      <c r="I81">
        <v>260.22430850000001</v>
      </c>
      <c r="J81">
        <v>18.6541952</v>
      </c>
      <c r="K81">
        <v>44.680912399999997</v>
      </c>
      <c r="L81">
        <v>75.422614600000003</v>
      </c>
      <c r="M81">
        <v>12.901913499999999</v>
      </c>
      <c r="N81">
        <v>92.190815799999996</v>
      </c>
      <c r="O81">
        <v>71.0591103</v>
      </c>
      <c r="P81">
        <v>24.869402699999998</v>
      </c>
      <c r="Q81">
        <v>34.976616</v>
      </c>
      <c r="R81">
        <v>45.975390099999998</v>
      </c>
      <c r="S81">
        <v>20.977396899999999</v>
      </c>
      <c r="T81">
        <v>64.089505200000005</v>
      </c>
      <c r="U81">
        <v>22.811954700000001</v>
      </c>
      <c r="V81" s="6"/>
      <c r="W81" s="3">
        <v>45876</v>
      </c>
      <c r="X81">
        <v>25.906699400000001</v>
      </c>
      <c r="Y81">
        <v>837.93856149999999</v>
      </c>
      <c r="Z81">
        <v>149.13926190000001</v>
      </c>
      <c r="AA81">
        <v>78.200169399999993</v>
      </c>
      <c r="AB81">
        <v>130.0821498</v>
      </c>
      <c r="AC81">
        <v>953.99577409999995</v>
      </c>
      <c r="AD81">
        <v>174.29156370000001</v>
      </c>
      <c r="AE81">
        <v>120.4635804</v>
      </c>
      <c r="AF81">
        <v>531.78601275000005</v>
      </c>
      <c r="AG81">
        <v>200.06967259999999</v>
      </c>
      <c r="AH81">
        <v>668.10480180000002</v>
      </c>
      <c r="AI81">
        <v>138.23478750000001</v>
      </c>
      <c r="AJ81">
        <v>91.119228300000003</v>
      </c>
      <c r="AK81">
        <v>220.12979060000001</v>
      </c>
      <c r="AL81">
        <v>331.0519559</v>
      </c>
      <c r="AM81">
        <v>684.05002379999996</v>
      </c>
      <c r="AN81">
        <v>264.58781279999999</v>
      </c>
      <c r="AO81">
        <v>285.11942929999998</v>
      </c>
      <c r="AP81">
        <v>89.207516200000001</v>
      </c>
      <c r="AQ81">
        <v>56.408366000000001</v>
      </c>
      <c r="AR81" cm="1">
        <f t="array" ref="AR81">SUMPRODUCT($B$162:$U$162,(B81:U81)/($B$11:$U$11))</f>
        <v>28849.214774654632</v>
      </c>
      <c r="AS81">
        <f t="shared" si="5"/>
        <v>8.7204463781527011</v>
      </c>
      <c r="AT81">
        <f t="shared" si="6"/>
        <v>1.0003023681313812</v>
      </c>
      <c r="AU81" cm="1">
        <f t="array" ref="AU81">SUMPRODUCT($X$162:$AQ$162,(X81:AQ81)/($X$11:$AQ$11))</f>
        <v>27208.145476635691</v>
      </c>
      <c r="AV81">
        <f t="shared" si="7"/>
        <v>80.289959263362107</v>
      </c>
      <c r="AW81">
        <f t="shared" si="8"/>
        <v>-80.289959263362107</v>
      </c>
      <c r="AX81">
        <f t="shared" si="9"/>
        <v>-71.569512885209406</v>
      </c>
    </row>
    <row r="82" spans="1:50" x14ac:dyDescent="0.2">
      <c r="A82" s="3">
        <v>45877</v>
      </c>
      <c r="B82">
        <v>155.296785</v>
      </c>
      <c r="C82">
        <v>58.913972600000001</v>
      </c>
      <c r="D82">
        <v>258.99121919999999</v>
      </c>
      <c r="E82">
        <v>76.948160799999997</v>
      </c>
      <c r="F82">
        <v>38.319428000000002</v>
      </c>
      <c r="G82">
        <v>141.7045574</v>
      </c>
      <c r="H82">
        <v>59.266236399999997</v>
      </c>
      <c r="I82">
        <v>263.85417799999999</v>
      </c>
      <c r="J82">
        <v>18.334901200000001</v>
      </c>
      <c r="K82">
        <v>44.290728999999999</v>
      </c>
      <c r="L82">
        <v>76.716182200000006</v>
      </c>
      <c r="M82">
        <v>12.887700000000001</v>
      </c>
      <c r="N82">
        <v>92.533686000000003</v>
      </c>
      <c r="O82">
        <v>69.516253800000001</v>
      </c>
      <c r="P82">
        <v>24.374936600000002</v>
      </c>
      <c r="Q82">
        <v>35.973866600000001</v>
      </c>
      <c r="R82">
        <v>46.086415199999998</v>
      </c>
      <c r="S82">
        <v>20.62032</v>
      </c>
      <c r="T82">
        <v>60.5979654</v>
      </c>
      <c r="U82">
        <v>22.441781599999999</v>
      </c>
      <c r="V82" s="6"/>
      <c r="W82" s="3">
        <v>45877</v>
      </c>
      <c r="X82">
        <v>25.732441000000001</v>
      </c>
      <c r="Y82">
        <v>842.83839639999997</v>
      </c>
      <c r="Z82">
        <v>149.08491359999999</v>
      </c>
      <c r="AA82">
        <v>77.919034199999999</v>
      </c>
      <c r="AB82">
        <v>131.71229400000001</v>
      </c>
      <c r="AC82">
        <v>966.55172459999994</v>
      </c>
      <c r="AD82">
        <v>174.9891906</v>
      </c>
      <c r="AE82">
        <v>121.30762420000001</v>
      </c>
      <c r="AF82">
        <v>532.19327559999999</v>
      </c>
      <c r="AG82">
        <v>197.48252299999999</v>
      </c>
      <c r="AH82">
        <v>666.89551600000004</v>
      </c>
      <c r="AI82">
        <v>141.73033280000001</v>
      </c>
      <c r="AJ82">
        <v>90.798142400000003</v>
      </c>
      <c r="AK82">
        <v>220.80066819999999</v>
      </c>
      <c r="AL82">
        <v>333.23296299999998</v>
      </c>
      <c r="AM82">
        <v>691.02988219999997</v>
      </c>
      <c r="AN82">
        <v>262.63414239999997</v>
      </c>
      <c r="AO82">
        <v>286.30455139999998</v>
      </c>
      <c r="AP82">
        <v>90.265450799999996</v>
      </c>
      <c r="AQ82">
        <v>57.479142000000003</v>
      </c>
      <c r="AR82" cm="1">
        <f t="array" ref="AR82">SUMPRODUCT($B$162:$U$162,(B82:U82)/($B$11:$U$11))</f>
        <v>28554.885451799062</v>
      </c>
      <c r="AS82">
        <f t="shared" si="5"/>
        <v>-294.32932285557035</v>
      </c>
      <c r="AT82">
        <f t="shared" si="6"/>
        <v>0.98979766606631692</v>
      </c>
      <c r="AU82" cm="1">
        <f t="array" ref="AU82">SUMPRODUCT($X$162:$AQ$162,(X82:AQ82)/($X$11:$AQ$11))</f>
        <v>27304.956667490642</v>
      </c>
      <c r="AV82">
        <f t="shared" si="7"/>
        <v>96.811190854950837</v>
      </c>
      <c r="AW82">
        <f t="shared" si="8"/>
        <v>-96.811190854950837</v>
      </c>
      <c r="AX82">
        <f t="shared" si="9"/>
        <v>-391.14051371052119</v>
      </c>
    </row>
    <row r="83" spans="1:50" x14ac:dyDescent="0.2">
      <c r="A83" s="3">
        <v>45880</v>
      </c>
      <c r="B83">
        <v>154.88207639999999</v>
      </c>
      <c r="C83">
        <v>58.989165300000003</v>
      </c>
      <c r="D83">
        <v>260.77154580000001</v>
      </c>
      <c r="E83">
        <v>77.992097400000006</v>
      </c>
      <c r="F83">
        <v>38.918556000000002</v>
      </c>
      <c r="G83">
        <v>142.24215599999999</v>
      </c>
      <c r="H83">
        <v>59.299136099999998</v>
      </c>
      <c r="I83">
        <v>262.47638519999998</v>
      </c>
      <c r="J83">
        <v>18.271056600000001</v>
      </c>
      <c r="K83">
        <v>44.472199500000002</v>
      </c>
      <c r="L83">
        <v>76.915809899999999</v>
      </c>
      <c r="M83">
        <v>13.0101633</v>
      </c>
      <c r="N83">
        <v>92.250754200000003</v>
      </c>
      <c r="O83">
        <v>71.1469089</v>
      </c>
      <c r="P83">
        <v>24.634068299999999</v>
      </c>
      <c r="Q83">
        <v>35.698303799999998</v>
      </c>
      <c r="R83">
        <v>46.065105000000003</v>
      </c>
      <c r="S83">
        <v>20.432241900000001</v>
      </c>
      <c r="T83">
        <v>60.797328299999997</v>
      </c>
      <c r="U83">
        <v>21.930434099999999</v>
      </c>
      <c r="V83" s="6"/>
      <c r="W83" s="3">
        <v>45880</v>
      </c>
      <c r="X83">
        <v>25.744796999999998</v>
      </c>
      <c r="Y83">
        <v>851.33480220000001</v>
      </c>
      <c r="Z83">
        <v>150.92994870000001</v>
      </c>
      <c r="AA83">
        <v>76.752214199999997</v>
      </c>
      <c r="AB83">
        <v>133.72656929999999</v>
      </c>
      <c r="AC83">
        <v>971.1815679</v>
      </c>
      <c r="AD83">
        <v>175.0904505</v>
      </c>
      <c r="AE83">
        <v>119.338758</v>
      </c>
      <c r="AF83">
        <v>530.4978036</v>
      </c>
      <c r="AG83">
        <v>190.32207120000001</v>
      </c>
      <c r="AH83">
        <v>668.80505249999999</v>
      </c>
      <c r="AI83">
        <v>139.04773470000001</v>
      </c>
      <c r="AJ83">
        <v>89.616002399999999</v>
      </c>
      <c r="AK83">
        <v>221.18999669999999</v>
      </c>
      <c r="AL83">
        <v>333.67495589999999</v>
      </c>
      <c r="AM83">
        <v>686.68003529999999</v>
      </c>
      <c r="AN83">
        <v>264.03484950000001</v>
      </c>
      <c r="AO83">
        <v>283.93325279999999</v>
      </c>
      <c r="AP83">
        <v>90.640628100000001</v>
      </c>
      <c r="AQ83">
        <v>57.499583399999999</v>
      </c>
      <c r="AR83" cm="1">
        <f t="array" ref="AR83">SUMPRODUCT($B$162:$U$162,(B83:U83)/($B$11:$U$11))</f>
        <v>28619.538700243767</v>
      </c>
      <c r="AS83">
        <f t="shared" si="5"/>
        <v>64.653248444705241</v>
      </c>
      <c r="AT83">
        <f t="shared" si="6"/>
        <v>1.0022641746735017</v>
      </c>
      <c r="AU83" cm="1">
        <f t="array" ref="AU83">SUMPRODUCT($X$162:$AQ$162,(X83:AQ83)/($X$11:$AQ$11))</f>
        <v>27242.331064639911</v>
      </c>
      <c r="AV83">
        <f t="shared" si="7"/>
        <v>-62.625602850730502</v>
      </c>
      <c r="AW83">
        <f t="shared" si="8"/>
        <v>62.625602850730502</v>
      </c>
      <c r="AX83">
        <f t="shared" si="9"/>
        <v>127.27885129543574</v>
      </c>
    </row>
    <row r="84" spans="1:50" x14ac:dyDescent="0.2">
      <c r="A84" s="3">
        <v>45881</v>
      </c>
      <c r="B84">
        <v>154.973412</v>
      </c>
      <c r="C84">
        <v>58.691146799999999</v>
      </c>
      <c r="D84">
        <v>268.2093744</v>
      </c>
      <c r="E84">
        <v>78.583256399999996</v>
      </c>
      <c r="F84">
        <v>39.775652399999998</v>
      </c>
      <c r="G84">
        <v>144.96738959999999</v>
      </c>
      <c r="H84">
        <v>59.0509524</v>
      </c>
      <c r="I84">
        <v>265.25382839999997</v>
      </c>
      <c r="J84">
        <v>18.761292000000001</v>
      </c>
      <c r="K84">
        <v>45.378339599999997</v>
      </c>
      <c r="L84">
        <v>84.357279599999998</v>
      </c>
      <c r="M84">
        <v>13.244272799999999</v>
      </c>
      <c r="N84">
        <v>93.215350799999996</v>
      </c>
      <c r="O84">
        <v>71.018771999999998</v>
      </c>
      <c r="P84">
        <v>25.3919952</v>
      </c>
      <c r="Q84">
        <v>36.109062000000002</v>
      </c>
      <c r="R84">
        <v>50.064379199999998</v>
      </c>
      <c r="S84">
        <v>20.7659232</v>
      </c>
      <c r="T84">
        <v>61.655259600000001</v>
      </c>
      <c r="U84">
        <v>21.982408800000002</v>
      </c>
      <c r="V84" s="6"/>
      <c r="W84" s="3">
        <v>45881</v>
      </c>
      <c r="X84">
        <v>25.7261004</v>
      </c>
      <c r="Y84">
        <v>849.18404999999996</v>
      </c>
      <c r="Z84">
        <v>152.48047320000001</v>
      </c>
      <c r="AA84">
        <v>78.557556000000005</v>
      </c>
      <c r="AB84">
        <v>135.22693799999999</v>
      </c>
      <c r="AC84">
        <v>993.41469480000001</v>
      </c>
      <c r="AD84">
        <v>175.11395880000001</v>
      </c>
      <c r="AE84">
        <v>115.6432332</v>
      </c>
      <c r="AF84">
        <v>536.11034400000005</v>
      </c>
      <c r="AG84">
        <v>184.36610279999999</v>
      </c>
      <c r="AH84">
        <v>674.48129759999995</v>
      </c>
      <c r="AI84">
        <v>143.14266119999999</v>
      </c>
      <c r="AJ84">
        <v>89.788630800000007</v>
      </c>
      <c r="AK84">
        <v>223.14800640000001</v>
      </c>
      <c r="AL84">
        <v>339.24527999999998</v>
      </c>
      <c r="AM84">
        <v>720.0909408</v>
      </c>
      <c r="AN84">
        <v>268.012338</v>
      </c>
      <c r="AO84">
        <v>291.05703</v>
      </c>
      <c r="AP84">
        <v>92.213035199999993</v>
      </c>
      <c r="AQ84">
        <v>61.423955999999997</v>
      </c>
      <c r="AR84" cm="1">
        <f t="array" ref="AR84">SUMPRODUCT($B$162:$U$162,(B84:U84)/($B$11:$U$11))</f>
        <v>29172.586192130999</v>
      </c>
      <c r="AS84">
        <f t="shared" si="5"/>
        <v>553.04749188723144</v>
      </c>
      <c r="AT84">
        <f t="shared" si="6"/>
        <v>1.0193241232040724</v>
      </c>
      <c r="AU84" cm="1">
        <f t="array" ref="AU84">SUMPRODUCT($X$162:$AQ$162,(X84:AQ84)/($X$11:$AQ$11))</f>
        <v>27601.233299866992</v>
      </c>
      <c r="AV84">
        <f t="shared" si="7"/>
        <v>358.90223522708038</v>
      </c>
      <c r="AW84">
        <f t="shared" si="8"/>
        <v>-358.90223522708038</v>
      </c>
      <c r="AX84">
        <f t="shared" si="9"/>
        <v>194.14525666015106</v>
      </c>
    </row>
    <row r="85" spans="1:50" x14ac:dyDescent="0.2">
      <c r="A85" s="3">
        <v>45882</v>
      </c>
      <c r="B85">
        <v>151.05968799999999</v>
      </c>
      <c r="C85">
        <v>58.108424100000001</v>
      </c>
      <c r="D85">
        <v>267.78918220000003</v>
      </c>
      <c r="E85">
        <v>77.606060299999996</v>
      </c>
      <c r="F85">
        <v>39.3626687</v>
      </c>
      <c r="G85">
        <v>147.46262189999999</v>
      </c>
      <c r="H85">
        <v>58.578349600000003</v>
      </c>
      <c r="I85">
        <v>263.73927880000002</v>
      </c>
      <c r="J85">
        <v>18.5492411</v>
      </c>
      <c r="K85">
        <v>46.761859299999998</v>
      </c>
      <c r="L85">
        <v>85.261573900000002</v>
      </c>
      <c r="M85">
        <v>13.029752500000001</v>
      </c>
      <c r="N85">
        <v>93.771497499999995</v>
      </c>
      <c r="O85">
        <v>73.838112199999998</v>
      </c>
      <c r="P85">
        <v>26.179122400000001</v>
      </c>
      <c r="Q85">
        <v>36.517483400000003</v>
      </c>
      <c r="R85">
        <v>50.769042200000001</v>
      </c>
      <c r="S85">
        <v>21.155191599999998</v>
      </c>
      <c r="T85">
        <v>64.456690399999999</v>
      </c>
      <c r="U85">
        <v>22.975084899999999</v>
      </c>
      <c r="V85" s="6"/>
      <c r="W85" s="3">
        <v>45882</v>
      </c>
      <c r="X85">
        <v>26.093681400000001</v>
      </c>
      <c r="Y85">
        <v>836.33922849999999</v>
      </c>
      <c r="Z85">
        <v>156.21178029999999</v>
      </c>
      <c r="AA85">
        <v>81.391096599999997</v>
      </c>
      <c r="AB85">
        <v>136.87648200000001</v>
      </c>
      <c r="AC85">
        <v>991.14123229999996</v>
      </c>
      <c r="AD85">
        <v>178.8707335</v>
      </c>
      <c r="AE85">
        <v>118.4297701</v>
      </c>
      <c r="AF85">
        <v>528.51239369999996</v>
      </c>
      <c r="AG85">
        <v>189.2432709</v>
      </c>
      <c r="AH85">
        <v>669.85744</v>
      </c>
      <c r="AI85">
        <v>145.43767020000001</v>
      </c>
      <c r="AJ85">
        <v>90.729797899999994</v>
      </c>
      <c r="AK85">
        <v>228.40088119999999</v>
      </c>
      <c r="AL85">
        <v>347.89866380000001</v>
      </c>
      <c r="AM85">
        <v>736.33053800000005</v>
      </c>
      <c r="AN85">
        <v>282.57901930000003</v>
      </c>
      <c r="AO85">
        <v>298.19763410000002</v>
      </c>
      <c r="AP85">
        <v>93.942379500000001</v>
      </c>
      <c r="AQ85">
        <v>63.841515200000003</v>
      </c>
      <c r="AR85" cm="1">
        <f t="array" ref="AR85">SUMPRODUCT($B$162:$U$162,(B85:U85)/($B$11:$U$11))</f>
        <v>29284.742064809823</v>
      </c>
      <c r="AS85">
        <f t="shared" si="5"/>
        <v>112.15587267882438</v>
      </c>
      <c r="AT85">
        <f t="shared" si="6"/>
        <v>1.0038445639320479</v>
      </c>
      <c r="AU85" cm="1">
        <f t="array" ref="AU85">SUMPRODUCT($X$162:$AQ$162,(X85:AQ85)/($X$11:$AQ$11))</f>
        <v>28075.681698187705</v>
      </c>
      <c r="AV85">
        <f t="shared" si="7"/>
        <v>474.44839832071375</v>
      </c>
      <c r="AW85">
        <f t="shared" si="8"/>
        <v>-474.44839832071375</v>
      </c>
      <c r="AX85">
        <f t="shared" si="9"/>
        <v>-362.29252564188937</v>
      </c>
    </row>
    <row r="86" spans="1:50" x14ac:dyDescent="0.2">
      <c r="A86" s="3">
        <v>45883</v>
      </c>
      <c r="B86">
        <v>151.11557339999999</v>
      </c>
      <c r="C86">
        <v>57.985309800000003</v>
      </c>
      <c r="D86">
        <v>268.15951799999999</v>
      </c>
      <c r="E86">
        <v>78.481523999999993</v>
      </c>
      <c r="F86">
        <v>39.060443399999997</v>
      </c>
      <c r="G86">
        <v>147.85266540000001</v>
      </c>
      <c r="H86">
        <v>58.801036799999999</v>
      </c>
      <c r="I86">
        <v>271.1476548</v>
      </c>
      <c r="J86">
        <v>18.083379600000001</v>
      </c>
      <c r="K86">
        <v>47.080327799999999</v>
      </c>
      <c r="L86">
        <v>85.127552399999999</v>
      </c>
      <c r="M86">
        <v>13.1460846</v>
      </c>
      <c r="N86">
        <v>92.451922199999998</v>
      </c>
      <c r="O86">
        <v>73.217938200000006</v>
      </c>
      <c r="P86">
        <v>25.974464999999999</v>
      </c>
      <c r="Q86">
        <v>36.304144800000003</v>
      </c>
      <c r="R86">
        <v>50.6265936</v>
      </c>
      <c r="S86">
        <v>20.9169576</v>
      </c>
      <c r="T86">
        <v>63.772678200000001</v>
      </c>
      <c r="U86">
        <v>22.917635400000002</v>
      </c>
      <c r="V86" s="6"/>
      <c r="W86" s="3">
        <v>45883</v>
      </c>
      <c r="X86">
        <v>25.974464999999999</v>
      </c>
      <c r="Y86">
        <v>837.52837739999995</v>
      </c>
      <c r="Z86">
        <v>154.04360399999999</v>
      </c>
      <c r="AA86">
        <v>76.850070000000002</v>
      </c>
      <c r="AB86">
        <v>134.50908899999999</v>
      </c>
      <c r="AC86">
        <v>996.18298560000005</v>
      </c>
      <c r="AD86">
        <v>177.73403339999999</v>
      </c>
      <c r="AE86">
        <v>118.05716339999999</v>
      </c>
      <c r="AF86">
        <v>529.24367759999996</v>
      </c>
      <c r="AG86">
        <v>185.47056000000001</v>
      </c>
      <c r="AH86">
        <v>665.77920419999998</v>
      </c>
      <c r="AI86">
        <v>141.2323968</v>
      </c>
      <c r="AJ86">
        <v>90.889161000000001</v>
      </c>
      <c r="AK86">
        <v>225.38966339999999</v>
      </c>
      <c r="AL86">
        <v>343.73877119999997</v>
      </c>
      <c r="AM86">
        <v>728.83919460000004</v>
      </c>
      <c r="AN86">
        <v>280.0004394</v>
      </c>
      <c r="AO86">
        <v>298.39293659999998</v>
      </c>
      <c r="AP86">
        <v>93.645459599999995</v>
      </c>
      <c r="AQ86">
        <v>63.789851400000003</v>
      </c>
      <c r="AR86" cm="1">
        <f t="array" ref="AR86">SUMPRODUCT($B$162:$U$162,(B86:U86)/($B$11:$U$11))</f>
        <v>29246.249421457138</v>
      </c>
      <c r="AS86">
        <f t="shared" si="5"/>
        <v>-38.492643352685263</v>
      </c>
      <c r="AT86">
        <f t="shared" si="6"/>
        <v>0.99868557342019615</v>
      </c>
      <c r="AU86" cm="1">
        <f t="array" ref="AU86">SUMPRODUCT($X$162:$AQ$162,(X86:AQ86)/($X$11:$AQ$11))</f>
        <v>27739.110735197723</v>
      </c>
      <c r="AV86">
        <f t="shared" si="7"/>
        <v>-336.57096298998295</v>
      </c>
      <c r="AW86">
        <f t="shared" si="8"/>
        <v>336.57096298998295</v>
      </c>
      <c r="AX86">
        <f t="shared" si="9"/>
        <v>298.07831963729768</v>
      </c>
    </row>
    <row r="87" spans="1:50" x14ac:dyDescent="0.2">
      <c r="A87" s="3">
        <v>45884</v>
      </c>
      <c r="B87">
        <v>146.40504999999999</v>
      </c>
      <c r="C87">
        <v>57.937928399999997</v>
      </c>
      <c r="D87">
        <v>268.40213399999999</v>
      </c>
      <c r="E87">
        <v>79.165592000000004</v>
      </c>
      <c r="F87">
        <v>38.787720399999998</v>
      </c>
      <c r="G87">
        <v>148.14053759999999</v>
      </c>
      <c r="H87">
        <v>59.271603599999999</v>
      </c>
      <c r="I87">
        <v>274.66014840000003</v>
      </c>
      <c r="J87">
        <v>18.124303999999999</v>
      </c>
      <c r="K87">
        <v>46.293917999999998</v>
      </c>
      <c r="L87">
        <v>86.287075599999994</v>
      </c>
      <c r="M87">
        <v>12.8408984</v>
      </c>
      <c r="N87">
        <v>91.707268400000004</v>
      </c>
      <c r="O87">
        <v>73.437628000000004</v>
      </c>
      <c r="P87">
        <v>25.4424192</v>
      </c>
      <c r="Q87">
        <v>36.214411200000001</v>
      </c>
      <c r="R87">
        <v>51.500380800000002</v>
      </c>
      <c r="S87">
        <v>20.774556</v>
      </c>
      <c r="T87">
        <v>63.623146400000003</v>
      </c>
      <c r="U87">
        <v>23.954858399999999</v>
      </c>
      <c r="V87" s="6"/>
      <c r="W87" s="3">
        <v>45884</v>
      </c>
      <c r="X87">
        <v>26.109256800000001</v>
      </c>
      <c r="Y87">
        <v>831.01643679999995</v>
      </c>
      <c r="Z87">
        <v>150.9275768</v>
      </c>
      <c r="AA87">
        <v>77.772072399999999</v>
      </c>
      <c r="AB87">
        <v>130.28125879999999</v>
      </c>
      <c r="AC87">
        <v>970.34274919999996</v>
      </c>
      <c r="AD87">
        <v>177.1479732</v>
      </c>
      <c r="AE87">
        <v>118.19269</v>
      </c>
      <c r="AF87">
        <v>528.2636172</v>
      </c>
      <c r="AG87">
        <v>185.6715256</v>
      </c>
      <c r="AH87">
        <v>667.95754520000003</v>
      </c>
      <c r="AI87">
        <v>139.693928</v>
      </c>
      <c r="AJ87">
        <v>91.125922799999998</v>
      </c>
      <c r="AK87">
        <v>221.11650879999999</v>
      </c>
      <c r="AL87">
        <v>341.43794960000002</v>
      </c>
      <c r="AM87">
        <v>706.5657324</v>
      </c>
      <c r="AN87">
        <v>275.07051000000001</v>
      </c>
      <c r="AO87">
        <v>292.62201759999999</v>
      </c>
      <c r="AP87">
        <v>91.5106368</v>
      </c>
      <c r="AQ87">
        <v>63.417965600000002</v>
      </c>
      <c r="AR87" cm="1">
        <f t="array" ref="AR87">SUMPRODUCT($B$162:$U$162,(B87:U87)/($B$11:$U$11))</f>
        <v>29178.755427600849</v>
      </c>
      <c r="AS87">
        <f t="shared" si="5"/>
        <v>-67.493993856289308</v>
      </c>
      <c r="AT87">
        <f t="shared" si="6"/>
        <v>0.99769221711530742</v>
      </c>
      <c r="AU87" cm="1">
        <f t="array" ref="AU87">SUMPRODUCT($X$162:$AQ$162,(X87:AQ87)/($X$11:$AQ$11))</f>
        <v>27491.627172610541</v>
      </c>
      <c r="AV87">
        <f t="shared" si="7"/>
        <v>-247.48356258718195</v>
      </c>
      <c r="AW87">
        <f t="shared" si="8"/>
        <v>247.48356258718195</v>
      </c>
      <c r="AX87">
        <f t="shared" si="9"/>
        <v>179.98956873089264</v>
      </c>
    </row>
    <row r="88" spans="1:50" x14ac:dyDescent="0.2">
      <c r="A88" s="3">
        <v>45887</v>
      </c>
      <c r="B88">
        <v>148.41287149999999</v>
      </c>
      <c r="C88">
        <v>57.641312300000003</v>
      </c>
      <c r="D88">
        <v>280.273484</v>
      </c>
      <c r="E88">
        <v>80.6000674</v>
      </c>
      <c r="F88">
        <v>39.330911800000003</v>
      </c>
      <c r="G88">
        <v>147.9926328</v>
      </c>
      <c r="H88">
        <v>59.176470000000002</v>
      </c>
      <c r="I88">
        <v>277.07452410000002</v>
      </c>
      <c r="J88">
        <v>18.095993</v>
      </c>
      <c r="K88">
        <v>46.569308999999997</v>
      </c>
      <c r="L88">
        <v>87.795583100000002</v>
      </c>
      <c r="M88">
        <v>12.950213</v>
      </c>
      <c r="N88">
        <v>91.500544700000006</v>
      </c>
      <c r="O88">
        <v>72.426853500000007</v>
      </c>
      <c r="P88">
        <v>25.703171099999999</v>
      </c>
      <c r="Q88">
        <v>35.8060525</v>
      </c>
      <c r="R88">
        <v>52.392616699999998</v>
      </c>
      <c r="S88">
        <v>21.080545399999998</v>
      </c>
      <c r="T88">
        <v>64.562386399999994</v>
      </c>
      <c r="U88">
        <v>24.090826700000001</v>
      </c>
      <c r="V88" s="6"/>
      <c r="W88" s="3">
        <v>45887</v>
      </c>
      <c r="X88">
        <v>25.686018499999999</v>
      </c>
      <c r="Y88">
        <v>839.91994050000005</v>
      </c>
      <c r="Z88">
        <v>151.92915450000001</v>
      </c>
      <c r="AA88">
        <v>77.821346199999994</v>
      </c>
      <c r="AB88">
        <v>131.0973218</v>
      </c>
      <c r="AC88">
        <v>974.3705956</v>
      </c>
      <c r="AD88">
        <v>178.08686950000001</v>
      </c>
      <c r="AE88">
        <v>117.9841591</v>
      </c>
      <c r="AF88">
        <v>536.30176789999996</v>
      </c>
      <c r="AG88">
        <v>193.2068864</v>
      </c>
      <c r="AH88">
        <v>660.07492950000005</v>
      </c>
      <c r="AI88">
        <v>141.02010089999999</v>
      </c>
      <c r="AJ88">
        <v>90.428507199999999</v>
      </c>
      <c r="AK88">
        <v>222.3148486</v>
      </c>
      <c r="AL88">
        <v>338.50656099999998</v>
      </c>
      <c r="AM88">
        <v>729.25136529999997</v>
      </c>
      <c r="AN88">
        <v>271.0796904</v>
      </c>
      <c r="AO88">
        <v>294.01271659999998</v>
      </c>
      <c r="AP88">
        <v>91.457663199999999</v>
      </c>
      <c r="AQ88">
        <v>64.931167299999998</v>
      </c>
      <c r="AR88" cm="1">
        <f t="array" ref="AR88">SUMPRODUCT($B$162:$U$162,(B88:U88)/($B$11:$U$11))</f>
        <v>29504.611732292055</v>
      </c>
      <c r="AS88">
        <f t="shared" si="5"/>
        <v>325.85630469120588</v>
      </c>
      <c r="AT88">
        <f t="shared" si="6"/>
        <v>1.0111675875107056</v>
      </c>
      <c r="AU88" cm="1">
        <f t="array" ref="AU88">SUMPRODUCT($X$162:$AQ$162,(X88:AQ88)/($X$11:$AQ$11))</f>
        <v>27625.351979166604</v>
      </c>
      <c r="AV88">
        <f t="shared" si="7"/>
        <v>133.72480655606341</v>
      </c>
      <c r="AW88">
        <f t="shared" si="8"/>
        <v>-133.72480655606341</v>
      </c>
      <c r="AX88">
        <f t="shared" si="9"/>
        <v>192.13149813514246</v>
      </c>
    </row>
    <row r="89" spans="1:50" x14ac:dyDescent="0.2">
      <c r="A89" s="3">
        <v>45888</v>
      </c>
      <c r="B89">
        <v>147.60365400000001</v>
      </c>
      <c r="C89">
        <v>58.354533600000003</v>
      </c>
      <c r="D89">
        <v>283.4179062</v>
      </c>
      <c r="E89">
        <v>81.847471200000001</v>
      </c>
      <c r="F89">
        <v>37.1284584</v>
      </c>
      <c r="G89">
        <v>150.16246079999999</v>
      </c>
      <c r="H89">
        <v>57.856510800000002</v>
      </c>
      <c r="I89">
        <v>281.19397679999997</v>
      </c>
      <c r="J89">
        <v>18.452603400000001</v>
      </c>
      <c r="K89">
        <v>47.312165999999998</v>
      </c>
      <c r="L89">
        <v>87.746465400000005</v>
      </c>
      <c r="M89">
        <v>13.395096000000001</v>
      </c>
      <c r="N89">
        <v>92.821145999999999</v>
      </c>
      <c r="O89">
        <v>72.127440000000007</v>
      </c>
      <c r="P89">
        <v>25.390576200000002</v>
      </c>
      <c r="Q89">
        <v>35.600043599999999</v>
      </c>
      <c r="R89">
        <v>51.948929999999997</v>
      </c>
      <c r="S89">
        <v>20.9770638</v>
      </c>
      <c r="T89">
        <v>65.678903399999996</v>
      </c>
      <c r="U89">
        <v>23.965200599999999</v>
      </c>
      <c r="V89" s="6"/>
      <c r="W89" s="3">
        <v>45888</v>
      </c>
      <c r="X89">
        <v>26.189129999999999</v>
      </c>
      <c r="Y89">
        <v>842.21666100000004</v>
      </c>
      <c r="Z89">
        <v>154.30978859999999</v>
      </c>
      <c r="AA89">
        <v>77.167774199999997</v>
      </c>
      <c r="AB89">
        <v>132.52558440000001</v>
      </c>
      <c r="AC89">
        <v>968.97205020000001</v>
      </c>
      <c r="AD89">
        <v>181.11715380000001</v>
      </c>
      <c r="AE89">
        <v>119.3623266</v>
      </c>
      <c r="AF89">
        <v>526.1782614</v>
      </c>
      <c r="AG89">
        <v>195.7143738</v>
      </c>
      <c r="AH89">
        <v>664.13916359999996</v>
      </c>
      <c r="AI89">
        <v>140.37373679999999</v>
      </c>
      <c r="AJ89">
        <v>95.105181599999995</v>
      </c>
      <c r="AK89">
        <v>226.63472039999999</v>
      </c>
      <c r="AL89">
        <v>349.64635199999998</v>
      </c>
      <c r="AM89">
        <v>725.39596800000004</v>
      </c>
      <c r="AN89">
        <v>278.87559479999999</v>
      </c>
      <c r="AO89">
        <v>294.95829659999998</v>
      </c>
      <c r="AP89">
        <v>91.275558000000004</v>
      </c>
      <c r="AQ89">
        <v>65.378372400000003</v>
      </c>
      <c r="AR89" cm="1">
        <f t="array" ref="AR89">SUMPRODUCT($B$162:$U$162,(B89:U89)/($B$11:$U$11))</f>
        <v>29555.484098414181</v>
      </c>
      <c r="AS89">
        <f t="shared" si="5"/>
        <v>50.87236612212655</v>
      </c>
      <c r="AT89">
        <f t="shared" si="6"/>
        <v>1.0017242174404366</v>
      </c>
      <c r="AU89" cm="1">
        <f t="array" ref="AU89">SUMPRODUCT($X$162:$AQ$162,(X89:AQ89)/($X$11:$AQ$11))</f>
        <v>27843.499783553936</v>
      </c>
      <c r="AV89">
        <f t="shared" si="7"/>
        <v>218.14780438733214</v>
      </c>
      <c r="AW89">
        <f t="shared" si="8"/>
        <v>-218.14780438733214</v>
      </c>
      <c r="AX89">
        <f t="shared" si="9"/>
        <v>-167.27543826520559</v>
      </c>
    </row>
    <row r="90" spans="1:50" x14ac:dyDescent="0.2">
      <c r="A90" s="3">
        <v>45889</v>
      </c>
      <c r="B90">
        <v>147.57610199999999</v>
      </c>
      <c r="C90">
        <v>59.377194000000003</v>
      </c>
      <c r="D90">
        <v>282.48369600000001</v>
      </c>
      <c r="E90">
        <v>80.448459</v>
      </c>
      <c r="F90">
        <v>36.572163000000003</v>
      </c>
      <c r="G90">
        <v>149.45577900000001</v>
      </c>
      <c r="H90">
        <v>59.222700000000003</v>
      </c>
      <c r="I90">
        <v>285.81389999999999</v>
      </c>
      <c r="J90">
        <v>18.565028999999999</v>
      </c>
      <c r="K90">
        <v>47.369577</v>
      </c>
      <c r="L90">
        <v>85.692672000000002</v>
      </c>
      <c r="M90">
        <v>13.183488000000001</v>
      </c>
      <c r="N90">
        <v>93.477452999999997</v>
      </c>
      <c r="O90">
        <v>73.324568999999997</v>
      </c>
      <c r="P90">
        <v>25.113858</v>
      </c>
      <c r="Q90">
        <v>35.456372999999999</v>
      </c>
      <c r="R90">
        <v>50.682614999999998</v>
      </c>
      <c r="S90">
        <v>20.470455000000001</v>
      </c>
      <c r="T90">
        <v>65.282297999999997</v>
      </c>
      <c r="U90">
        <v>23.079687</v>
      </c>
      <c r="V90" s="6"/>
      <c r="W90" s="3">
        <v>45889</v>
      </c>
      <c r="X90">
        <v>26.221064999999999</v>
      </c>
      <c r="Y90">
        <v>853.63943099999995</v>
      </c>
      <c r="Z90">
        <v>153.412542</v>
      </c>
      <c r="AA90">
        <v>74.303031000000004</v>
      </c>
      <c r="AB90">
        <v>132.82192499999999</v>
      </c>
      <c r="AC90">
        <v>968.55721800000003</v>
      </c>
      <c r="AD90">
        <v>181.281543</v>
      </c>
      <c r="AE90">
        <v>119.200704</v>
      </c>
      <c r="AF90">
        <v>515.94987900000001</v>
      </c>
      <c r="AG90">
        <v>194.79118500000001</v>
      </c>
      <c r="AH90">
        <v>666.28970700000002</v>
      </c>
      <c r="AI90">
        <v>136.04913300000001</v>
      </c>
      <c r="AJ90">
        <v>94.567493999999996</v>
      </c>
      <c r="AK90">
        <v>224.89176599999999</v>
      </c>
      <c r="AL90">
        <v>344.81344200000001</v>
      </c>
      <c r="AM90">
        <v>709.18754100000001</v>
      </c>
      <c r="AN90">
        <v>270.32158500000003</v>
      </c>
      <c r="AO90">
        <v>291.49584599999997</v>
      </c>
      <c r="AP90">
        <v>90.773808000000002</v>
      </c>
      <c r="AQ90">
        <v>64.501244999999997</v>
      </c>
      <c r="AR90" cm="1">
        <f t="array" ref="AR90">SUMPRODUCT($B$162:$U$162,(B90:U90)/($B$11:$U$11))</f>
        <v>29437.32327944248</v>
      </c>
      <c r="AS90">
        <f t="shared" si="5"/>
        <v>-118.16081897170079</v>
      </c>
      <c r="AT90">
        <f t="shared" si="6"/>
        <v>0.9960020678876973</v>
      </c>
      <c r="AU90" cm="1">
        <f t="array" ref="AU90">SUMPRODUCT($X$162:$AQ$162,(X90:AQ90)/($X$11:$AQ$11))</f>
        <v>27565.537574317594</v>
      </c>
      <c r="AV90">
        <f t="shared" si="7"/>
        <v>-277.96220923634246</v>
      </c>
      <c r="AW90">
        <f t="shared" si="8"/>
        <v>277.96220923634246</v>
      </c>
      <c r="AX90">
        <f t="shared" si="9"/>
        <v>159.80139026464167</v>
      </c>
    </row>
    <row r="91" spans="1:50" x14ac:dyDescent="0.2">
      <c r="A91" s="3">
        <v>45890</v>
      </c>
      <c r="B91">
        <v>149.289525</v>
      </c>
      <c r="C91">
        <v>59.560704000000001</v>
      </c>
      <c r="D91">
        <v>280.078351</v>
      </c>
      <c r="E91">
        <v>81.197991000000002</v>
      </c>
      <c r="F91">
        <v>36.458526999999997</v>
      </c>
      <c r="G91">
        <v>149.44463099999999</v>
      </c>
      <c r="H91">
        <v>60.396552999999997</v>
      </c>
      <c r="I91">
        <v>282.50834500000002</v>
      </c>
      <c r="J91">
        <v>18.474848000000001</v>
      </c>
      <c r="K91">
        <v>47.100521999999998</v>
      </c>
      <c r="L91">
        <v>83.744314500000002</v>
      </c>
      <c r="M91">
        <v>12.641139000000001</v>
      </c>
      <c r="N91">
        <v>93.468598999999998</v>
      </c>
      <c r="O91">
        <v>74.416411999999994</v>
      </c>
      <c r="P91">
        <v>25.221958999999998</v>
      </c>
      <c r="Q91">
        <v>35.950124000000002</v>
      </c>
      <c r="R91">
        <v>49.840727999999999</v>
      </c>
      <c r="S91">
        <v>20.129311999999999</v>
      </c>
      <c r="T91">
        <v>65.764944</v>
      </c>
      <c r="U91">
        <v>22.593774</v>
      </c>
      <c r="V91" s="6"/>
      <c r="W91" s="3">
        <v>45890</v>
      </c>
      <c r="X91">
        <v>26.350785999999999</v>
      </c>
      <c r="Y91">
        <v>835.57325600000001</v>
      </c>
      <c r="Z91">
        <v>152.87419700000001</v>
      </c>
      <c r="AA91">
        <v>75.588324</v>
      </c>
      <c r="AB91">
        <v>133.029246</v>
      </c>
      <c r="AC91">
        <v>969.19707500000004</v>
      </c>
      <c r="AD91">
        <v>181.913487</v>
      </c>
      <c r="AE91">
        <v>119.267897</v>
      </c>
      <c r="AF91">
        <v>515.44308899999999</v>
      </c>
      <c r="AG91">
        <v>194.158244</v>
      </c>
      <c r="AH91">
        <v>665.39612299999999</v>
      </c>
      <c r="AI91">
        <v>138.380403</v>
      </c>
      <c r="AJ91">
        <v>93.399663000000004</v>
      </c>
      <c r="AK91">
        <v>224.90369999999999</v>
      </c>
      <c r="AL91">
        <v>342.69808999999998</v>
      </c>
      <c r="AM91">
        <v>707.23165800000004</v>
      </c>
      <c r="AN91">
        <v>265.94647099999997</v>
      </c>
      <c r="AO91">
        <v>292.56438400000002</v>
      </c>
      <c r="AP91">
        <v>90.073500999999993</v>
      </c>
      <c r="AQ91">
        <v>64.084629000000007</v>
      </c>
      <c r="AR91" cm="1">
        <f t="array" ref="AR91">SUMPRODUCT($B$162:$U$162,(B91:U91)/($B$11:$U$11))</f>
        <v>29369.959831824784</v>
      </c>
      <c r="AS91">
        <f t="shared" si="5"/>
        <v>-67.363447617695783</v>
      </c>
      <c r="AT91">
        <f t="shared" si="6"/>
        <v>0.99771163135390306</v>
      </c>
      <c r="AU91" cm="1">
        <f t="array" ref="AU91">SUMPRODUCT($X$162:$AQ$162,(X91:AQ91)/($X$11:$AQ$11))</f>
        <v>27530.082502373374</v>
      </c>
      <c r="AV91">
        <f t="shared" si="7"/>
        <v>-35.455071944219526</v>
      </c>
      <c r="AW91">
        <f t="shared" si="8"/>
        <v>35.455071944219526</v>
      </c>
      <c r="AX91">
        <f t="shared" si="9"/>
        <v>-31.908375673476257</v>
      </c>
    </row>
    <row r="92" spans="1:50" x14ac:dyDescent="0.2">
      <c r="A92" s="3">
        <v>45891</v>
      </c>
      <c r="B92">
        <v>145.96731</v>
      </c>
      <c r="C92">
        <v>57.866221899999999</v>
      </c>
      <c r="D92">
        <v>294.21375870000003</v>
      </c>
      <c r="E92">
        <v>82.620911899999996</v>
      </c>
      <c r="F92">
        <v>37.456406800000003</v>
      </c>
      <c r="G92">
        <v>150.71338159999999</v>
      </c>
      <c r="H92">
        <v>60.409979700000001</v>
      </c>
      <c r="I92">
        <v>282.34857970000002</v>
      </c>
      <c r="J92">
        <v>18.4465121</v>
      </c>
      <c r="K92">
        <v>48.647233900000003</v>
      </c>
      <c r="L92">
        <v>87.904757799999999</v>
      </c>
      <c r="M92">
        <v>12.966335900000001</v>
      </c>
      <c r="N92">
        <v>93.1715315</v>
      </c>
      <c r="O92">
        <v>73.845801100000003</v>
      </c>
      <c r="P92">
        <v>26.717993</v>
      </c>
      <c r="Q92">
        <v>36.944240800000003</v>
      </c>
      <c r="R92">
        <v>52.659200900000002</v>
      </c>
      <c r="S92">
        <v>21.382930500000001</v>
      </c>
      <c r="T92">
        <v>66.274280399999995</v>
      </c>
      <c r="U92">
        <v>23.149903200000001</v>
      </c>
      <c r="V92" s="6"/>
      <c r="W92" s="3">
        <v>45891</v>
      </c>
      <c r="X92">
        <v>26.683848600000001</v>
      </c>
      <c r="Y92">
        <v>818.21932939999999</v>
      </c>
      <c r="Z92">
        <v>156.2703827</v>
      </c>
      <c r="AA92">
        <v>77.874840300000002</v>
      </c>
      <c r="AB92">
        <v>135.4849792</v>
      </c>
      <c r="AC92">
        <v>980.08939369999996</v>
      </c>
      <c r="AD92">
        <v>179.7275855</v>
      </c>
      <c r="AE92">
        <v>120.1968241</v>
      </c>
      <c r="AF92">
        <v>517.73153720000005</v>
      </c>
      <c r="AG92">
        <v>199.65084289999999</v>
      </c>
      <c r="AH92">
        <v>671.3386567</v>
      </c>
      <c r="AI92">
        <v>142.44190069999999</v>
      </c>
      <c r="AJ92">
        <v>95.843330800000004</v>
      </c>
      <c r="AK92">
        <v>229.97107009999999</v>
      </c>
      <c r="AL92">
        <v>352.36167189999998</v>
      </c>
      <c r="AM92">
        <v>720.44683999999995</v>
      </c>
      <c r="AN92">
        <v>276.33916529999999</v>
      </c>
      <c r="AO92">
        <v>299.77929590000002</v>
      </c>
      <c r="AP92">
        <v>92.437426900000006</v>
      </c>
      <c r="AQ92">
        <v>66.9486323</v>
      </c>
      <c r="AR92" cm="1">
        <f t="array" ref="AR92">SUMPRODUCT($B$162:$U$162,(B92:U92)/($B$11:$U$11))</f>
        <v>29908.581127489604</v>
      </c>
      <c r="AS92">
        <f t="shared" si="5"/>
        <v>538.62129566481963</v>
      </c>
      <c r="AT92">
        <f t="shared" si="6"/>
        <v>1.0183391907496304</v>
      </c>
      <c r="AU92" cm="1">
        <f t="array" ref="AU92">SUMPRODUCT($X$162:$AQ$162,(X92:AQ92)/($X$11:$AQ$11))</f>
        <v>28013.277759216762</v>
      </c>
      <c r="AV92">
        <f t="shared" si="7"/>
        <v>483.19525684338805</v>
      </c>
      <c r="AW92">
        <f t="shared" si="8"/>
        <v>-483.19525684338805</v>
      </c>
      <c r="AX92">
        <f t="shared" si="9"/>
        <v>55.426038821431575</v>
      </c>
    </row>
    <row r="93" spans="1:50" x14ac:dyDescent="0.2">
      <c r="A93" s="3">
        <v>45894</v>
      </c>
      <c r="B93">
        <v>147.39140520000001</v>
      </c>
      <c r="C93">
        <v>58.288635599999999</v>
      </c>
      <c r="D93">
        <v>296.9260281</v>
      </c>
      <c r="E93">
        <v>81.907066799999996</v>
      </c>
      <c r="F93">
        <v>37.932371099999997</v>
      </c>
      <c r="G93">
        <v>151.8413793</v>
      </c>
      <c r="H93">
        <v>61.197902999999997</v>
      </c>
      <c r="I93">
        <v>283.18016999999998</v>
      </c>
      <c r="J93">
        <v>18.238868700000001</v>
      </c>
      <c r="K93">
        <v>48.183665400000002</v>
      </c>
      <c r="L93">
        <v>88.087108200000003</v>
      </c>
      <c r="M93">
        <v>12.8334843</v>
      </c>
      <c r="N93">
        <v>92.227219500000004</v>
      </c>
      <c r="O93">
        <v>74.169104099999998</v>
      </c>
      <c r="P93">
        <v>26.897812500000001</v>
      </c>
      <c r="Q93">
        <v>37.605293699999997</v>
      </c>
      <c r="R93">
        <v>51.996699300000003</v>
      </c>
      <c r="S93">
        <v>21.208387200000001</v>
      </c>
      <c r="T93">
        <v>65.8630596</v>
      </c>
      <c r="U93">
        <v>21.819505500000002</v>
      </c>
      <c r="V93" s="6"/>
      <c r="W93" s="3">
        <v>45894</v>
      </c>
      <c r="X93">
        <v>26.510484000000002</v>
      </c>
      <c r="Y93">
        <v>810.44615339999996</v>
      </c>
      <c r="Z93">
        <v>155.37037230000001</v>
      </c>
      <c r="AA93">
        <v>76.329536399999995</v>
      </c>
      <c r="AB93">
        <v>134.14477049999999</v>
      </c>
      <c r="AC93">
        <v>978.73608300000001</v>
      </c>
      <c r="AD93">
        <v>178.17971729999999</v>
      </c>
      <c r="AE93">
        <v>119.211105</v>
      </c>
      <c r="AF93">
        <v>513.85581000000002</v>
      </c>
      <c r="AG93">
        <v>198.63926939999999</v>
      </c>
      <c r="AH93">
        <v>673.41793740000003</v>
      </c>
      <c r="AI93">
        <v>142.2958836</v>
      </c>
      <c r="AJ93">
        <v>96.074682600000003</v>
      </c>
      <c r="AK93">
        <v>229.59112020000001</v>
      </c>
      <c r="AL93">
        <v>351.95249699999999</v>
      </c>
      <c r="AM93">
        <v>721.17123779999997</v>
      </c>
      <c r="AN93">
        <v>276.66444389999998</v>
      </c>
      <c r="AO93">
        <v>301.2296781</v>
      </c>
      <c r="AP93">
        <v>92.494045799999995</v>
      </c>
      <c r="AQ93">
        <v>67.851345899999998</v>
      </c>
      <c r="AR93" cm="1">
        <f t="array" ref="AR93">SUMPRODUCT($B$162:$U$162,(B93:U93)/($B$11:$U$11))</f>
        <v>29930.332704367163</v>
      </c>
      <c r="AS93">
        <f t="shared" si="5"/>
        <v>21.751576877559273</v>
      </c>
      <c r="AT93">
        <f t="shared" si="6"/>
        <v>1.0007272687656041</v>
      </c>
      <c r="AU93" cm="1">
        <f t="array" ref="AU93">SUMPRODUCT($X$162:$AQ$162,(X93:AQ93)/($X$11:$AQ$11))</f>
        <v>27892.360221163755</v>
      </c>
      <c r="AV93">
        <f t="shared" si="7"/>
        <v>-120.91753805300687</v>
      </c>
      <c r="AW93">
        <f t="shared" si="8"/>
        <v>120.91753805300687</v>
      </c>
      <c r="AX93">
        <f t="shared" si="9"/>
        <v>142.66911493056614</v>
      </c>
    </row>
    <row r="94" spans="1:50" x14ac:dyDescent="0.2">
      <c r="A94" s="3">
        <v>45895</v>
      </c>
      <c r="B94">
        <v>151.1082432</v>
      </c>
      <c r="C94">
        <v>58.065696000000003</v>
      </c>
      <c r="D94">
        <v>303.84851040000001</v>
      </c>
      <c r="E94">
        <v>82.915408799999994</v>
      </c>
      <c r="F94">
        <v>38.1034656</v>
      </c>
      <c r="G94">
        <v>151.8898968</v>
      </c>
      <c r="H94">
        <v>62.214472800000003</v>
      </c>
      <c r="I94">
        <v>285.02869679999998</v>
      </c>
      <c r="J94">
        <v>17.857778400000001</v>
      </c>
      <c r="K94">
        <v>48.453933599999999</v>
      </c>
      <c r="L94">
        <v>89.443504799999999</v>
      </c>
      <c r="M94">
        <v>12.927348</v>
      </c>
      <c r="N94">
        <v>92.003205600000001</v>
      </c>
      <c r="O94">
        <v>74.411704799999995</v>
      </c>
      <c r="P94">
        <v>27.375055199999998</v>
      </c>
      <c r="Q94">
        <v>38.094875999999999</v>
      </c>
      <c r="R94">
        <v>52.525404000000002</v>
      </c>
      <c r="S94">
        <v>21.267849600000002</v>
      </c>
      <c r="T94">
        <v>66.0883824</v>
      </c>
      <c r="U94">
        <v>21.2420808</v>
      </c>
      <c r="V94" s="6"/>
      <c r="W94" s="3">
        <v>45895</v>
      </c>
      <c r="X94">
        <v>26.352892799999999</v>
      </c>
      <c r="Y94">
        <v>808.57340639999995</v>
      </c>
      <c r="Z94">
        <v>156.51110159999999</v>
      </c>
      <c r="AA94">
        <v>77.151787200000001</v>
      </c>
      <c r="AB94">
        <v>134.48736719999999</v>
      </c>
      <c r="AC94">
        <v>979.04260799999997</v>
      </c>
      <c r="AD94">
        <v>177.30652319999999</v>
      </c>
      <c r="AE94">
        <v>118.5708384</v>
      </c>
      <c r="AF94">
        <v>511.94015999999999</v>
      </c>
      <c r="AG94">
        <v>194.09919120000001</v>
      </c>
      <c r="AH94">
        <v>671.52633839999999</v>
      </c>
      <c r="AI94">
        <v>141.2044344</v>
      </c>
      <c r="AJ94">
        <v>95.645195999999999</v>
      </c>
      <c r="AK94">
        <v>228.68951039999999</v>
      </c>
      <c r="AL94">
        <v>350.06055839999999</v>
      </c>
      <c r="AM94">
        <v>730.66573440000002</v>
      </c>
      <c r="AN94">
        <v>273.47568480000001</v>
      </c>
      <c r="AO94">
        <v>305.50630319999999</v>
      </c>
      <c r="AP94">
        <v>93.2486976</v>
      </c>
      <c r="AQ94">
        <v>68.6137248</v>
      </c>
      <c r="AR94" cm="1">
        <f t="array" ref="AR94">SUMPRODUCT($B$162:$U$162,(B94:U94)/($B$11:$U$11))</f>
        <v>30203.654591546434</v>
      </c>
      <c r="AS94">
        <f t="shared" si="5"/>
        <v>273.32188717927056</v>
      </c>
      <c r="AT94">
        <f t="shared" si="6"/>
        <v>1.0091319361491558</v>
      </c>
      <c r="AU94" cm="1">
        <f t="array" ref="AU94">SUMPRODUCT($X$162:$AQ$162,(X94:AQ94)/($X$11:$AQ$11))</f>
        <v>27909.43049037506</v>
      </c>
      <c r="AV94">
        <f t="shared" si="7"/>
        <v>17.070269211304549</v>
      </c>
      <c r="AW94">
        <f t="shared" si="8"/>
        <v>-17.070269211304549</v>
      </c>
      <c r="AX94">
        <f t="shared" si="9"/>
        <v>256.25161796796601</v>
      </c>
    </row>
    <row r="95" spans="1:50" x14ac:dyDescent="0.2">
      <c r="A95" s="3">
        <v>45896</v>
      </c>
      <c r="B95">
        <v>150.9413145</v>
      </c>
      <c r="C95">
        <v>58.322727100000002</v>
      </c>
      <c r="D95">
        <v>308.55962310000001</v>
      </c>
      <c r="E95">
        <v>81.919928900000002</v>
      </c>
      <c r="F95">
        <v>38.463610799999998</v>
      </c>
      <c r="G95">
        <v>153.10682610000001</v>
      </c>
      <c r="H95">
        <v>62.206898700000004</v>
      </c>
      <c r="I95">
        <v>287.31698549999999</v>
      </c>
      <c r="J95">
        <v>17.831097499999998</v>
      </c>
      <c r="K95">
        <v>48.6896378</v>
      </c>
      <c r="L95">
        <v>89.550779300000002</v>
      </c>
      <c r="M95">
        <v>12.958696399999999</v>
      </c>
      <c r="N95">
        <v>92.266262100000006</v>
      </c>
      <c r="O95">
        <v>74.203145500000005</v>
      </c>
      <c r="P95">
        <v>27.790732200000001</v>
      </c>
      <c r="Q95">
        <v>37.698807100000003</v>
      </c>
      <c r="R95">
        <v>52.642555799999997</v>
      </c>
      <c r="S95">
        <v>21.380130399999999</v>
      </c>
      <c r="T95">
        <v>67.259759099999997</v>
      </c>
      <c r="U95">
        <v>21.569182999999999</v>
      </c>
      <c r="V95" s="6"/>
      <c r="W95" s="3">
        <v>45896</v>
      </c>
      <c r="X95">
        <v>26.750942899999998</v>
      </c>
      <c r="Y95">
        <v>815.95102159999999</v>
      </c>
      <c r="Z95">
        <v>157.00818430000001</v>
      </c>
      <c r="AA95">
        <v>79.582551300000006</v>
      </c>
      <c r="AB95">
        <v>134.51092489999999</v>
      </c>
      <c r="AC95">
        <v>972.44360789999996</v>
      </c>
      <c r="AD95">
        <v>177.3399321</v>
      </c>
      <c r="AE95">
        <v>119.14610450000001</v>
      </c>
      <c r="AF95">
        <v>518.3220761</v>
      </c>
      <c r="AG95">
        <v>195.8327137</v>
      </c>
      <c r="AH95">
        <v>679.35192480000001</v>
      </c>
      <c r="AI95">
        <v>141.80663659999999</v>
      </c>
      <c r="AJ95">
        <v>96.829304399999998</v>
      </c>
      <c r="AK95">
        <v>229.29502389999999</v>
      </c>
      <c r="AL95">
        <v>350.8128792</v>
      </c>
      <c r="AM95">
        <v>744.45476559999997</v>
      </c>
      <c r="AN95">
        <v>273.13804049999999</v>
      </c>
      <c r="AO95">
        <v>300.078036</v>
      </c>
      <c r="AP95">
        <v>93.984922100000006</v>
      </c>
      <c r="AQ95">
        <v>68.703433500000003</v>
      </c>
      <c r="AR95" cm="1">
        <f t="array" ref="AR95">SUMPRODUCT($B$162:$U$162,(B95:U95)/($B$11:$U$11))</f>
        <v>30347.17002767415</v>
      </c>
      <c r="AS95">
        <f t="shared" si="5"/>
        <v>143.51543612771638</v>
      </c>
      <c r="AT95">
        <f t="shared" si="6"/>
        <v>1.0047515917549885</v>
      </c>
      <c r="AU95" cm="1">
        <f t="array" ref="AU95">SUMPRODUCT($X$162:$AQ$162,(X95:AQ95)/($X$11:$AQ$11))</f>
        <v>28127.876036900016</v>
      </c>
      <c r="AV95">
        <f t="shared" si="7"/>
        <v>218.44554652495572</v>
      </c>
      <c r="AW95">
        <f t="shared" si="8"/>
        <v>-218.44554652495572</v>
      </c>
      <c r="AX95">
        <f t="shared" si="9"/>
        <v>-74.930110397239332</v>
      </c>
    </row>
    <row r="96" spans="1:50" x14ac:dyDescent="0.2">
      <c r="A96" s="3">
        <v>45897</v>
      </c>
      <c r="B96">
        <v>150.79648320000001</v>
      </c>
      <c r="C96">
        <v>57.815590800000003</v>
      </c>
      <c r="D96">
        <v>313.16635680000002</v>
      </c>
      <c r="E96">
        <v>82.143679199999994</v>
      </c>
      <c r="F96">
        <v>37.639199400000003</v>
      </c>
      <c r="G96">
        <v>153.5357472</v>
      </c>
      <c r="H96">
        <v>62.4637794</v>
      </c>
      <c r="I96">
        <v>288.99235199999998</v>
      </c>
      <c r="J96">
        <v>17.5826508</v>
      </c>
      <c r="K96">
        <v>48.151125</v>
      </c>
      <c r="L96">
        <v>89.950581600000007</v>
      </c>
      <c r="M96">
        <v>12.831739799999999</v>
      </c>
      <c r="N96">
        <v>91.166129999999995</v>
      </c>
      <c r="O96">
        <v>74.739106199999995</v>
      </c>
      <c r="P96">
        <v>27.812089799999999</v>
      </c>
      <c r="Q96">
        <v>37.981607400000001</v>
      </c>
      <c r="R96">
        <v>53.047559399999997</v>
      </c>
      <c r="S96">
        <v>21.734347799999998</v>
      </c>
      <c r="T96">
        <v>67.103407799999999</v>
      </c>
      <c r="U96">
        <v>20.946809399999999</v>
      </c>
      <c r="V96" s="6"/>
      <c r="W96" s="3">
        <v>45897</v>
      </c>
      <c r="X96">
        <v>26.4852588</v>
      </c>
      <c r="Y96">
        <v>808.90465919999997</v>
      </c>
      <c r="Z96">
        <v>155.44467180000001</v>
      </c>
      <c r="AA96">
        <v>78.556955400000007</v>
      </c>
      <c r="AB96">
        <v>134.8745112</v>
      </c>
      <c r="AC96">
        <v>967.7134896</v>
      </c>
      <c r="AD96">
        <v>176.71676880000001</v>
      </c>
      <c r="AE96">
        <v>118.74709439999999</v>
      </c>
      <c r="AF96">
        <v>524.02976339999998</v>
      </c>
      <c r="AG96">
        <v>193.2122742</v>
      </c>
      <c r="AH96">
        <v>673.13132700000006</v>
      </c>
      <c r="AI96">
        <v>142.55301059999999</v>
      </c>
      <c r="AJ96">
        <v>96.422092800000001</v>
      </c>
      <c r="AK96">
        <v>227.487315</v>
      </c>
      <c r="AL96">
        <v>348.785349</v>
      </c>
      <c r="AM96">
        <v>734.85892920000003</v>
      </c>
      <c r="AN96">
        <v>269.62061940000001</v>
      </c>
      <c r="AO96">
        <v>298.86226260000001</v>
      </c>
      <c r="AP96">
        <v>92.689845599999998</v>
      </c>
      <c r="AQ96">
        <v>68.738405999999998</v>
      </c>
      <c r="AR96" cm="1">
        <f t="array" ref="AR96">SUMPRODUCT($B$162:$U$162,(B96:U96)/($B$11:$U$11))</f>
        <v>30360.421238442479</v>
      </c>
      <c r="AS96">
        <f t="shared" si="5"/>
        <v>13.251210768328747</v>
      </c>
      <c r="AT96">
        <f t="shared" si="6"/>
        <v>1.000436653920489</v>
      </c>
      <c r="AU96" cm="1">
        <f t="array" ref="AU96">SUMPRODUCT($X$162:$AQ$162,(X96:AQ96)/($X$11:$AQ$11))</f>
        <v>27942.534565494461</v>
      </c>
      <c r="AV96">
        <f t="shared" si="7"/>
        <v>-185.34147140555433</v>
      </c>
      <c r="AW96">
        <f t="shared" si="8"/>
        <v>185.34147140555433</v>
      </c>
      <c r="AX96">
        <f t="shared" si="9"/>
        <v>198.59268217388308</v>
      </c>
    </row>
    <row r="97" spans="1:50" x14ac:dyDescent="0.2">
      <c r="A97" s="3">
        <v>45898</v>
      </c>
      <c r="B97">
        <v>149.006967</v>
      </c>
      <c r="C97">
        <v>58.267629599999999</v>
      </c>
      <c r="D97">
        <v>310.86910139999998</v>
      </c>
      <c r="E97">
        <v>80.237812500000004</v>
      </c>
      <c r="F97">
        <v>35.552839800000001</v>
      </c>
      <c r="G97">
        <v>154.62147419999999</v>
      </c>
      <c r="H97">
        <v>63.676727999999997</v>
      </c>
      <c r="I97">
        <v>290.89309559999998</v>
      </c>
      <c r="J97">
        <v>17.7250677</v>
      </c>
      <c r="K97">
        <v>49.238201099999998</v>
      </c>
      <c r="L97">
        <v>89.866349999999997</v>
      </c>
      <c r="M97">
        <v>13.0776936</v>
      </c>
      <c r="N97">
        <v>90.884835300000006</v>
      </c>
      <c r="O97">
        <v>74.144018099999997</v>
      </c>
      <c r="P97">
        <v>27.293694299999999</v>
      </c>
      <c r="Q97">
        <v>38.000627999999999</v>
      </c>
      <c r="R97">
        <v>52.875648599999998</v>
      </c>
      <c r="S97">
        <v>21.2598108</v>
      </c>
      <c r="T97">
        <v>67.724993100000006</v>
      </c>
      <c r="U97">
        <v>20.6179083</v>
      </c>
      <c r="V97" s="6"/>
      <c r="W97" s="3">
        <v>45898</v>
      </c>
      <c r="X97">
        <v>26.7801723</v>
      </c>
      <c r="Y97">
        <v>807.35928839999997</v>
      </c>
      <c r="Z97">
        <v>153.08090820000001</v>
      </c>
      <c r="AA97">
        <v>78.508955099999994</v>
      </c>
      <c r="AB97">
        <v>133.11346109999999</v>
      </c>
      <c r="AC97">
        <v>964.68531180000002</v>
      </c>
      <c r="AD97">
        <v>176.14660470000001</v>
      </c>
      <c r="AE97">
        <v>119.35535084999999</v>
      </c>
      <c r="AF97">
        <v>516.5346624</v>
      </c>
      <c r="AG97">
        <v>194.41087049999999</v>
      </c>
      <c r="AH97">
        <v>672.87643530000003</v>
      </c>
      <c r="AI97">
        <v>139.87483409999999</v>
      </c>
      <c r="AJ97">
        <v>97.380888600000006</v>
      </c>
      <c r="AK97">
        <v>226.50599550000001</v>
      </c>
      <c r="AL97">
        <v>348.14223989999999</v>
      </c>
      <c r="AM97">
        <v>715.30191119999995</v>
      </c>
      <c r="AN97">
        <v>265.92736769999999</v>
      </c>
      <c r="AO97">
        <v>293.93143409999999</v>
      </c>
      <c r="AP97">
        <v>92.108729400000001</v>
      </c>
      <c r="AQ97">
        <v>68.067341099999993</v>
      </c>
      <c r="AR97" cm="1">
        <f t="array" ref="AR97">SUMPRODUCT($B$162:$U$162,(B97:U97)/($B$11:$U$11))</f>
        <v>30210.304840931043</v>
      </c>
      <c r="AS97">
        <f t="shared" si="5"/>
        <v>-150.11639751143593</v>
      </c>
      <c r="AT97">
        <f t="shared" si="6"/>
        <v>0.99505552323097024</v>
      </c>
      <c r="AU97" cm="1">
        <f t="array" ref="AU97">SUMPRODUCT($X$162:$AQ$162,(X97:AQ97)/($X$11:$AQ$11))</f>
        <v>27784.435102766769</v>
      </c>
      <c r="AV97">
        <f t="shared" si="7"/>
        <v>-158.0994627276923</v>
      </c>
      <c r="AW97">
        <f t="shared" si="8"/>
        <v>158.0994627276923</v>
      </c>
      <c r="AX97">
        <f t="shared" si="9"/>
        <v>7.9830652162563638</v>
      </c>
    </row>
    <row r="98" spans="1:50" x14ac:dyDescent="0.2">
      <c r="A98" s="3">
        <v>45902</v>
      </c>
      <c r="B98">
        <v>148.83928499999999</v>
      </c>
      <c r="C98">
        <v>58.360259999999997</v>
      </c>
      <c r="D98">
        <v>304.24324000000001</v>
      </c>
      <c r="E98">
        <v>79.746992500000005</v>
      </c>
      <c r="F98">
        <v>35.040215000000003</v>
      </c>
      <c r="G98">
        <v>153.69404750000001</v>
      </c>
      <c r="H98">
        <v>65.182704999999999</v>
      </c>
      <c r="I98">
        <v>296.37250999999998</v>
      </c>
      <c r="J98">
        <v>17.855215000000001</v>
      </c>
      <c r="K98">
        <v>48.590587499999998</v>
      </c>
      <c r="L98">
        <v>89.946290000000005</v>
      </c>
      <c r="M98">
        <v>13.16371</v>
      </c>
      <c r="N98">
        <v>90.461839999999995</v>
      </c>
      <c r="O98">
        <v>75.124227500000003</v>
      </c>
      <c r="P98">
        <v>26.774229999999999</v>
      </c>
      <c r="Q98">
        <v>38.614694999999998</v>
      </c>
      <c r="R98">
        <v>52.525952500000002</v>
      </c>
      <c r="S98">
        <v>21.240659999999998</v>
      </c>
      <c r="T98">
        <v>66.145065000000002</v>
      </c>
      <c r="U98">
        <v>20.7852575</v>
      </c>
      <c r="V98" s="6"/>
      <c r="W98" s="3">
        <v>45902</v>
      </c>
      <c r="X98">
        <v>26.061052499999999</v>
      </c>
      <c r="Y98">
        <v>806.68108500000005</v>
      </c>
      <c r="Z98">
        <v>151.0303725</v>
      </c>
      <c r="AA98">
        <v>78.011307500000001</v>
      </c>
      <c r="AB98">
        <v>132.55649750000001</v>
      </c>
      <c r="AC98">
        <v>957.86612249999996</v>
      </c>
      <c r="AD98">
        <v>176.52431999999999</v>
      </c>
      <c r="AE98">
        <v>116.82362999999999</v>
      </c>
      <c r="AF98">
        <v>508.68459250000001</v>
      </c>
      <c r="AG98">
        <v>189.035</v>
      </c>
      <c r="AH98">
        <v>662.96293000000003</v>
      </c>
      <c r="AI98">
        <v>140.7365575</v>
      </c>
      <c r="AJ98">
        <v>95.634524999999996</v>
      </c>
      <c r="AK98">
        <v>225.34690499999999</v>
      </c>
      <c r="AL98">
        <v>349.12186750000001</v>
      </c>
      <c r="AM98">
        <v>707.72126249999997</v>
      </c>
      <c r="AN98">
        <v>262.13139749999999</v>
      </c>
      <c r="AO98">
        <v>290.28901999999999</v>
      </c>
      <c r="AP98">
        <v>90.736800000000002</v>
      </c>
      <c r="AQ98">
        <v>67.356607499999996</v>
      </c>
      <c r="AR98" cm="1">
        <f t="array" ref="AR98">SUMPRODUCT($B$162:$U$162,(B98:U98)/($B$11:$U$11))</f>
        <v>30116.026279251659</v>
      </c>
      <c r="AS98">
        <f t="shared" si="5"/>
        <v>-94.278561679384438</v>
      </c>
      <c r="AT98">
        <f t="shared" si="6"/>
        <v>0.99687925818108103</v>
      </c>
      <c r="AU98" cm="1">
        <f t="array" ref="AU98">SUMPRODUCT($X$162:$AQ$162,(X98:AQ98)/($X$11:$AQ$11))</f>
        <v>27490.178978922413</v>
      </c>
      <c r="AV98">
        <f t="shared" si="7"/>
        <v>-294.2561238443559</v>
      </c>
      <c r="AW98">
        <f t="shared" si="8"/>
        <v>294.2561238443559</v>
      </c>
      <c r="AX98">
        <f t="shared" si="9"/>
        <v>199.97756216497146</v>
      </c>
    </row>
    <row r="99" spans="1:50" x14ac:dyDescent="0.2">
      <c r="A99" s="3">
        <v>45903</v>
      </c>
      <c r="B99">
        <v>149.63564439999999</v>
      </c>
      <c r="C99">
        <v>57.842421999999999</v>
      </c>
      <c r="D99">
        <v>304.43380000000002</v>
      </c>
      <c r="E99">
        <v>79.701626399999995</v>
      </c>
      <c r="F99">
        <v>34.388156000000002</v>
      </c>
      <c r="G99">
        <v>154.24074160000001</v>
      </c>
      <c r="H99">
        <v>64.677175199999994</v>
      </c>
      <c r="I99">
        <v>294.59758679999999</v>
      </c>
      <c r="J99">
        <v>17.537102000000001</v>
      </c>
      <c r="K99">
        <v>48.495018000000002</v>
      </c>
      <c r="L99">
        <v>91.038569600000002</v>
      </c>
      <c r="M99">
        <v>13.163546</v>
      </c>
      <c r="N99">
        <v>90.103829200000007</v>
      </c>
      <c r="O99">
        <v>72.695361199999994</v>
      </c>
      <c r="P99">
        <v>26.867354800000001</v>
      </c>
      <c r="Q99">
        <v>39.627847600000003</v>
      </c>
      <c r="R99">
        <v>52.542701200000003</v>
      </c>
      <c r="S99">
        <v>21.730570400000001</v>
      </c>
      <c r="T99">
        <v>66.512353599999997</v>
      </c>
      <c r="U99">
        <v>20.624317999999999</v>
      </c>
      <c r="V99" s="6"/>
      <c r="W99" s="3">
        <v>45903</v>
      </c>
      <c r="X99">
        <v>25.924038800000002</v>
      </c>
      <c r="Y99">
        <v>814.49333679999995</v>
      </c>
      <c r="Z99">
        <v>149.8414588</v>
      </c>
      <c r="AA99">
        <v>78.835490800000002</v>
      </c>
      <c r="AB99">
        <v>130.34912</v>
      </c>
      <c r="AC99">
        <v>942.87864439999998</v>
      </c>
      <c r="AD99">
        <v>176.03134120000001</v>
      </c>
      <c r="AE99">
        <v>116.3108628</v>
      </c>
      <c r="AF99">
        <v>507.77842720000001</v>
      </c>
      <c r="AG99">
        <v>189.82090600000001</v>
      </c>
      <c r="AH99">
        <v>653.64938319999999</v>
      </c>
      <c r="AI99">
        <v>141.77181920000001</v>
      </c>
      <c r="AJ99">
        <v>95.146281999999999</v>
      </c>
      <c r="AK99">
        <v>224.03755000000001</v>
      </c>
      <c r="AL99">
        <v>349.63578760000001</v>
      </c>
      <c r="AM99">
        <v>709.68235360000006</v>
      </c>
      <c r="AN99">
        <v>261.33283440000002</v>
      </c>
      <c r="AO99">
        <v>290.42126960000002</v>
      </c>
      <c r="AP99">
        <v>90.361097200000003</v>
      </c>
      <c r="AQ99">
        <v>68.287502799999999</v>
      </c>
      <c r="AR99" cm="1">
        <f t="array" ref="AR99">SUMPRODUCT($B$162:$U$162,(B99:U99)/($B$11:$U$11))</f>
        <v>30104.71511385146</v>
      </c>
      <c r="AS99">
        <f t="shared" si="5"/>
        <v>-11.311165400198661</v>
      </c>
      <c r="AT99">
        <f t="shared" si="6"/>
        <v>0.99962441374916744</v>
      </c>
      <c r="AU99" cm="1">
        <f t="array" ref="AU99">SUMPRODUCT($X$162:$AQ$162,(X99:AQ99)/($X$11:$AQ$11))</f>
        <v>27473.629471863595</v>
      </c>
      <c r="AV99">
        <f t="shared" si="7"/>
        <v>-16.549507058818563</v>
      </c>
      <c r="AW99">
        <f t="shared" si="8"/>
        <v>16.549507058818563</v>
      </c>
      <c r="AX99">
        <f t="shared" si="9"/>
        <v>5.2383416586199019</v>
      </c>
    </row>
    <row r="100" spans="1:50" x14ac:dyDescent="0.2">
      <c r="A100" s="3">
        <v>45904</v>
      </c>
      <c r="B100">
        <v>154.11573319999999</v>
      </c>
      <c r="C100">
        <v>58.133556800000001</v>
      </c>
      <c r="D100">
        <v>309.08990640000002</v>
      </c>
      <c r="E100">
        <v>78.959311200000002</v>
      </c>
      <c r="F100">
        <v>34.938507999999999</v>
      </c>
      <c r="G100">
        <v>155.82402880000001</v>
      </c>
      <c r="H100">
        <v>64.279987199999994</v>
      </c>
      <c r="I100">
        <v>297.42370679999999</v>
      </c>
      <c r="J100">
        <v>17.632357599999999</v>
      </c>
      <c r="K100">
        <v>47.8751988</v>
      </c>
      <c r="L100">
        <v>91.037561999999994</v>
      </c>
      <c r="M100">
        <v>13.0740412</v>
      </c>
      <c r="N100">
        <v>91.509703999999999</v>
      </c>
      <c r="O100">
        <v>72.263479200000006</v>
      </c>
      <c r="P100">
        <v>27.264054399999999</v>
      </c>
      <c r="Q100">
        <v>39.548330800000002</v>
      </c>
      <c r="R100">
        <v>51.978541999999997</v>
      </c>
      <c r="S100">
        <v>21.967479600000001</v>
      </c>
      <c r="T100">
        <v>66.262983599999998</v>
      </c>
      <c r="U100">
        <v>20.842923200000001</v>
      </c>
      <c r="V100" s="6"/>
      <c r="W100" s="3">
        <v>45904</v>
      </c>
      <c r="X100">
        <v>26.053654000000002</v>
      </c>
      <c r="Y100">
        <v>820.58279600000003</v>
      </c>
      <c r="Z100">
        <v>153.1113584</v>
      </c>
      <c r="AA100">
        <v>75.079162400000001</v>
      </c>
      <c r="AB100">
        <v>133.50458879999999</v>
      </c>
      <c r="AC100">
        <v>951.8039344</v>
      </c>
      <c r="AD100">
        <v>176.9330684</v>
      </c>
      <c r="AE100">
        <v>117.8809808</v>
      </c>
      <c r="AF100">
        <v>516.74654239999995</v>
      </c>
      <c r="AG100">
        <v>192.71977999999999</v>
      </c>
      <c r="AH100">
        <v>659.2218292</v>
      </c>
      <c r="AI100">
        <v>143.31655799999999</v>
      </c>
      <c r="AJ100">
        <v>96.668928399999999</v>
      </c>
      <c r="AK100">
        <v>228.06175479999999</v>
      </c>
      <c r="AL100">
        <v>353.41116360000001</v>
      </c>
      <c r="AM100">
        <v>728.0515484</v>
      </c>
      <c r="AN100">
        <v>271.09535199999999</v>
      </c>
      <c r="AO100">
        <v>293.46629840000003</v>
      </c>
      <c r="AP100">
        <v>95.733228800000006</v>
      </c>
      <c r="AQ100">
        <v>69.061498</v>
      </c>
      <c r="AR100" cm="1">
        <f t="array" ref="AR100">SUMPRODUCT($B$162:$U$162,(B100:U100)/($B$11:$U$11))</f>
        <v>30315.70360031545</v>
      </c>
      <c r="AS100">
        <f t="shared" si="5"/>
        <v>210.98848646398983</v>
      </c>
      <c r="AT100">
        <f t="shared" si="6"/>
        <v>1.0070084864004214</v>
      </c>
      <c r="AU100" cm="1">
        <f t="array" ref="AU100">SUMPRODUCT($X$162:$AQ$162,(X100:AQ100)/($X$11:$AQ$11))</f>
        <v>27742.934776891641</v>
      </c>
      <c r="AV100">
        <f t="shared" si="7"/>
        <v>269.30530502804686</v>
      </c>
      <c r="AW100">
        <f t="shared" si="8"/>
        <v>-269.30530502804686</v>
      </c>
      <c r="AX100">
        <f t="shared" si="9"/>
        <v>-58.31681856405703</v>
      </c>
    </row>
    <row r="101" spans="1:50" x14ac:dyDescent="0.2">
      <c r="A101" s="3">
        <v>45905</v>
      </c>
      <c r="B101">
        <v>152.08657199999999</v>
      </c>
      <c r="C101">
        <v>57.958468600000003</v>
      </c>
      <c r="D101">
        <v>300.64835420000003</v>
      </c>
      <c r="E101">
        <v>77.6563254</v>
      </c>
      <c r="F101">
        <v>34.488318599999999</v>
      </c>
      <c r="G101">
        <v>155.54308499999999</v>
      </c>
      <c r="H101">
        <v>65.008048200000005</v>
      </c>
      <c r="I101">
        <v>297.37106779999999</v>
      </c>
      <c r="J101">
        <v>15.8914252</v>
      </c>
      <c r="K101">
        <v>49.500680000000003</v>
      </c>
      <c r="L101">
        <v>90.970301399999997</v>
      </c>
      <c r="M101">
        <v>12.8787114</v>
      </c>
      <c r="N101">
        <v>90.219256599999994</v>
      </c>
      <c r="O101">
        <v>72.100300799999999</v>
      </c>
      <c r="P101">
        <v>26.943732199999999</v>
      </c>
      <c r="Q101">
        <v>39.549336400000001</v>
      </c>
      <c r="R101">
        <v>52.214682799999999</v>
      </c>
      <c r="S101">
        <v>21.899783599999999</v>
      </c>
      <c r="T101">
        <v>67.047817600000002</v>
      </c>
      <c r="U101">
        <v>21.455984399999998</v>
      </c>
      <c r="V101" s="6"/>
      <c r="W101" s="3">
        <v>45905</v>
      </c>
      <c r="X101">
        <v>25.817164999999999</v>
      </c>
      <c r="Y101">
        <v>822.29164079999998</v>
      </c>
      <c r="Z101">
        <v>151.70251500000001</v>
      </c>
      <c r="AA101">
        <v>76.128631999999996</v>
      </c>
      <c r="AB101">
        <v>132.542338</v>
      </c>
      <c r="AC101">
        <v>938.08055899999999</v>
      </c>
      <c r="AD101">
        <v>173.8839404</v>
      </c>
      <c r="AE101">
        <v>115.5926224</v>
      </c>
      <c r="AF101">
        <v>510.48856439999997</v>
      </c>
      <c r="AG101">
        <v>191.27745519999999</v>
      </c>
      <c r="AH101">
        <v>660.30493279999996</v>
      </c>
      <c r="AI101">
        <v>143.29593399999999</v>
      </c>
      <c r="AJ101">
        <v>96.995728999999997</v>
      </c>
      <c r="AK101">
        <v>227.2251904</v>
      </c>
      <c r="AL101">
        <v>357.55706700000002</v>
      </c>
      <c r="AM101">
        <v>738.97687559999997</v>
      </c>
      <c r="AN101">
        <v>284.2789914</v>
      </c>
      <c r="AO101">
        <v>289.97156960000001</v>
      </c>
      <c r="AP101">
        <v>92.310233600000004</v>
      </c>
      <c r="AQ101">
        <v>68.652322400000003</v>
      </c>
      <c r="AR101" cm="1">
        <f t="array" ref="AR101">SUMPRODUCT($B$162:$U$162,(B101:U101)/($B$11:$U$11))</f>
        <v>30064.545584603162</v>
      </c>
      <c r="AS101">
        <f t="shared" si="5"/>
        <v>-251.15801571228803</v>
      </c>
      <c r="AT101">
        <f t="shared" si="6"/>
        <v>0.99171525031965035</v>
      </c>
      <c r="AU101" cm="1">
        <f t="array" ref="AU101">SUMPRODUCT($X$162:$AQ$162,(X101:AQ101)/($X$11:$AQ$11))</f>
        <v>27683.221753367889</v>
      </c>
      <c r="AV101">
        <f t="shared" si="7"/>
        <v>-59.713023523752781</v>
      </c>
      <c r="AW101">
        <f t="shared" si="8"/>
        <v>59.713023523752781</v>
      </c>
      <c r="AX101">
        <f t="shared" si="9"/>
        <v>-191.44499218853525</v>
      </c>
    </row>
    <row r="102" spans="1:50" x14ac:dyDescent="0.2">
      <c r="A102" s="3">
        <v>45908</v>
      </c>
      <c r="B102">
        <v>152.55138600000001</v>
      </c>
      <c r="C102">
        <v>57.881616000000001</v>
      </c>
      <c r="D102">
        <v>298.47121199999998</v>
      </c>
      <c r="E102">
        <v>80.224872000000005</v>
      </c>
      <c r="F102">
        <v>34.042008000000003</v>
      </c>
      <c r="G102">
        <v>155.20401000000001</v>
      </c>
      <c r="H102">
        <v>64.402649999999994</v>
      </c>
      <c r="I102">
        <v>297.19591200000002</v>
      </c>
      <c r="J102">
        <v>15.669186</v>
      </c>
      <c r="K102">
        <v>48.946013999999998</v>
      </c>
      <c r="L102">
        <v>91.626053999999996</v>
      </c>
      <c r="M102">
        <v>12.378912</v>
      </c>
      <c r="N102">
        <v>90.886380000000003</v>
      </c>
      <c r="O102">
        <v>71.841899999999995</v>
      </c>
      <c r="P102">
        <v>26.832312000000002</v>
      </c>
      <c r="Q102">
        <v>39.670332000000002</v>
      </c>
      <c r="R102">
        <v>52.508352000000002</v>
      </c>
      <c r="S102">
        <v>20.855405999999999</v>
      </c>
      <c r="T102">
        <v>67.063776000000004</v>
      </c>
      <c r="U102">
        <v>21.110465999999999</v>
      </c>
      <c r="V102" s="6"/>
      <c r="W102" s="3">
        <v>45908</v>
      </c>
      <c r="X102">
        <v>25.59102</v>
      </c>
      <c r="Y102">
        <v>826.26687000000004</v>
      </c>
      <c r="Z102">
        <v>151.3356</v>
      </c>
      <c r="AA102">
        <v>75.540270000000007</v>
      </c>
      <c r="AB102">
        <v>130.9308</v>
      </c>
      <c r="AC102">
        <v>939.40298399999995</v>
      </c>
      <c r="AD102">
        <v>172.98169200000001</v>
      </c>
      <c r="AE102">
        <v>115.14258599999999</v>
      </c>
      <c r="AF102">
        <v>517.83981600000004</v>
      </c>
      <c r="AG102">
        <v>190.69986</v>
      </c>
      <c r="AH102">
        <v>650.83660199999997</v>
      </c>
      <c r="AI102">
        <v>143.93035800000001</v>
      </c>
      <c r="AJ102">
        <v>96.548711999999995</v>
      </c>
      <c r="AK102">
        <v>226.731336</v>
      </c>
      <c r="AL102">
        <v>357.03298799999999</v>
      </c>
      <c r="AM102">
        <v>734.84486400000003</v>
      </c>
      <c r="AN102">
        <v>283.64372400000002</v>
      </c>
      <c r="AO102">
        <v>293.038434</v>
      </c>
      <c r="AP102">
        <v>91.966133999999997</v>
      </c>
      <c r="AQ102">
        <v>69.971459999999993</v>
      </c>
      <c r="AR102" cm="1">
        <f t="array" ref="AR102">SUMPRODUCT($B$162:$U$162,(B102:U102)/($B$11:$U$11))</f>
        <v>29941.022837290941</v>
      </c>
      <c r="AS102">
        <f t="shared" si="5"/>
        <v>-123.52274731222133</v>
      </c>
      <c r="AT102">
        <f t="shared" si="6"/>
        <v>0.9958914147907334</v>
      </c>
      <c r="AU102" cm="1">
        <f t="array" ref="AU102">SUMPRODUCT($X$162:$AQ$162,(X102:AQ102)/($X$11:$AQ$11))</f>
        <v>27653.923547524591</v>
      </c>
      <c r="AV102">
        <f t="shared" si="7"/>
        <v>-29.298205843297183</v>
      </c>
      <c r="AW102">
        <f t="shared" si="8"/>
        <v>29.298205843297183</v>
      </c>
      <c r="AX102">
        <f t="shared" si="9"/>
        <v>-94.224541468924144</v>
      </c>
    </row>
    <row r="103" spans="1:50" x14ac:dyDescent="0.2">
      <c r="A103" s="3">
        <v>45909</v>
      </c>
      <c r="B103">
        <v>152.89545480000001</v>
      </c>
      <c r="C103">
        <v>58.311787600000002</v>
      </c>
      <c r="D103">
        <v>294.9845206</v>
      </c>
      <c r="E103">
        <v>81.539117000000005</v>
      </c>
      <c r="F103">
        <v>36.664839200000003</v>
      </c>
      <c r="G103">
        <v>153.2457014</v>
      </c>
      <c r="H103">
        <v>64.8554192</v>
      </c>
      <c r="I103">
        <v>301.40001319999999</v>
      </c>
      <c r="J103">
        <v>16.1198862</v>
      </c>
      <c r="K103">
        <v>48.7953312</v>
      </c>
      <c r="L103">
        <v>90.252568999999994</v>
      </c>
      <c r="M103">
        <v>12.7882722</v>
      </c>
      <c r="N103">
        <v>89.722927799999994</v>
      </c>
      <c r="O103">
        <v>72.321651599999996</v>
      </c>
      <c r="P103">
        <v>26.968988199999998</v>
      </c>
      <c r="Q103">
        <v>37.493471399999997</v>
      </c>
      <c r="R103">
        <v>51.836496799999999</v>
      </c>
      <c r="S103">
        <v>21.672576200000002</v>
      </c>
      <c r="T103">
        <v>66.768961599999997</v>
      </c>
      <c r="U103">
        <v>20.9037422</v>
      </c>
      <c r="V103" s="6"/>
      <c r="W103" s="3">
        <v>45909</v>
      </c>
      <c r="X103">
        <v>25.8755354</v>
      </c>
      <c r="Y103">
        <v>836.53410499999995</v>
      </c>
      <c r="Z103">
        <v>149.22213679999999</v>
      </c>
      <c r="AA103">
        <v>75.772862000000003</v>
      </c>
      <c r="AB103">
        <v>130.7701208</v>
      </c>
      <c r="AC103">
        <v>944.52965419999998</v>
      </c>
      <c r="AD103">
        <v>172.45800879999999</v>
      </c>
      <c r="AE103">
        <v>114.8210866</v>
      </c>
      <c r="AF103">
        <v>516.28911619999997</v>
      </c>
      <c r="AG103">
        <v>190.06430739999999</v>
      </c>
      <c r="AH103">
        <v>665.92984039999999</v>
      </c>
      <c r="AI103">
        <v>144.455366</v>
      </c>
      <c r="AJ103">
        <v>95.651492200000007</v>
      </c>
      <c r="AK103">
        <v>223.96988680000001</v>
      </c>
      <c r="AL103">
        <v>354.8083484</v>
      </c>
      <c r="AM103">
        <v>732.84402620000003</v>
      </c>
      <c r="AN103">
        <v>274.96066619999999</v>
      </c>
      <c r="AO103">
        <v>292.96846699999998</v>
      </c>
      <c r="AP103">
        <v>91.533958999999996</v>
      </c>
      <c r="AQ103">
        <v>70.168916400000001</v>
      </c>
      <c r="AR103" cm="1">
        <f t="array" ref="AR103">SUMPRODUCT($B$162:$U$162,(B103:U103)/($B$11:$U$11))</f>
        <v>30027.424046163502</v>
      </c>
      <c r="AS103">
        <f t="shared" si="5"/>
        <v>86.401208872561256</v>
      </c>
      <c r="AT103">
        <f t="shared" si="6"/>
        <v>1.0028857133352489</v>
      </c>
      <c r="AU103" cm="1">
        <f t="array" ref="AU103">SUMPRODUCT($X$162:$AQ$162,(X103:AQ103)/($X$11:$AQ$11))</f>
        <v>27635.293032307265</v>
      </c>
      <c r="AV103">
        <f t="shared" si="7"/>
        <v>-18.63051521732632</v>
      </c>
      <c r="AW103">
        <f t="shared" si="8"/>
        <v>18.63051521732632</v>
      </c>
      <c r="AX103">
        <f t="shared" si="9"/>
        <v>105.03172408988758</v>
      </c>
    </row>
    <row r="104" spans="1:50" x14ac:dyDescent="0.2">
      <c r="A104" s="3">
        <v>45910</v>
      </c>
      <c r="B104">
        <v>157.18759800000001</v>
      </c>
      <c r="C104">
        <v>59.223292499999999</v>
      </c>
      <c r="D104">
        <v>292.054215</v>
      </c>
      <c r="E104">
        <v>80.569334100000006</v>
      </c>
      <c r="F104">
        <v>37.552271099999999</v>
      </c>
      <c r="G104">
        <v>153.27928829999999</v>
      </c>
      <c r="H104">
        <v>67.074120300000004</v>
      </c>
      <c r="I104">
        <v>288.7274481</v>
      </c>
      <c r="J104">
        <v>15.7957287</v>
      </c>
      <c r="K104">
        <v>47.780582699999997</v>
      </c>
      <c r="L104">
        <v>91.9436271</v>
      </c>
      <c r="M104">
        <v>13.0505046</v>
      </c>
      <c r="N104">
        <v>90.660812100000001</v>
      </c>
      <c r="O104">
        <v>74.317749000000006</v>
      </c>
      <c r="P104">
        <v>26.8193856</v>
      </c>
      <c r="Q104">
        <v>38.381824799999997</v>
      </c>
      <c r="R104">
        <v>52.5013419</v>
      </c>
      <c r="S104">
        <v>21.747990300000001</v>
      </c>
      <c r="T104">
        <v>65.637367499999996</v>
      </c>
      <c r="U104">
        <v>20.7901551</v>
      </c>
      <c r="V104" s="6"/>
      <c r="W104" s="3">
        <v>45910</v>
      </c>
      <c r="X104">
        <v>25.664852100000001</v>
      </c>
      <c r="Y104">
        <v>817.82877089999999</v>
      </c>
      <c r="Z104">
        <v>150.20908439999999</v>
      </c>
      <c r="AA104">
        <v>74.7710103</v>
      </c>
      <c r="AB104">
        <v>131.33459970000001</v>
      </c>
      <c r="AC104">
        <v>943.20255689999999</v>
      </c>
      <c r="AD104">
        <v>169.99009169999999</v>
      </c>
      <c r="AE104">
        <v>113.80279470000001</v>
      </c>
      <c r="AF104">
        <v>331.6333338</v>
      </c>
      <c r="AG104">
        <v>188.89878479999999</v>
      </c>
      <c r="AH104">
        <v>667.57692599999996</v>
      </c>
      <c r="AI104">
        <v>145.56529409999999</v>
      </c>
      <c r="AJ104">
        <v>94.911205800000005</v>
      </c>
      <c r="AK104">
        <v>224.53538549999999</v>
      </c>
      <c r="AL104">
        <v>353.39842829999998</v>
      </c>
      <c r="AM104">
        <v>731.35848780000003</v>
      </c>
      <c r="AN104">
        <v>272.94027149999999</v>
      </c>
      <c r="AO104">
        <v>290.2497219</v>
      </c>
      <c r="AP104">
        <v>91.199594399999995</v>
      </c>
      <c r="AQ104">
        <v>69.793688099999997</v>
      </c>
      <c r="AR104" cm="1">
        <f t="array" ref="AR104">SUMPRODUCT($B$162:$U$162,(B104:U104)/($B$11:$U$11))</f>
        <v>30187.717365347668</v>
      </c>
      <c r="AS104">
        <f t="shared" si="5"/>
        <v>160.29331918416574</v>
      </c>
      <c r="AT104">
        <f t="shared" si="6"/>
        <v>1.0053382307765639</v>
      </c>
      <c r="AU104" cm="1">
        <f t="array" ref="AU104">SUMPRODUCT($X$162:$AQ$162,(X104:AQ104)/($X$11:$AQ$11))</f>
        <v>27002.482671780774</v>
      </c>
      <c r="AV104">
        <f t="shared" si="7"/>
        <v>-632.81036052649142</v>
      </c>
      <c r="AW104">
        <f t="shared" si="8"/>
        <v>632.81036052649142</v>
      </c>
      <c r="AX104">
        <f t="shared" si="9"/>
        <v>793.10367971065716</v>
      </c>
    </row>
    <row r="105" spans="1:50" x14ac:dyDescent="0.2">
      <c r="A105" s="3">
        <v>45911</v>
      </c>
      <c r="B105">
        <v>157.002183</v>
      </c>
      <c r="C105">
        <v>59.192234999999997</v>
      </c>
      <c r="D105">
        <v>298.50102900000002</v>
      </c>
      <c r="E105">
        <v>80.695763999999997</v>
      </c>
      <c r="F105">
        <v>37.458584999999999</v>
      </c>
      <c r="G105">
        <v>156.73796999999999</v>
      </c>
      <c r="H105">
        <v>67.885694999999998</v>
      </c>
      <c r="I105">
        <v>288.02626199999997</v>
      </c>
      <c r="J105">
        <v>16.065854999999999</v>
      </c>
      <c r="K105">
        <v>48.683376000000003</v>
      </c>
      <c r="L105">
        <v>93.207527999999996</v>
      </c>
      <c r="M105">
        <v>13.406679</v>
      </c>
      <c r="N105">
        <v>92.985929999999996</v>
      </c>
      <c r="O105">
        <v>73.408598999999995</v>
      </c>
      <c r="P105">
        <v>27.674181000000001</v>
      </c>
      <c r="Q105">
        <v>39.137616000000001</v>
      </c>
      <c r="R105">
        <v>51.513012000000003</v>
      </c>
      <c r="S105">
        <v>22.960961999999999</v>
      </c>
      <c r="T105">
        <v>67.502160000000003</v>
      </c>
      <c r="U105">
        <v>21.639897000000001</v>
      </c>
      <c r="V105" s="6"/>
      <c r="W105" s="3">
        <v>45911</v>
      </c>
      <c r="X105">
        <v>26.097425999999999</v>
      </c>
      <c r="Y105">
        <v>821.88993600000003</v>
      </c>
      <c r="Z105">
        <v>151.79463000000001</v>
      </c>
      <c r="AA105">
        <v>73.988163</v>
      </c>
      <c r="AB105">
        <v>135.916281</v>
      </c>
      <c r="AC105">
        <v>966.66161399999999</v>
      </c>
      <c r="AD105">
        <v>173.40895800000001</v>
      </c>
      <c r="AE105">
        <v>115.452558</v>
      </c>
      <c r="AF105">
        <v>373.39263</v>
      </c>
      <c r="AG105">
        <v>192.93515099999999</v>
      </c>
      <c r="AH105">
        <v>679.69220399999995</v>
      </c>
      <c r="AI105">
        <v>146.91095100000001</v>
      </c>
      <c r="AJ105">
        <v>97.861086</v>
      </c>
      <c r="AK105">
        <v>227.027151</v>
      </c>
      <c r="AL105">
        <v>360.88086600000003</v>
      </c>
      <c r="AM105">
        <v>716.25587399999995</v>
      </c>
      <c r="AN105">
        <v>281.08854000000002</v>
      </c>
      <c r="AO105">
        <v>298.765242</v>
      </c>
      <c r="AP105">
        <v>90.079587000000004</v>
      </c>
      <c r="AQ105">
        <v>71.354556000000002</v>
      </c>
      <c r="AR105" cm="1">
        <f t="array" ref="AR105">SUMPRODUCT($B$162:$U$162,(B105:U105)/($B$11:$U$11))</f>
        <v>30590.549729866001</v>
      </c>
      <c r="AS105">
        <f t="shared" si="5"/>
        <v>402.83236451833363</v>
      </c>
      <c r="AT105">
        <f t="shared" si="6"/>
        <v>1.0133442472527168</v>
      </c>
      <c r="AU105" cm="1">
        <f t="array" ref="AU105">SUMPRODUCT($X$162:$AQ$162,(X105:AQ105)/($X$11:$AQ$11))</f>
        <v>27427.526802601304</v>
      </c>
      <c r="AV105">
        <f t="shared" si="7"/>
        <v>425.04413082052997</v>
      </c>
      <c r="AW105">
        <f t="shared" si="8"/>
        <v>-425.04413082052997</v>
      </c>
      <c r="AX105">
        <f t="shared" si="9"/>
        <v>-22.211766302196338</v>
      </c>
    </row>
    <row r="106" spans="1:50" x14ac:dyDescent="0.2">
      <c r="A106" s="3">
        <v>45912</v>
      </c>
      <c r="B106">
        <v>158.331771</v>
      </c>
      <c r="C106">
        <v>59.430878999999997</v>
      </c>
      <c r="D106">
        <v>286.73076600000002</v>
      </c>
      <c r="E106">
        <v>81.727046999999999</v>
      </c>
      <c r="F106">
        <v>38.353499999999997</v>
      </c>
      <c r="G106">
        <v>155.519181</v>
      </c>
      <c r="H106">
        <v>67.544775000000001</v>
      </c>
      <c r="I106">
        <v>291.29909400000003</v>
      </c>
      <c r="J106">
        <v>16.185176999999999</v>
      </c>
      <c r="K106">
        <v>48.086765999999997</v>
      </c>
      <c r="L106">
        <v>90.838133999999997</v>
      </c>
      <c r="M106">
        <v>13.168035</v>
      </c>
      <c r="N106">
        <v>92.926269000000005</v>
      </c>
      <c r="O106">
        <v>72.982449000000003</v>
      </c>
      <c r="P106">
        <v>26.855972999999999</v>
      </c>
      <c r="Q106">
        <v>38.114856000000003</v>
      </c>
      <c r="R106">
        <v>51.027200999999998</v>
      </c>
      <c r="S106">
        <v>22.713795000000001</v>
      </c>
      <c r="T106">
        <v>65.490731999999994</v>
      </c>
      <c r="U106">
        <v>20.037572999999998</v>
      </c>
      <c r="V106" s="6"/>
      <c r="W106" s="3">
        <v>45912</v>
      </c>
      <c r="X106">
        <v>25.747983000000001</v>
      </c>
      <c r="Y106">
        <v>824.94117000000006</v>
      </c>
      <c r="Z106">
        <v>147.43085400000001</v>
      </c>
      <c r="AA106">
        <v>71.294894999999997</v>
      </c>
      <c r="AB106">
        <v>134.55260100000001</v>
      </c>
      <c r="AC106">
        <v>957.48234300000001</v>
      </c>
      <c r="AD106">
        <v>172.95723899999999</v>
      </c>
      <c r="AE106">
        <v>115.154253</v>
      </c>
      <c r="AF106">
        <v>362.61103500000002</v>
      </c>
      <c r="AG106">
        <v>189.74754899999999</v>
      </c>
      <c r="AH106">
        <v>672.13230299999998</v>
      </c>
      <c r="AI106">
        <v>145.35124200000001</v>
      </c>
      <c r="AJ106">
        <v>98.312804999999997</v>
      </c>
      <c r="AK106">
        <v>224.46172799999999</v>
      </c>
      <c r="AL106">
        <v>360.25868700000001</v>
      </c>
      <c r="AM106">
        <v>710.93752199999994</v>
      </c>
      <c r="AN106">
        <v>277.83275400000002</v>
      </c>
      <c r="AO106">
        <v>293.98383899999999</v>
      </c>
      <c r="AP106">
        <v>90.028448999999995</v>
      </c>
      <c r="AQ106">
        <v>70.561916999999994</v>
      </c>
      <c r="AR106" cm="1">
        <f t="array" ref="AR106">SUMPRODUCT($B$162:$U$162,(B106:U106)/($B$11:$U$11))</f>
        <v>30245.871474465792</v>
      </c>
      <c r="AS106">
        <f t="shared" si="5"/>
        <v>-344.67825540020931</v>
      </c>
      <c r="AT106">
        <f t="shared" si="6"/>
        <v>0.98873252496460717</v>
      </c>
      <c r="AU106" cm="1">
        <f t="array" ref="AU106">SUMPRODUCT($X$162:$AQ$162,(X106:AQ106)/($X$11:$AQ$11))</f>
        <v>27083.779265796751</v>
      </c>
      <c r="AV106">
        <f t="shared" si="7"/>
        <v>-343.74753680455251</v>
      </c>
      <c r="AW106">
        <f t="shared" si="8"/>
        <v>343.74753680455251</v>
      </c>
      <c r="AX106">
        <f t="shared" si="9"/>
        <v>-0.93071859565679915</v>
      </c>
    </row>
    <row r="107" spans="1:50" x14ac:dyDescent="0.2">
      <c r="A107" s="3">
        <v>45915</v>
      </c>
      <c r="B107">
        <v>160.92684499999999</v>
      </c>
      <c r="C107">
        <v>59.396248999999997</v>
      </c>
      <c r="D107">
        <v>280.43362860000002</v>
      </c>
      <c r="E107">
        <v>84.056109000000006</v>
      </c>
      <c r="F107">
        <v>38.5884292</v>
      </c>
      <c r="G107">
        <v>156.2584784</v>
      </c>
      <c r="H107">
        <v>67.482982399999997</v>
      </c>
      <c r="I107">
        <v>289.3621986</v>
      </c>
      <c r="J107">
        <v>15.518705000000001</v>
      </c>
      <c r="K107">
        <v>47.695570600000003</v>
      </c>
      <c r="L107">
        <v>88.903047000000001</v>
      </c>
      <c r="M107">
        <v>13.044215599999999</v>
      </c>
      <c r="N107">
        <v>91.666651999999999</v>
      </c>
      <c r="O107">
        <v>72.576519000000005</v>
      </c>
      <c r="P107">
        <v>26.564621599999999</v>
      </c>
      <c r="Q107">
        <v>38.8095176</v>
      </c>
      <c r="R107">
        <v>49.676862800000002</v>
      </c>
      <c r="S107">
        <v>22.117343399999999</v>
      </c>
      <c r="T107">
        <v>65.016996399999996</v>
      </c>
      <c r="U107">
        <v>20.306119200000001</v>
      </c>
      <c r="V107" s="6"/>
      <c r="W107" s="3">
        <v>45915</v>
      </c>
      <c r="X107">
        <v>25.212581</v>
      </c>
      <c r="Y107">
        <v>816.41143399999999</v>
      </c>
      <c r="Z107">
        <v>146.20745959999999</v>
      </c>
      <c r="AA107">
        <v>74.319716</v>
      </c>
      <c r="AB107">
        <v>133.21426439999999</v>
      </c>
      <c r="AC107">
        <v>948.22263740000005</v>
      </c>
      <c r="AD107">
        <v>168.46085740000001</v>
      </c>
      <c r="AE107">
        <v>112.2193698</v>
      </c>
      <c r="AF107">
        <v>356.46252800000002</v>
      </c>
      <c r="AG107">
        <v>185.54418799999999</v>
      </c>
      <c r="AH107">
        <v>673.19717119999996</v>
      </c>
      <c r="AI107">
        <v>146.0543984</v>
      </c>
      <c r="AJ107">
        <v>97.168351799999996</v>
      </c>
      <c r="AK107">
        <v>224.3792158</v>
      </c>
      <c r="AL107">
        <v>359.44722139999999</v>
      </c>
      <c r="AM107">
        <v>722.54240140000002</v>
      </c>
      <c r="AN107">
        <v>276.1734252</v>
      </c>
      <c r="AO107">
        <v>294.59178960000003</v>
      </c>
      <c r="AP107">
        <v>88.579917800000004</v>
      </c>
      <c r="AQ107">
        <v>70.408152000000001</v>
      </c>
      <c r="AR107" cm="1">
        <f t="array" ref="AR107">SUMPRODUCT($B$162:$U$162,(B107:U107)/($B$11:$U$11))</f>
        <v>30091.811828153364</v>
      </c>
      <c r="AS107">
        <f t="shared" si="5"/>
        <v>-154.0596463124275</v>
      </c>
      <c r="AT107">
        <f t="shared" si="6"/>
        <v>0.99490642395797757</v>
      </c>
      <c r="AU107" cm="1">
        <f t="array" ref="AU107">SUMPRODUCT($X$162:$AQ$162,(X107:AQ107)/($X$11:$AQ$11))</f>
        <v>26990.056245984168</v>
      </c>
      <c r="AV107">
        <f t="shared" si="7"/>
        <v>-93.723019812583516</v>
      </c>
      <c r="AW107">
        <f t="shared" si="8"/>
        <v>93.723019812583516</v>
      </c>
      <c r="AX107">
        <f t="shared" si="9"/>
        <v>-60.336626499843987</v>
      </c>
    </row>
    <row r="108" spans="1:50" x14ac:dyDescent="0.2">
      <c r="A108" s="3">
        <v>45916</v>
      </c>
      <c r="B108">
        <v>157.98004040000001</v>
      </c>
      <c r="C108">
        <v>57.365311800000001</v>
      </c>
      <c r="D108">
        <v>271.10945800000002</v>
      </c>
      <c r="E108">
        <v>82.445254199999994</v>
      </c>
      <c r="F108">
        <v>37.847453399999999</v>
      </c>
      <c r="G108">
        <v>152.97416480000001</v>
      </c>
      <c r="H108">
        <v>66.593314800000002</v>
      </c>
      <c r="I108">
        <v>279.89923620000002</v>
      </c>
      <c r="J108">
        <v>15.278876199999999</v>
      </c>
      <c r="K108">
        <v>48.659807600000001</v>
      </c>
      <c r="L108">
        <v>87.813507999999999</v>
      </c>
      <c r="M108">
        <v>12.598962999999999</v>
      </c>
      <c r="N108">
        <v>89.785519600000001</v>
      </c>
      <c r="O108">
        <v>71.599190399999998</v>
      </c>
      <c r="P108">
        <v>26.293488</v>
      </c>
      <c r="Q108">
        <v>38.176121999999999</v>
      </c>
      <c r="R108">
        <v>48.760936399999999</v>
      </c>
      <c r="S108">
        <v>21.5572892</v>
      </c>
      <c r="T108">
        <v>64.368481200000005</v>
      </c>
      <c r="U108">
        <v>20.933661600000001</v>
      </c>
      <c r="V108" s="6"/>
      <c r="W108" s="3">
        <v>45916</v>
      </c>
      <c r="X108">
        <v>24.886112199999999</v>
      </c>
      <c r="Y108">
        <v>802.34747179999999</v>
      </c>
      <c r="Z108">
        <v>145.43164179999999</v>
      </c>
      <c r="AA108">
        <v>74.599344799999997</v>
      </c>
      <c r="AB108">
        <v>131.88881000000001</v>
      </c>
      <c r="AC108">
        <v>942.93335860000002</v>
      </c>
      <c r="AD108">
        <v>165.8765142</v>
      </c>
      <c r="AE108">
        <v>110.9214388</v>
      </c>
      <c r="AF108">
        <v>358.98195779999998</v>
      </c>
      <c r="AG108">
        <v>179.7732968</v>
      </c>
      <c r="AH108">
        <v>656.7557094</v>
      </c>
      <c r="AI108">
        <v>145.0102718</v>
      </c>
      <c r="AJ108">
        <v>96.097642199999996</v>
      </c>
      <c r="AK108">
        <v>220.66304160000001</v>
      </c>
      <c r="AL108">
        <v>355.17277300000001</v>
      </c>
      <c r="AM108">
        <v>722.24503479999998</v>
      </c>
      <c r="AN108">
        <v>276.65468720000001</v>
      </c>
      <c r="AO108">
        <v>288.43619239999998</v>
      </c>
      <c r="AP108">
        <v>87.383710600000001</v>
      </c>
      <c r="AQ108">
        <v>70.048548800000006</v>
      </c>
      <c r="AR108" cm="1">
        <f t="array" ref="AR108">SUMPRODUCT($B$162:$U$162,(B108:U108)/($B$11:$U$11))</f>
        <v>29524.888279873267</v>
      </c>
      <c r="AS108">
        <f t="shared" si="5"/>
        <v>-566.92354828009775</v>
      </c>
      <c r="AT108">
        <f t="shared" si="6"/>
        <v>0.98116020558955863</v>
      </c>
      <c r="AU108" cm="1">
        <f t="array" ref="AU108">SUMPRODUCT($X$162:$AQ$162,(X108:AQ108)/($X$11:$AQ$11))</f>
        <v>26732.825762907214</v>
      </c>
      <c r="AV108">
        <f t="shared" si="7"/>
        <v>-257.23048307695353</v>
      </c>
      <c r="AW108">
        <f t="shared" si="8"/>
        <v>257.23048307695353</v>
      </c>
      <c r="AX108">
        <f t="shared" si="9"/>
        <v>-309.69306520314422</v>
      </c>
    </row>
    <row r="109" spans="1:50" x14ac:dyDescent="0.2">
      <c r="A109" s="3">
        <v>45917</v>
      </c>
      <c r="B109">
        <v>156.95117400000001</v>
      </c>
      <c r="C109">
        <v>57.010044000000001</v>
      </c>
      <c r="D109">
        <v>273.51106199999998</v>
      </c>
      <c r="E109">
        <v>78.691469999999995</v>
      </c>
      <c r="F109">
        <v>38.012340000000002</v>
      </c>
      <c r="G109">
        <v>153.708696</v>
      </c>
      <c r="H109">
        <v>66.618954000000002</v>
      </c>
      <c r="I109">
        <v>272.79145199999999</v>
      </c>
      <c r="J109">
        <v>15.526643999999999</v>
      </c>
      <c r="K109">
        <v>47.113289999999999</v>
      </c>
      <c r="L109">
        <v>89.324765999999997</v>
      </c>
      <c r="M109">
        <v>12.775194000000001</v>
      </c>
      <c r="N109">
        <v>90.366084000000001</v>
      </c>
      <c r="O109">
        <v>71.275254000000004</v>
      </c>
      <c r="P109">
        <v>26.405453999999999</v>
      </c>
      <c r="Q109">
        <v>38.173194000000002</v>
      </c>
      <c r="R109">
        <v>49.797012000000002</v>
      </c>
      <c r="S109">
        <v>21.486708</v>
      </c>
      <c r="T109">
        <v>64.206143999999995</v>
      </c>
      <c r="U109">
        <v>21.164999999999999</v>
      </c>
      <c r="V109" s="6"/>
      <c r="W109" s="3">
        <v>45917</v>
      </c>
      <c r="X109">
        <v>25.093223999999999</v>
      </c>
      <c r="Y109">
        <v>815.301198</v>
      </c>
      <c r="Z109">
        <v>145.14957000000001</v>
      </c>
      <c r="AA109">
        <v>74.644722000000002</v>
      </c>
      <c r="AB109">
        <v>131.35845599999999</v>
      </c>
      <c r="AC109">
        <v>958.16494799999998</v>
      </c>
      <c r="AD109">
        <v>167.11884000000001</v>
      </c>
      <c r="AE109">
        <v>112.140636</v>
      </c>
      <c r="AF109">
        <v>360.14364</v>
      </c>
      <c r="AG109">
        <v>181.79041799999999</v>
      </c>
      <c r="AH109">
        <v>659.31514800000002</v>
      </c>
      <c r="AI109">
        <v>146.385606</v>
      </c>
      <c r="AJ109">
        <v>96.419274000000001</v>
      </c>
      <c r="AK109">
        <v>222.21556799999999</v>
      </c>
      <c r="AL109">
        <v>353.03219999999999</v>
      </c>
      <c r="AM109">
        <v>743.02695600000004</v>
      </c>
      <c r="AN109">
        <v>273.731178</v>
      </c>
      <c r="AO109">
        <v>291.78915599999999</v>
      </c>
      <c r="AP109">
        <v>88.774476000000007</v>
      </c>
      <c r="AQ109">
        <v>70.166207999999997</v>
      </c>
      <c r="AR109" cm="1">
        <f t="array" ref="AR109">SUMPRODUCT($B$162:$U$162,(B109:U109)/($B$11:$U$11))</f>
        <v>29483.838666206433</v>
      </c>
      <c r="AS109">
        <f t="shared" si="5"/>
        <v>-41.049613666833466</v>
      </c>
      <c r="AT109">
        <f t="shared" si="6"/>
        <v>0.99860966066060219</v>
      </c>
      <c r="AU109" cm="1">
        <f t="array" ref="AU109">SUMPRODUCT($X$162:$AQ$162,(X109:AQ109)/($X$11:$AQ$11))</f>
        <v>26913.599911399211</v>
      </c>
      <c r="AV109">
        <f t="shared" si="7"/>
        <v>180.77414849199704</v>
      </c>
      <c r="AW109">
        <f t="shared" si="8"/>
        <v>-180.77414849199704</v>
      </c>
      <c r="AX109">
        <f t="shared" si="9"/>
        <v>-221.8237621588305</v>
      </c>
    </row>
    <row r="110" spans="1:50" x14ac:dyDescent="0.2">
      <c r="A110" s="3">
        <v>45918</v>
      </c>
      <c r="B110">
        <v>162.7685664</v>
      </c>
      <c r="C110">
        <v>57.669826200000003</v>
      </c>
      <c r="D110">
        <v>276.43675259999998</v>
      </c>
      <c r="E110">
        <v>80.349162000000007</v>
      </c>
      <c r="F110">
        <v>38.978252400000002</v>
      </c>
      <c r="G110">
        <v>152.7991614</v>
      </c>
      <c r="H110">
        <v>66.451387199999999</v>
      </c>
      <c r="I110">
        <v>282.96989459999998</v>
      </c>
      <c r="J110">
        <v>15.357125999999999</v>
      </c>
      <c r="K110">
        <v>47.912536199999998</v>
      </c>
      <c r="L110">
        <v>89.410714799999994</v>
      </c>
      <c r="M110">
        <v>12.642054</v>
      </c>
      <c r="N110">
        <v>90.836127599999998</v>
      </c>
      <c r="O110">
        <v>71.355485999999999</v>
      </c>
      <c r="P110">
        <v>26.684066999999999</v>
      </c>
      <c r="Q110">
        <v>38.121307799999997</v>
      </c>
      <c r="R110">
        <v>50.4579162</v>
      </c>
      <c r="S110">
        <v>21.559368599999999</v>
      </c>
      <c r="T110">
        <v>65.407781400000005</v>
      </c>
      <c r="U110">
        <v>21.593306999999999</v>
      </c>
      <c r="V110" s="6"/>
      <c r="W110" s="3">
        <v>45918</v>
      </c>
      <c r="X110">
        <v>25.046539200000002</v>
      </c>
      <c r="Y110">
        <v>808.0393656</v>
      </c>
      <c r="Z110">
        <v>146.613888</v>
      </c>
      <c r="AA110">
        <v>74.664479999999998</v>
      </c>
      <c r="AB110">
        <v>131.850684</v>
      </c>
      <c r="AC110">
        <v>964.80931980000003</v>
      </c>
      <c r="AD110">
        <v>166.42542900000001</v>
      </c>
      <c r="AE110">
        <v>111.24159059999999</v>
      </c>
      <c r="AF110">
        <v>407.35413060000002</v>
      </c>
      <c r="AG110">
        <v>183.734013</v>
      </c>
      <c r="AH110">
        <v>666.29563800000005</v>
      </c>
      <c r="AI110">
        <v>150.35559660000001</v>
      </c>
      <c r="AJ110">
        <v>97.708653600000005</v>
      </c>
      <c r="AK110">
        <v>223.64557139999999</v>
      </c>
      <c r="AL110">
        <v>354.21508080000001</v>
      </c>
      <c r="AM110">
        <v>778.69961880000005</v>
      </c>
      <c r="AN110">
        <v>275.85131519999999</v>
      </c>
      <c r="AO110">
        <v>295.73921760000002</v>
      </c>
      <c r="AP110">
        <v>89.758583400000006</v>
      </c>
      <c r="AQ110">
        <v>72.433030200000005</v>
      </c>
      <c r="AR110" cm="1">
        <f t="array" ref="AR110">SUMPRODUCT($B$162:$U$162,(B110:U110)/($B$11:$U$11))</f>
        <v>29852.610097678396</v>
      </c>
      <c r="AS110">
        <f t="shared" si="5"/>
        <v>368.7714314719633</v>
      </c>
      <c r="AT110">
        <f t="shared" si="6"/>
        <v>1.0125075786652786</v>
      </c>
      <c r="AU110" cm="1">
        <f t="array" ref="AU110">SUMPRODUCT($X$162:$AQ$162,(X110:AQ110)/($X$11:$AQ$11))</f>
        <v>27264.098585255088</v>
      </c>
      <c r="AV110">
        <f t="shared" si="7"/>
        <v>350.4986738558764</v>
      </c>
      <c r="AW110">
        <f t="shared" si="8"/>
        <v>-350.4986738558764</v>
      </c>
      <c r="AX110">
        <f t="shared" si="9"/>
        <v>18.272757616086892</v>
      </c>
    </row>
    <row r="111" spans="1:50" x14ac:dyDescent="0.2">
      <c r="A111" s="3">
        <v>45919</v>
      </c>
      <c r="B111">
        <v>161.98084499999999</v>
      </c>
      <c r="C111">
        <v>57.161194999999999</v>
      </c>
      <c r="D111">
        <v>279.80290000000002</v>
      </c>
      <c r="E111">
        <v>83.881264999999999</v>
      </c>
      <c r="F111">
        <v>39.007215000000002</v>
      </c>
      <c r="G111">
        <v>153.88308000000001</v>
      </c>
      <c r="H111">
        <v>69.584580000000003</v>
      </c>
      <c r="I111">
        <v>281.71026000000001</v>
      </c>
      <c r="J111">
        <v>15.61651</v>
      </c>
      <c r="K111">
        <v>47.394489999999998</v>
      </c>
      <c r="L111">
        <v>90.522964999999999</v>
      </c>
      <c r="M111">
        <v>12.695865</v>
      </c>
      <c r="N111">
        <v>91.025350000000003</v>
      </c>
      <c r="O111">
        <v>72.454134999999994</v>
      </c>
      <c r="P111">
        <v>25.987780000000001</v>
      </c>
      <c r="Q111">
        <v>38.26641</v>
      </c>
      <c r="R111">
        <v>50.885640000000002</v>
      </c>
      <c r="S111">
        <v>21.483345</v>
      </c>
      <c r="T111">
        <v>64.952420000000004</v>
      </c>
      <c r="U111">
        <v>21.491859999999999</v>
      </c>
      <c r="V111" s="6"/>
      <c r="W111" s="3">
        <v>45919</v>
      </c>
      <c r="X111">
        <v>25.23846</v>
      </c>
      <c r="Y111">
        <v>809.91273999999999</v>
      </c>
      <c r="Z111">
        <v>145.89600999999999</v>
      </c>
      <c r="AA111">
        <v>74.761700000000005</v>
      </c>
      <c r="AB111">
        <v>133.3449</v>
      </c>
      <c r="AC111">
        <v>973.13677499999994</v>
      </c>
      <c r="AD111">
        <v>167.55816999999999</v>
      </c>
      <c r="AE111">
        <v>110.69499999999999</v>
      </c>
      <c r="AF111">
        <v>421.91825</v>
      </c>
      <c r="AG111">
        <v>184.4349</v>
      </c>
      <c r="AH111">
        <v>673.74937499999999</v>
      </c>
      <c r="AI111">
        <v>151.69472500000001</v>
      </c>
      <c r="AJ111">
        <v>96.653765000000007</v>
      </c>
      <c r="AK111">
        <v>222.97379000000001</v>
      </c>
      <c r="AL111">
        <v>353.960035</v>
      </c>
      <c r="AM111">
        <v>780.28053999999997</v>
      </c>
      <c r="AN111">
        <v>270.70888000000002</v>
      </c>
      <c r="AO111">
        <v>296.16872999999998</v>
      </c>
      <c r="AP111">
        <v>90.250484999999998</v>
      </c>
      <c r="AQ111">
        <v>72.615920000000003</v>
      </c>
      <c r="AR111" cm="1">
        <f t="array" ref="AR111">SUMPRODUCT($B$162:$U$162,(B111:U111)/($B$11:$U$11))</f>
        <v>29997.663964308802</v>
      </c>
      <c r="AS111">
        <f t="shared" si="5"/>
        <v>145.05386663040554</v>
      </c>
      <c r="AT111">
        <f t="shared" si="6"/>
        <v>1.0048590011444825</v>
      </c>
      <c r="AU111" cm="1">
        <f t="array" ref="AU111">SUMPRODUCT($X$162:$AQ$162,(X111:AQ111)/($X$11:$AQ$11))</f>
        <v>27346.256210337073</v>
      </c>
      <c r="AV111">
        <f t="shared" si="7"/>
        <v>82.157625081985316</v>
      </c>
      <c r="AW111">
        <f t="shared" si="8"/>
        <v>-82.157625081985316</v>
      </c>
      <c r="AX111">
        <f t="shared" si="9"/>
        <v>62.896241548420221</v>
      </c>
    </row>
    <row r="112" spans="1:50" x14ac:dyDescent="0.2">
      <c r="A112" s="3">
        <v>45922</v>
      </c>
      <c r="B112">
        <v>162.81061650000001</v>
      </c>
      <c r="C112">
        <v>56.879920300000002</v>
      </c>
      <c r="D112">
        <v>278.96834439999998</v>
      </c>
      <c r="E112">
        <v>84.214140900000004</v>
      </c>
      <c r="F112">
        <v>39.713419700000003</v>
      </c>
      <c r="G112">
        <v>153.4817334</v>
      </c>
      <c r="H112">
        <v>70.936793199999997</v>
      </c>
      <c r="I112">
        <v>283.95052720000001</v>
      </c>
      <c r="J112">
        <v>14.378850699999999</v>
      </c>
      <c r="K112">
        <v>46.915554700000001</v>
      </c>
      <c r="L112">
        <v>88.272755799999999</v>
      </c>
      <c r="M112">
        <v>12.4300377</v>
      </c>
      <c r="N112">
        <v>89.662344200000007</v>
      </c>
      <c r="O112">
        <v>72.563628399999999</v>
      </c>
      <c r="P112">
        <v>26.020890099999999</v>
      </c>
      <c r="Q112">
        <v>38.2645196</v>
      </c>
      <c r="R112">
        <v>49.898085899999998</v>
      </c>
      <c r="S112">
        <v>21.513200900000001</v>
      </c>
      <c r="T112">
        <v>64.971730800000003</v>
      </c>
      <c r="U112">
        <v>22.504553600000001</v>
      </c>
      <c r="V112" s="6"/>
      <c r="W112" s="3">
        <v>45922</v>
      </c>
      <c r="X112">
        <v>25.156633899999999</v>
      </c>
      <c r="Y112">
        <v>799.23363059999997</v>
      </c>
      <c r="Z112">
        <v>144.24605439999999</v>
      </c>
      <c r="AA112">
        <v>73.944743700000004</v>
      </c>
      <c r="AB112">
        <v>130.3671166</v>
      </c>
      <c r="AC112">
        <v>962.72209510000005</v>
      </c>
      <c r="AD112">
        <v>166.95396239999999</v>
      </c>
      <c r="AE112">
        <v>110.48922399999999</v>
      </c>
      <c r="AF112">
        <v>436.18671490000003</v>
      </c>
      <c r="AG112">
        <v>186.492931</v>
      </c>
      <c r="AH112">
        <v>676.21269170000005</v>
      </c>
      <c r="AI112">
        <v>150.66866419999999</v>
      </c>
      <c r="AJ112">
        <v>96.534028300000003</v>
      </c>
      <c r="AK112">
        <v>221.05470589999999</v>
      </c>
      <c r="AL112">
        <v>349.09172000000001</v>
      </c>
      <c r="AM112">
        <v>781.90614110000001</v>
      </c>
      <c r="AN112">
        <v>264.8945253</v>
      </c>
      <c r="AO112">
        <v>292.62698160000002</v>
      </c>
      <c r="AP112">
        <v>89.2132699</v>
      </c>
      <c r="AQ112">
        <v>72.351800900000001</v>
      </c>
      <c r="AR112" cm="1">
        <f t="array" ref="AR112">SUMPRODUCT($B$162:$U$162,(B112:U112)/($B$11:$U$11))</f>
        <v>29935.496805964533</v>
      </c>
      <c r="AS112">
        <f t="shared" si="5"/>
        <v>-62.16715834426941</v>
      </c>
      <c r="AT112">
        <f t="shared" si="6"/>
        <v>0.99792760001517999</v>
      </c>
      <c r="AU112" cm="1">
        <f t="array" ref="AU112">SUMPRODUCT($X$162:$AQ$162,(X112:AQ112)/($X$11:$AQ$11))</f>
        <v>27174.016343754534</v>
      </c>
      <c r="AV112">
        <f t="shared" si="7"/>
        <v>-172.23986658253853</v>
      </c>
      <c r="AW112">
        <f t="shared" si="8"/>
        <v>172.23986658253853</v>
      </c>
      <c r="AX112">
        <f t="shared" si="9"/>
        <v>110.07270823826912</v>
      </c>
    </row>
    <row r="113" spans="1:50" x14ac:dyDescent="0.2">
      <c r="A113" s="3">
        <v>45923</v>
      </c>
      <c r="B113">
        <v>163.84224040000001</v>
      </c>
      <c r="C113">
        <v>58.010885199999997</v>
      </c>
      <c r="D113">
        <v>279.80476420000002</v>
      </c>
      <c r="E113">
        <v>82.775964000000002</v>
      </c>
      <c r="F113">
        <v>39.771396199999998</v>
      </c>
      <c r="G113">
        <v>155.84394940000001</v>
      </c>
      <c r="H113">
        <v>71.662994600000005</v>
      </c>
      <c r="I113">
        <v>277.44336399999997</v>
      </c>
      <c r="J113">
        <v>14.5915912</v>
      </c>
      <c r="K113">
        <v>45.975361599999999</v>
      </c>
      <c r="L113">
        <v>88.133549400000007</v>
      </c>
      <c r="M113">
        <v>12.467177400000001</v>
      </c>
      <c r="N113">
        <v>89.199988200000007</v>
      </c>
      <c r="O113">
        <v>73.753553199999999</v>
      </c>
      <c r="P113">
        <v>25.9923298</v>
      </c>
      <c r="Q113">
        <v>38.391796800000002</v>
      </c>
      <c r="R113">
        <v>49.724825000000003</v>
      </c>
      <c r="S113">
        <v>21.641936600000001</v>
      </c>
      <c r="T113">
        <v>63.707022600000002</v>
      </c>
      <c r="U113">
        <v>21.8281402</v>
      </c>
      <c r="V113" s="6"/>
      <c r="W113" s="3">
        <v>45923</v>
      </c>
      <c r="X113">
        <v>25.129022200000001</v>
      </c>
      <c r="Y113">
        <v>798.64416800000004</v>
      </c>
      <c r="Z113">
        <v>143.11439419999999</v>
      </c>
      <c r="AA113">
        <v>74.2444536</v>
      </c>
      <c r="AB113">
        <v>132.28073019999999</v>
      </c>
      <c r="AC113">
        <v>957.89056500000004</v>
      </c>
      <c r="AD113">
        <v>167.12619480000001</v>
      </c>
      <c r="AE113">
        <v>109.43693399999999</v>
      </c>
      <c r="AF113">
        <v>414.99704159999999</v>
      </c>
      <c r="AG113">
        <v>185.91583080000001</v>
      </c>
      <c r="AH113">
        <v>679.88012639999999</v>
      </c>
      <c r="AI113">
        <v>150.57100199999999</v>
      </c>
      <c r="AJ113">
        <v>96.859727199999995</v>
      </c>
      <c r="AK113">
        <v>221.0913836</v>
      </c>
      <c r="AL113">
        <v>347.7860058</v>
      </c>
      <c r="AM113">
        <v>773.81984260000002</v>
      </c>
      <c r="AN113">
        <v>264.86615719999998</v>
      </c>
      <c r="AO113">
        <v>290.07981740000002</v>
      </c>
      <c r="AP113">
        <v>88.582130800000002</v>
      </c>
      <c r="AQ113">
        <v>72.331634800000003</v>
      </c>
      <c r="AR113" cm="1">
        <f t="array" ref="AR113">SUMPRODUCT($B$162:$U$162,(B113:U113)/($B$11:$U$11))</f>
        <v>29954.962828993026</v>
      </c>
      <c r="AS113">
        <f t="shared" si="5"/>
        <v>19.46602302849351</v>
      </c>
      <c r="AT113">
        <f t="shared" si="6"/>
        <v>1.0006502655745007</v>
      </c>
      <c r="AU113" cm="1">
        <f t="array" ref="AU113">SUMPRODUCT($X$162:$AQ$162,(X113:AQ113)/($X$11:$AQ$11))</f>
        <v>27078.805315795111</v>
      </c>
      <c r="AV113">
        <f t="shared" si="7"/>
        <v>-95.211027959423518</v>
      </c>
      <c r="AW113">
        <f t="shared" si="8"/>
        <v>95.211027959423518</v>
      </c>
      <c r="AX113">
        <f t="shared" si="9"/>
        <v>114.67705098791703</v>
      </c>
    </row>
    <row r="114" spans="1:50" x14ac:dyDescent="0.2">
      <c r="A114" s="3">
        <v>45924</v>
      </c>
      <c r="B114">
        <v>162.06934219999999</v>
      </c>
      <c r="C114">
        <v>58.345644800000002</v>
      </c>
      <c r="D114">
        <v>278.63283030000002</v>
      </c>
      <c r="E114">
        <v>83.309537800000001</v>
      </c>
      <c r="F114">
        <v>39.362862</v>
      </c>
      <c r="G114">
        <v>156.02859129999999</v>
      </c>
      <c r="H114">
        <v>71.117274699999996</v>
      </c>
      <c r="I114">
        <v>278.58170969999998</v>
      </c>
      <c r="J114">
        <v>14.3648886</v>
      </c>
      <c r="K114">
        <v>45.812577699999999</v>
      </c>
      <c r="L114">
        <v>86.385293899999994</v>
      </c>
      <c r="M114">
        <v>12.4904666</v>
      </c>
      <c r="N114">
        <v>89.997816299999997</v>
      </c>
      <c r="O114">
        <v>78.086716499999994</v>
      </c>
      <c r="P114">
        <v>25.875543700000001</v>
      </c>
      <c r="Q114">
        <v>32.095216700000002</v>
      </c>
      <c r="R114">
        <v>49.169497100000001</v>
      </c>
      <c r="S114">
        <v>21.4962123</v>
      </c>
      <c r="T114">
        <v>64.9487223</v>
      </c>
      <c r="U114">
        <v>22.0500188</v>
      </c>
      <c r="V114" s="6"/>
      <c r="W114" s="3">
        <v>45924</v>
      </c>
      <c r="X114">
        <v>24.887212099999999</v>
      </c>
      <c r="Y114">
        <v>805.37949270000001</v>
      </c>
      <c r="Z114">
        <v>142.53275289999999</v>
      </c>
      <c r="AA114">
        <v>72.702013300000004</v>
      </c>
      <c r="AB114">
        <v>131.72074599999999</v>
      </c>
      <c r="AC114">
        <v>961.05023979999999</v>
      </c>
      <c r="AD114">
        <v>170.11231660000001</v>
      </c>
      <c r="AE114">
        <v>109.2873227</v>
      </c>
      <c r="AF114">
        <v>398.81736089999998</v>
      </c>
      <c r="AG114">
        <v>185.24401420000001</v>
      </c>
      <c r="AH114">
        <v>672.90897789999997</v>
      </c>
      <c r="AI114">
        <v>148.59906409999999</v>
      </c>
      <c r="AJ114">
        <v>96.157848599999994</v>
      </c>
      <c r="AK114">
        <v>221.1477156</v>
      </c>
      <c r="AL114">
        <v>349.12813770000002</v>
      </c>
      <c r="AM114">
        <v>774.00848450000001</v>
      </c>
      <c r="AN114">
        <v>264.72802710000002</v>
      </c>
      <c r="AO114">
        <v>291.7963848</v>
      </c>
      <c r="AP114">
        <v>88.140434499999998</v>
      </c>
      <c r="AQ114">
        <v>72.454930399999995</v>
      </c>
      <c r="AR114" cm="1">
        <f t="array" ref="AR114">SUMPRODUCT($B$162:$U$162,(B114:U114)/($B$11:$U$11))</f>
        <v>29738.655497431348</v>
      </c>
      <c r="AS114">
        <f t="shared" si="5"/>
        <v>-216.30733156167844</v>
      </c>
      <c r="AT114">
        <f t="shared" si="6"/>
        <v>0.99277891504000404</v>
      </c>
      <c r="AU114" cm="1">
        <f t="array" ref="AU114">SUMPRODUCT($X$162:$AQ$162,(X114:AQ114)/($X$11:$AQ$11))</f>
        <v>26958.068325893542</v>
      </c>
      <c r="AV114">
        <f t="shared" si="7"/>
        <v>-120.73698990156845</v>
      </c>
      <c r="AW114">
        <f t="shared" si="8"/>
        <v>120.73698990156845</v>
      </c>
      <c r="AX114">
        <f t="shared" si="9"/>
        <v>-95.570341660109989</v>
      </c>
    </row>
    <row r="115" spans="1:50" x14ac:dyDescent="0.2">
      <c r="A115" s="3">
        <v>45925</v>
      </c>
      <c r="B115">
        <v>162.75270950000001</v>
      </c>
      <c r="C115">
        <v>58.448668599999998</v>
      </c>
      <c r="D115">
        <v>278.20983310000003</v>
      </c>
      <c r="E115">
        <v>83.669551999999996</v>
      </c>
      <c r="F115">
        <v>39.640164800000001</v>
      </c>
      <c r="G115">
        <v>156.54607469999999</v>
      </c>
      <c r="H115">
        <v>71.727780899999999</v>
      </c>
      <c r="I115">
        <v>277.39542660000001</v>
      </c>
      <c r="J115">
        <v>13.8620559</v>
      </c>
      <c r="K115">
        <v>45.289574100000003</v>
      </c>
      <c r="L115">
        <v>84.998320500000005</v>
      </c>
      <c r="M115">
        <v>12.378978800000001</v>
      </c>
      <c r="N115">
        <v>89.576142300000001</v>
      </c>
      <c r="O115">
        <v>76.905691700000006</v>
      </c>
      <c r="P115">
        <v>26.129589599999999</v>
      </c>
      <c r="Q115">
        <v>30.295921799999999</v>
      </c>
      <c r="R115">
        <v>48.641499799999998</v>
      </c>
      <c r="S115">
        <v>21.431750000000001</v>
      </c>
      <c r="T115">
        <v>64.6210126</v>
      </c>
      <c r="U115">
        <v>21.097414700000002</v>
      </c>
      <c r="V115" s="6"/>
      <c r="W115" s="3">
        <v>45925</v>
      </c>
      <c r="X115">
        <v>24.775103000000001</v>
      </c>
      <c r="Y115">
        <v>808.67136370000003</v>
      </c>
      <c r="Z115">
        <v>141.95533929999999</v>
      </c>
      <c r="AA115">
        <v>72.002107300000006</v>
      </c>
      <c r="AB115">
        <v>131.1880281</v>
      </c>
      <c r="AC115">
        <v>983.53729829999997</v>
      </c>
      <c r="AD115">
        <v>169.7137419</v>
      </c>
      <c r="AE115">
        <v>108.60753630000001</v>
      </c>
      <c r="AF115">
        <v>417.66194400000001</v>
      </c>
      <c r="AG115">
        <v>184.1844595</v>
      </c>
      <c r="AH115">
        <v>671.13953760000004</v>
      </c>
      <c r="AI115">
        <v>147.73333909999999</v>
      </c>
      <c r="AJ115">
        <v>97.0515367</v>
      </c>
      <c r="AK115">
        <v>221.0813603</v>
      </c>
      <c r="AL115">
        <v>349.29466150000002</v>
      </c>
      <c r="AM115">
        <v>764.16190529999994</v>
      </c>
      <c r="AN115">
        <v>261.53593160000003</v>
      </c>
      <c r="AO115">
        <v>291.49751809999998</v>
      </c>
      <c r="AP115">
        <v>88.478836700000002</v>
      </c>
      <c r="AQ115">
        <v>72.627914399999995</v>
      </c>
      <c r="AR115" cm="1">
        <f t="array" ref="AR115">SUMPRODUCT($B$162:$U$162,(B115:U115)/($B$11:$U$11))</f>
        <v>29587.454929241456</v>
      </c>
      <c r="AS115">
        <f t="shared" si="5"/>
        <v>-151.20056818989178</v>
      </c>
      <c r="AT115">
        <f t="shared" si="6"/>
        <v>0.99491568917085205</v>
      </c>
      <c r="AU115" cm="1">
        <f t="array" ref="AU115">SUMPRODUCT($X$162:$AQ$162,(X115:AQ115)/($X$11:$AQ$11))</f>
        <v>26960.200097485758</v>
      </c>
      <c r="AV115">
        <f t="shared" si="7"/>
        <v>2.131771592215955</v>
      </c>
      <c r="AW115">
        <f t="shared" si="8"/>
        <v>-2.131771592215955</v>
      </c>
      <c r="AX115">
        <f t="shared" si="9"/>
        <v>-153.33233978210774</v>
      </c>
    </row>
    <row r="116" spans="1:50" x14ac:dyDescent="0.2">
      <c r="A116" s="3">
        <v>45926</v>
      </c>
      <c r="B116">
        <v>165.07178450000001</v>
      </c>
      <c r="C116">
        <v>58.969470000000001</v>
      </c>
      <c r="D116">
        <v>279.37000069999999</v>
      </c>
      <c r="E116">
        <v>84.138323499999998</v>
      </c>
      <c r="F116">
        <v>39.1591466</v>
      </c>
      <c r="G116">
        <v>158.43985570000001</v>
      </c>
      <c r="H116">
        <v>72.857207500000001</v>
      </c>
      <c r="I116">
        <v>271.77233999999999</v>
      </c>
      <c r="J116">
        <v>14.033024599999999</v>
      </c>
      <c r="K116">
        <v>47.192668599999998</v>
      </c>
      <c r="L116">
        <v>83.676823299999995</v>
      </c>
      <c r="M116">
        <v>12.793811099999999</v>
      </c>
      <c r="N116">
        <v>89.419936899999996</v>
      </c>
      <c r="O116">
        <v>78.7370619</v>
      </c>
      <c r="P116">
        <v>26.168770599999998</v>
      </c>
      <c r="Q116">
        <v>30.553022500000001</v>
      </c>
      <c r="R116">
        <v>48.884836</v>
      </c>
      <c r="S116">
        <v>21.399935200000002</v>
      </c>
      <c r="T116">
        <v>64.994611500000005</v>
      </c>
      <c r="U116">
        <v>20.929888699999999</v>
      </c>
      <c r="V116" s="6"/>
      <c r="W116" s="3">
        <v>45926</v>
      </c>
      <c r="X116">
        <v>24.938103399999999</v>
      </c>
      <c r="Y116">
        <v>782.79834849999997</v>
      </c>
      <c r="Z116">
        <v>143.5692937</v>
      </c>
      <c r="AA116">
        <v>74.062235799999996</v>
      </c>
      <c r="AB116">
        <v>130.59601029999999</v>
      </c>
      <c r="AC116">
        <v>988.33686350000005</v>
      </c>
      <c r="AD116">
        <v>170.5499628</v>
      </c>
      <c r="AE116">
        <v>109.5721123</v>
      </c>
      <c r="AF116">
        <v>416.85432880000002</v>
      </c>
      <c r="AG116">
        <v>185.8905713</v>
      </c>
      <c r="AH116">
        <v>675.44827420000001</v>
      </c>
      <c r="AI116">
        <v>148.1415642</v>
      </c>
      <c r="AJ116">
        <v>97.590199699999999</v>
      </c>
      <c r="AK116">
        <v>223.09261520000001</v>
      </c>
      <c r="AL116">
        <v>350.47521669999998</v>
      </c>
      <c r="AM116">
        <v>758.52685650000001</v>
      </c>
      <c r="AN116">
        <v>261.39713180000001</v>
      </c>
      <c r="AO116">
        <v>293.63377539999999</v>
      </c>
      <c r="AP116">
        <v>88.428566099999998</v>
      </c>
      <c r="AQ116">
        <v>73.686198599999997</v>
      </c>
      <c r="AR116" cm="1">
        <f t="array" ref="AR116">SUMPRODUCT($B$162:$U$162,(B116:U116)/($B$11:$U$11))</f>
        <v>29772.8755570334</v>
      </c>
      <c r="AS116">
        <f t="shared" si="5"/>
        <v>185.42062779194384</v>
      </c>
      <c r="AT116">
        <f t="shared" si="6"/>
        <v>1.0062668664214405</v>
      </c>
      <c r="AU116" cm="1">
        <f t="array" ref="AU116">SUMPRODUCT($X$162:$AQ$162,(X116:AQ116)/($X$11:$AQ$11))</f>
        <v>27062.942452716168</v>
      </c>
      <c r="AV116">
        <f t="shared" si="7"/>
        <v>102.74235523040988</v>
      </c>
      <c r="AW116">
        <f t="shared" si="8"/>
        <v>-102.74235523040988</v>
      </c>
      <c r="AX116">
        <f t="shared" si="9"/>
        <v>82.678272561533959</v>
      </c>
    </row>
    <row r="117" spans="1:50" x14ac:dyDescent="0.2">
      <c r="A117" s="3">
        <v>45929</v>
      </c>
      <c r="B117">
        <v>163.6847296</v>
      </c>
      <c r="C117">
        <v>59.019295999999997</v>
      </c>
      <c r="D117">
        <v>278.65295359999999</v>
      </c>
      <c r="E117">
        <v>84.921261599999994</v>
      </c>
      <c r="F117">
        <v>39.539516800000001</v>
      </c>
      <c r="G117">
        <v>158.50774799999999</v>
      </c>
      <c r="H117">
        <v>72.102475200000001</v>
      </c>
      <c r="I117">
        <v>264.92158560000001</v>
      </c>
      <c r="J117">
        <v>13.936059200000001</v>
      </c>
      <c r="K117">
        <v>47.479829600000002</v>
      </c>
      <c r="L117">
        <v>84.128083200000006</v>
      </c>
      <c r="M117">
        <v>12.8443728</v>
      </c>
      <c r="N117">
        <v>89.620630399999996</v>
      </c>
      <c r="O117">
        <v>77.1941688</v>
      </c>
      <c r="P117">
        <v>25.074672</v>
      </c>
      <c r="Q117">
        <v>31.658905600000001</v>
      </c>
      <c r="R117">
        <v>49.1770608</v>
      </c>
      <c r="S117">
        <v>21.108779999999999</v>
      </c>
      <c r="T117">
        <v>65.015042399999999</v>
      </c>
      <c r="U117">
        <v>21.6034504</v>
      </c>
      <c r="V117" s="6"/>
      <c r="W117" s="3">
        <v>45929</v>
      </c>
      <c r="X117">
        <v>24.767635200000001</v>
      </c>
      <c r="Y117">
        <v>781.98008560000005</v>
      </c>
      <c r="Z117">
        <v>142.12392320000001</v>
      </c>
      <c r="AA117">
        <v>76.017194399999994</v>
      </c>
      <c r="AB117">
        <v>131.41175039999999</v>
      </c>
      <c r="AC117">
        <v>1002.6116128</v>
      </c>
      <c r="AD117">
        <v>170.77216240000001</v>
      </c>
      <c r="AE117">
        <v>109.6206664</v>
      </c>
      <c r="AF117">
        <v>410.75553680000002</v>
      </c>
      <c r="AG117">
        <v>186.07282960000001</v>
      </c>
      <c r="AH117">
        <v>666.7133536</v>
      </c>
      <c r="AI117">
        <v>147.78704640000001</v>
      </c>
      <c r="AJ117">
        <v>97.433011199999996</v>
      </c>
      <c r="AK117">
        <v>222.92577439999999</v>
      </c>
      <c r="AL117">
        <v>346.95158400000003</v>
      </c>
      <c r="AM117">
        <v>756.15487919999998</v>
      </c>
      <c r="AN117">
        <v>265.160392</v>
      </c>
      <c r="AO117">
        <v>293.84274640000001</v>
      </c>
      <c r="AP117">
        <v>88.290137599999994</v>
      </c>
      <c r="AQ117">
        <v>73.151517600000005</v>
      </c>
      <c r="AR117" cm="1">
        <f t="array" ref="AR117">SUMPRODUCT($B$162:$U$162,(B117:U117)/($B$11:$U$11))</f>
        <v>29695.220457256142</v>
      </c>
      <c r="AS117">
        <f t="shared" si="5"/>
        <v>-77.655099777257419</v>
      </c>
      <c r="AT117">
        <f t="shared" si="6"/>
        <v>0.99739175009721515</v>
      </c>
      <c r="AU117" cm="1">
        <f t="array" ref="AU117">SUMPRODUCT($X$162:$AQ$162,(X117:AQ117)/($X$11:$AQ$11))</f>
        <v>27080.95316278921</v>
      </c>
      <c r="AV117">
        <f t="shared" si="7"/>
        <v>18.010710073041992</v>
      </c>
      <c r="AW117">
        <f t="shared" si="8"/>
        <v>-18.010710073041992</v>
      </c>
      <c r="AX117">
        <f t="shared" si="9"/>
        <v>-95.665809850299411</v>
      </c>
    </row>
    <row r="118" spans="1:50" x14ac:dyDescent="0.2">
      <c r="A118" s="3">
        <v>45930</v>
      </c>
      <c r="B118">
        <v>167.24682899999999</v>
      </c>
      <c r="C118">
        <v>59.652476999999998</v>
      </c>
      <c r="D118">
        <v>275.78723400000001</v>
      </c>
      <c r="E118">
        <v>83.499831</v>
      </c>
      <c r="F118">
        <v>40.859262000000001</v>
      </c>
      <c r="G118">
        <v>159.95114100000001</v>
      </c>
      <c r="H118">
        <v>71.857412999999994</v>
      </c>
      <c r="I118">
        <v>263.13057900000001</v>
      </c>
      <c r="J118">
        <v>13.832829</v>
      </c>
      <c r="K118">
        <v>49.501584000000001</v>
      </c>
      <c r="L118">
        <v>82.246949999999998</v>
      </c>
      <c r="M118">
        <v>12.852684</v>
      </c>
      <c r="N118">
        <v>90.863703000000001</v>
      </c>
      <c r="O118">
        <v>76.451310000000007</v>
      </c>
      <c r="P118">
        <v>24.639993</v>
      </c>
      <c r="Q118">
        <v>33.427205999999998</v>
      </c>
      <c r="R118">
        <v>48.368025000000003</v>
      </c>
      <c r="S118">
        <v>20.992149000000001</v>
      </c>
      <c r="T118">
        <v>64.570248000000007</v>
      </c>
      <c r="U118">
        <v>22.014908999999999</v>
      </c>
      <c r="V118" s="6"/>
      <c r="W118" s="3">
        <v>45930</v>
      </c>
      <c r="X118">
        <v>24.997959000000002</v>
      </c>
      <c r="Y118">
        <v>788.91444899999999</v>
      </c>
      <c r="Z118">
        <v>142.18920900000001</v>
      </c>
      <c r="AA118">
        <v>75.104675999999998</v>
      </c>
      <c r="AB118">
        <v>132.25991400000001</v>
      </c>
      <c r="AC118">
        <v>993.67100100000005</v>
      </c>
      <c r="AD118">
        <v>171.76401899999999</v>
      </c>
      <c r="AE118">
        <v>108.037548</v>
      </c>
      <c r="AF118">
        <v>420.51629700000001</v>
      </c>
      <c r="AG118">
        <v>177.39772199999999</v>
      </c>
      <c r="AH118">
        <v>667.55545199999995</v>
      </c>
      <c r="AI118">
        <v>149.084316</v>
      </c>
      <c r="AJ118">
        <v>97.605395999999999</v>
      </c>
      <c r="AK118">
        <v>222.24574799999999</v>
      </c>
      <c r="AL118">
        <v>345.34343699999999</v>
      </c>
      <c r="AM118">
        <v>784.661472</v>
      </c>
      <c r="AN118">
        <v>264.27266100000003</v>
      </c>
      <c r="AO118">
        <v>297.90441900000002</v>
      </c>
      <c r="AP118">
        <v>87.480072000000007</v>
      </c>
      <c r="AQ118">
        <v>73.485305999999994</v>
      </c>
      <c r="AR118" cm="1">
        <f t="array" ref="AR118">SUMPRODUCT($B$162:$U$162,(B118:U118)/($B$11:$U$11))</f>
        <v>29796.002346239238</v>
      </c>
      <c r="AS118">
        <f t="shared" si="5"/>
        <v>100.781888983096</v>
      </c>
      <c r="AT118">
        <f t="shared" si="6"/>
        <v>1.0033938757628744</v>
      </c>
      <c r="AU118" cm="1">
        <f t="array" ref="AU118">SUMPRODUCT($X$162:$AQ$162,(X118:AQ118)/($X$11:$AQ$11))</f>
        <v>27130.080358294384</v>
      </c>
      <c r="AV118">
        <f t="shared" si="7"/>
        <v>49.127195505174313</v>
      </c>
      <c r="AW118">
        <f t="shared" si="8"/>
        <v>-49.127195505174313</v>
      </c>
      <c r="AX118">
        <f t="shared" si="9"/>
        <v>51.654693477921683</v>
      </c>
    </row>
    <row r="119" spans="1:50" x14ac:dyDescent="0.2">
      <c r="A119" s="3">
        <v>45931</v>
      </c>
      <c r="B119">
        <v>166.1271615</v>
      </c>
      <c r="C119">
        <v>59.954128799999999</v>
      </c>
      <c r="D119">
        <v>269.43549180000002</v>
      </c>
      <c r="E119">
        <v>82.368719900000002</v>
      </c>
      <c r="F119">
        <v>44.667190099999999</v>
      </c>
      <c r="G119">
        <v>158.3771184</v>
      </c>
      <c r="H119">
        <v>73.280110500000006</v>
      </c>
      <c r="I119">
        <v>260.87548820000001</v>
      </c>
      <c r="J119">
        <v>13.5135515</v>
      </c>
      <c r="K119">
        <v>52.869105900000001</v>
      </c>
      <c r="L119">
        <v>79.418758499999996</v>
      </c>
      <c r="M119">
        <v>13.351559399999999</v>
      </c>
      <c r="N119">
        <v>90.408643600000005</v>
      </c>
      <c r="O119">
        <v>73.689353699999998</v>
      </c>
      <c r="P119">
        <v>24.179452399999999</v>
      </c>
      <c r="Q119">
        <v>33.327743099999999</v>
      </c>
      <c r="R119">
        <v>47.838824899999999</v>
      </c>
      <c r="S119">
        <v>20.6241521</v>
      </c>
      <c r="T119">
        <v>64.660425599999996</v>
      </c>
      <c r="U119">
        <v>23.531483999999999</v>
      </c>
      <c r="V119" s="6"/>
      <c r="W119" s="3">
        <v>45931</v>
      </c>
      <c r="X119">
        <v>24.733635899999999</v>
      </c>
      <c r="Y119">
        <v>782.11491060000003</v>
      </c>
      <c r="Z119">
        <v>141.87097600000001</v>
      </c>
      <c r="AA119">
        <v>73.493257999999997</v>
      </c>
      <c r="AB119">
        <v>133.00404</v>
      </c>
      <c r="AC119">
        <v>972.8648713</v>
      </c>
      <c r="AD119">
        <v>171.61784109999999</v>
      </c>
      <c r="AE119">
        <v>105.72968590000001</v>
      </c>
      <c r="AF119">
        <v>416.72894020000001</v>
      </c>
      <c r="AG119">
        <v>169.86150570000001</v>
      </c>
      <c r="AH119">
        <v>659.86203049999995</v>
      </c>
      <c r="AI119">
        <v>147.58332899999999</v>
      </c>
      <c r="AJ119">
        <v>99.309683199999995</v>
      </c>
      <c r="AK119">
        <v>221.6051928</v>
      </c>
      <c r="AL119">
        <v>338.49528179999999</v>
      </c>
      <c r="AM119">
        <v>780.86160329999996</v>
      </c>
      <c r="AN119">
        <v>263.60377620000003</v>
      </c>
      <c r="AO119">
        <v>297.82673879999999</v>
      </c>
      <c r="AP119">
        <v>86.171271300000001</v>
      </c>
      <c r="AQ119">
        <v>74.260588999999996</v>
      </c>
      <c r="AR119" cm="1">
        <f t="array" ref="AR119">SUMPRODUCT($B$162:$U$162,(B119:U119)/($B$11:$U$11))</f>
        <v>29811.880201435786</v>
      </c>
      <c r="AS119">
        <f t="shared" si="5"/>
        <v>15.877855196547898</v>
      </c>
      <c r="AT119">
        <f t="shared" si="6"/>
        <v>1.0005328854190587</v>
      </c>
      <c r="AU119" cm="1">
        <f t="array" ref="AU119">SUMPRODUCT($X$162:$AQ$162,(X119:AQ119)/($X$11:$AQ$11))</f>
        <v>26897.3969890398</v>
      </c>
      <c r="AV119">
        <f t="shared" si="7"/>
        <v>-232.68336925458425</v>
      </c>
      <c r="AW119">
        <f t="shared" si="8"/>
        <v>232.68336925458425</v>
      </c>
      <c r="AX119">
        <f t="shared" si="9"/>
        <v>248.56122445113215</v>
      </c>
    </row>
    <row r="120" spans="1:50" x14ac:dyDescent="0.2">
      <c r="A120" s="3">
        <v>45932</v>
      </c>
      <c r="B120">
        <v>163.1211744</v>
      </c>
      <c r="C120">
        <v>59.407591199999999</v>
      </c>
      <c r="D120">
        <v>273.2715048</v>
      </c>
      <c r="E120">
        <v>82.474024799999995</v>
      </c>
      <c r="F120">
        <v>44.818199999999997</v>
      </c>
      <c r="G120">
        <v>157.93933680000001</v>
      </c>
      <c r="H120">
        <v>73.783562399999994</v>
      </c>
      <c r="I120">
        <v>266.52743279999999</v>
      </c>
      <c r="J120">
        <v>13.428386400000001</v>
      </c>
      <c r="K120">
        <v>53.0476752</v>
      </c>
      <c r="L120">
        <v>80.954474399999995</v>
      </c>
      <c r="M120">
        <v>13.3430184</v>
      </c>
      <c r="N120">
        <v>90.882772799999998</v>
      </c>
      <c r="O120">
        <v>76.694611199999997</v>
      </c>
      <c r="P120">
        <v>24.628668000000001</v>
      </c>
      <c r="Q120">
        <v>33.1825416</v>
      </c>
      <c r="R120">
        <v>48.728054399999998</v>
      </c>
      <c r="S120">
        <v>20.974917600000001</v>
      </c>
      <c r="T120">
        <v>66.595576800000003</v>
      </c>
      <c r="U120">
        <v>24.218901599999999</v>
      </c>
      <c r="V120" s="6"/>
      <c r="W120" s="3">
        <v>45932</v>
      </c>
      <c r="X120">
        <v>24.500616000000001</v>
      </c>
      <c r="Y120">
        <v>782.62821359999998</v>
      </c>
      <c r="Z120">
        <v>142.35113999999999</v>
      </c>
      <c r="AA120">
        <v>75.781173600000002</v>
      </c>
      <c r="AB120">
        <v>135.56438399999999</v>
      </c>
      <c r="AC120">
        <v>990.72978720000003</v>
      </c>
      <c r="AD120">
        <v>170.3689176</v>
      </c>
      <c r="AE120">
        <v>105.3611856</v>
      </c>
      <c r="AF120">
        <v>402.20706360000003</v>
      </c>
      <c r="AG120">
        <v>171.91407839999999</v>
      </c>
      <c r="AH120">
        <v>659.55316800000003</v>
      </c>
      <c r="AI120">
        <v>149.5305888</v>
      </c>
      <c r="AJ120">
        <v>99.129321599999997</v>
      </c>
      <c r="AK120">
        <v>222.5799864</v>
      </c>
      <c r="AL120">
        <v>337.2121368</v>
      </c>
      <c r="AM120">
        <v>794.35777680000001</v>
      </c>
      <c r="AN120">
        <v>266.39084400000002</v>
      </c>
      <c r="AO120">
        <v>297.66967920000002</v>
      </c>
      <c r="AP120">
        <v>86.827792799999997</v>
      </c>
      <c r="AQ120">
        <v>74.577484799999993</v>
      </c>
      <c r="AR120" cm="1">
        <f t="array" ref="AR120">SUMPRODUCT($B$162:$U$162,(B120:U120)/($B$11:$U$11))</f>
        <v>30016.922386107784</v>
      </c>
      <c r="AS120">
        <f t="shared" si="5"/>
        <v>205.04218467199826</v>
      </c>
      <c r="AT120">
        <f t="shared" si="6"/>
        <v>1.006877868262134</v>
      </c>
      <c r="AU120" cm="1">
        <f t="array" ref="AU120">SUMPRODUCT($X$162:$AQ$162,(X120:AQ120)/($X$11:$AQ$11))</f>
        <v>27043.41552297727</v>
      </c>
      <c r="AV120">
        <f t="shared" si="7"/>
        <v>146.01853393746933</v>
      </c>
      <c r="AW120">
        <f t="shared" si="8"/>
        <v>-146.01853393746933</v>
      </c>
      <c r="AX120">
        <f t="shared" si="9"/>
        <v>59.023650734528928</v>
      </c>
    </row>
    <row r="121" spans="1:50" x14ac:dyDescent="0.2">
      <c r="A121" s="3">
        <v>45933</v>
      </c>
      <c r="B121">
        <v>161.18800999999999</v>
      </c>
      <c r="C121">
        <v>59.415987199999996</v>
      </c>
      <c r="D121">
        <v>267.48266599999999</v>
      </c>
      <c r="E121">
        <v>82.276151999999996</v>
      </c>
      <c r="F121">
        <v>44.255371199999999</v>
      </c>
      <c r="G121">
        <v>157.76409559999999</v>
      </c>
      <c r="H121">
        <v>73.980399199999994</v>
      </c>
      <c r="I121">
        <v>263.27942780000001</v>
      </c>
      <c r="J121">
        <v>13.4656932</v>
      </c>
      <c r="K121">
        <v>53.573188000000002</v>
      </c>
      <c r="L121">
        <v>81.194467599999996</v>
      </c>
      <c r="M121">
        <v>13.542348</v>
      </c>
      <c r="N121">
        <v>91.253280799999999</v>
      </c>
      <c r="O121">
        <v>76.731454799999995</v>
      </c>
      <c r="P121">
        <v>24.3336404</v>
      </c>
      <c r="Q121">
        <v>33.787732400000003</v>
      </c>
      <c r="R121">
        <v>48.7694872</v>
      </c>
      <c r="S121">
        <v>20.713830399999999</v>
      </c>
      <c r="T121">
        <v>66.059403200000006</v>
      </c>
      <c r="U121">
        <v>24.2655028</v>
      </c>
      <c r="V121" s="6"/>
      <c r="W121" s="3">
        <v>45933</v>
      </c>
      <c r="X121">
        <v>24.3932608</v>
      </c>
      <c r="Y121">
        <v>779.64745359999995</v>
      </c>
      <c r="Z121">
        <v>141.90506920000001</v>
      </c>
      <c r="AA121">
        <v>74.968394399999994</v>
      </c>
      <c r="AB121">
        <v>135.13389520000001</v>
      </c>
      <c r="AC121">
        <v>988.58288679999998</v>
      </c>
      <c r="AD121">
        <v>171.31496079999999</v>
      </c>
      <c r="AE121">
        <v>106.1328292</v>
      </c>
      <c r="AF121">
        <v>399.60147239999998</v>
      </c>
      <c r="AG121">
        <v>171.92819919999999</v>
      </c>
      <c r="AH121">
        <v>663.26843280000003</v>
      </c>
      <c r="AI121">
        <v>147.64566199999999</v>
      </c>
      <c r="AJ121">
        <v>99.702343200000001</v>
      </c>
      <c r="AK121">
        <v>221.44720000000001</v>
      </c>
      <c r="AL121">
        <v>336.48050319999999</v>
      </c>
      <c r="AM121">
        <v>782.58588759999998</v>
      </c>
      <c r="AN121">
        <v>263.70102919999999</v>
      </c>
      <c r="AO121">
        <v>297.59096799999998</v>
      </c>
      <c r="AP121">
        <v>87.965641599999998</v>
      </c>
      <c r="AQ121">
        <v>74.934325599999994</v>
      </c>
      <c r="AR121" cm="1">
        <f t="array" ref="AR121">SUMPRODUCT($B$162:$U$162,(B121:U121)/($B$11:$U$11))</f>
        <v>29881.220721883161</v>
      </c>
      <c r="AS121">
        <f t="shared" si="5"/>
        <v>-135.70166422462353</v>
      </c>
      <c r="AT121">
        <f t="shared" si="6"/>
        <v>0.99547916130511005</v>
      </c>
      <c r="AU121" cm="1">
        <f t="array" ref="AU121">SUMPRODUCT($X$162:$AQ$162,(X121:AQ121)/($X$11:$AQ$11))</f>
        <v>26964.462526987474</v>
      </c>
      <c r="AV121">
        <f t="shared" si="7"/>
        <v>-78.952995989795454</v>
      </c>
      <c r="AW121">
        <f t="shared" si="8"/>
        <v>78.952995989795454</v>
      </c>
      <c r="AX121">
        <f t="shared" si="9"/>
        <v>-56.748668234828074</v>
      </c>
    </row>
    <row r="122" spans="1:50" x14ac:dyDescent="0.2">
      <c r="A122" s="3">
        <v>45936</v>
      </c>
      <c r="B122">
        <v>162.67753920000001</v>
      </c>
      <c r="C122">
        <v>59.142270000000003</v>
      </c>
      <c r="D122">
        <v>270.98689200000001</v>
      </c>
      <c r="E122">
        <v>85.489403999999993</v>
      </c>
      <c r="F122">
        <v>46.647664800000001</v>
      </c>
      <c r="G122">
        <v>153.01834679999999</v>
      </c>
      <c r="H122">
        <v>75.591080399999996</v>
      </c>
      <c r="I122">
        <v>266.1957276</v>
      </c>
      <c r="J122">
        <v>13.3998876</v>
      </c>
      <c r="K122">
        <v>54.146135999999998</v>
      </c>
      <c r="L122">
        <v>82.901662799999997</v>
      </c>
      <c r="M122">
        <v>13.698801599999999</v>
      </c>
      <c r="N122">
        <v>90.613643999999994</v>
      </c>
      <c r="O122">
        <v>78.622922399999993</v>
      </c>
      <c r="P122">
        <v>24.8440236</v>
      </c>
      <c r="Q122">
        <v>34.4348928</v>
      </c>
      <c r="R122">
        <v>49.756370400000002</v>
      </c>
      <c r="S122">
        <v>20.582363999999998</v>
      </c>
      <c r="T122">
        <v>66.990897599999997</v>
      </c>
      <c r="U122">
        <v>23.520261600000001</v>
      </c>
      <c r="V122" s="6"/>
      <c r="W122" s="3">
        <v>45936</v>
      </c>
      <c r="X122">
        <v>24.101008799999999</v>
      </c>
      <c r="Y122">
        <v>777.97919760000002</v>
      </c>
      <c r="Z122">
        <v>142.21474079999999</v>
      </c>
      <c r="AA122">
        <v>75.719186399999998</v>
      </c>
      <c r="AB122">
        <v>133.17045719999999</v>
      </c>
      <c r="AC122">
        <v>1007.1437508</v>
      </c>
      <c r="AD122">
        <v>171.9524136</v>
      </c>
      <c r="AE122">
        <v>106.2169548</v>
      </c>
      <c r="AF122">
        <v>408.41900879999997</v>
      </c>
      <c r="AG122">
        <v>170.99588879999999</v>
      </c>
      <c r="AH122">
        <v>674.55495359999998</v>
      </c>
      <c r="AI122">
        <v>148.03929360000001</v>
      </c>
      <c r="AJ122">
        <v>100.0337052</v>
      </c>
      <c r="AK122">
        <v>220.94868840000001</v>
      </c>
      <c r="AL122">
        <v>332.5033932</v>
      </c>
      <c r="AM122">
        <v>826.79612399999996</v>
      </c>
      <c r="AN122">
        <v>262.43795160000002</v>
      </c>
      <c r="AO122">
        <v>297.69272280000001</v>
      </c>
      <c r="AP122">
        <v>90.263487600000005</v>
      </c>
      <c r="AQ122">
        <v>74.813903999999994</v>
      </c>
      <c r="AR122" cm="1">
        <f t="array" ref="AR122">SUMPRODUCT($B$162:$U$162,(B122:U122)/($B$11:$U$11))</f>
        <v>30220.702333785404</v>
      </c>
      <c r="AS122">
        <f t="shared" si="5"/>
        <v>339.48161190224346</v>
      </c>
      <c r="AT122">
        <f t="shared" si="6"/>
        <v>1.011361035583584</v>
      </c>
      <c r="AU122" cm="1">
        <f t="array" ref="AU122">SUMPRODUCT($X$162:$AQ$162,(X122:AQ122)/($X$11:$AQ$11))</f>
        <v>27111.50040670604</v>
      </c>
      <c r="AV122">
        <f t="shared" si="7"/>
        <v>147.03787971856582</v>
      </c>
      <c r="AW122">
        <f t="shared" si="8"/>
        <v>-147.03787971856582</v>
      </c>
      <c r="AX122">
        <f t="shared" si="9"/>
        <v>192.44373218367764</v>
      </c>
    </row>
    <row r="123" spans="1:50" x14ac:dyDescent="0.2">
      <c r="A123" s="3">
        <v>45937</v>
      </c>
      <c r="B123">
        <v>164.27268000000001</v>
      </c>
      <c r="C123">
        <v>59.073300000000003</v>
      </c>
      <c r="D123">
        <v>270.05549999999999</v>
      </c>
      <c r="E123">
        <v>83.912400000000005</v>
      </c>
      <c r="F123">
        <v>47.250059999999998</v>
      </c>
      <c r="G123">
        <v>153.51336000000001</v>
      </c>
      <c r="H123">
        <v>74.603099999999998</v>
      </c>
      <c r="I123">
        <v>268.94009999999997</v>
      </c>
      <c r="J123">
        <v>13.91676</v>
      </c>
      <c r="K123">
        <v>54.319980000000001</v>
      </c>
      <c r="L123">
        <v>82.925700000000006</v>
      </c>
      <c r="M123">
        <v>13.8996</v>
      </c>
      <c r="N123">
        <v>89.952719999999999</v>
      </c>
      <c r="O123">
        <v>78.910259999999994</v>
      </c>
      <c r="P123">
        <v>24.633179999999999</v>
      </c>
      <c r="Q123">
        <v>34.912019999999998</v>
      </c>
      <c r="R123">
        <v>48.588540000000002</v>
      </c>
      <c r="S123">
        <v>20.5062</v>
      </c>
      <c r="T123">
        <v>65.722800000000007</v>
      </c>
      <c r="U123">
        <v>23.457719999999998</v>
      </c>
      <c r="V123" s="6"/>
      <c r="W123" s="3">
        <v>45937</v>
      </c>
      <c r="X123">
        <v>24.144120000000001</v>
      </c>
      <c r="Y123">
        <v>784.89840000000004</v>
      </c>
      <c r="Z123">
        <v>141.21822</v>
      </c>
      <c r="AA123">
        <v>79.519440000000003</v>
      </c>
      <c r="AB123">
        <v>133.27314000000001</v>
      </c>
      <c r="AC123">
        <v>1000.6253400000001</v>
      </c>
      <c r="AD123">
        <v>174.89472000000001</v>
      </c>
      <c r="AE123">
        <v>108.98316</v>
      </c>
      <c r="AF123">
        <v>409.97814</v>
      </c>
      <c r="AG123">
        <v>174.78317999999999</v>
      </c>
      <c r="AH123">
        <v>675.31464000000005</v>
      </c>
      <c r="AI123">
        <v>145.92006000000001</v>
      </c>
      <c r="AJ123">
        <v>99.502260000000007</v>
      </c>
      <c r="AK123">
        <v>219.43350000000001</v>
      </c>
      <c r="AL123">
        <v>331.88297999999998</v>
      </c>
      <c r="AM123">
        <v>811.23041999999998</v>
      </c>
      <c r="AN123">
        <v>258.33521999999999</v>
      </c>
      <c r="AO123">
        <v>295.34075999999999</v>
      </c>
      <c r="AP123">
        <v>90.759240000000005</v>
      </c>
      <c r="AQ123">
        <v>73.153080000000003</v>
      </c>
      <c r="AR123" cm="1">
        <f t="array" ref="AR123">SUMPRODUCT($B$162:$U$162,(B123:U123)/($B$11:$U$11))</f>
        <v>30207.316849581763</v>
      </c>
      <c r="AS123">
        <f t="shared" si="5"/>
        <v>-13.385484203641681</v>
      </c>
      <c r="AT123">
        <f t="shared" si="6"/>
        <v>0.99955707567429108</v>
      </c>
      <c r="AU123" cm="1">
        <f t="array" ref="AU123">SUMPRODUCT($X$162:$AQ$162,(X123:AQ123)/($X$11:$AQ$11))</f>
        <v>27199.498742288793</v>
      </c>
      <c r="AV123">
        <f t="shared" si="7"/>
        <v>87.998335582753498</v>
      </c>
      <c r="AW123">
        <f t="shared" si="8"/>
        <v>-87.998335582753498</v>
      </c>
      <c r="AX123">
        <f t="shared" si="9"/>
        <v>-101.38381978639518</v>
      </c>
    </row>
    <row r="124" spans="1:50" x14ac:dyDescent="0.2">
      <c r="A124" s="3">
        <v>45938</v>
      </c>
      <c r="B124">
        <v>164.845831</v>
      </c>
      <c r="C124">
        <v>58.489519999999999</v>
      </c>
      <c r="D124">
        <v>265.1897634</v>
      </c>
      <c r="E124">
        <v>85.394699200000005</v>
      </c>
      <c r="F124">
        <v>50.473015199999999</v>
      </c>
      <c r="G124">
        <v>153.30275219999999</v>
      </c>
      <c r="H124">
        <v>76.036376000000004</v>
      </c>
      <c r="I124">
        <v>271.36556860000002</v>
      </c>
      <c r="J124">
        <v>13.831051199999999</v>
      </c>
      <c r="K124">
        <v>55.066162800000001</v>
      </c>
      <c r="L124">
        <v>84.371132599999996</v>
      </c>
      <c r="M124">
        <v>14.3815408</v>
      </c>
      <c r="N124">
        <v>89.454560000000001</v>
      </c>
      <c r="O124">
        <v>78.006096600000006</v>
      </c>
      <c r="P124">
        <v>24.875248800000001</v>
      </c>
      <c r="Q124">
        <v>36.856999000000002</v>
      </c>
      <c r="R124">
        <v>49.131196799999998</v>
      </c>
      <c r="S124">
        <v>20.368115199999998</v>
      </c>
      <c r="T124">
        <v>65.989940799999999</v>
      </c>
      <c r="U124">
        <v>24.0151088</v>
      </c>
      <c r="V124" s="6"/>
      <c r="W124" s="3">
        <v>45938</v>
      </c>
      <c r="X124">
        <v>24.2387452</v>
      </c>
      <c r="Y124">
        <v>786.85607200000004</v>
      </c>
      <c r="Z124">
        <v>141.708065</v>
      </c>
      <c r="AA124">
        <v>82.367006399999994</v>
      </c>
      <c r="AB124">
        <v>134.18183999999999</v>
      </c>
      <c r="AC124">
        <v>1002.0631</v>
      </c>
      <c r="AD124">
        <v>176.113665</v>
      </c>
      <c r="AE124">
        <v>108.8851226</v>
      </c>
      <c r="AF124">
        <v>420.91811039999999</v>
      </c>
      <c r="AG124">
        <v>176.3975112</v>
      </c>
      <c r="AH124">
        <v>691.22570680000001</v>
      </c>
      <c r="AI124">
        <v>148.09890519999999</v>
      </c>
      <c r="AJ124">
        <v>99.767638599999998</v>
      </c>
      <c r="AK124">
        <v>217.400385</v>
      </c>
      <c r="AL124">
        <v>330.11313059999998</v>
      </c>
      <c r="AM124">
        <v>843.71132599999999</v>
      </c>
      <c r="AN124">
        <v>259.52144079999999</v>
      </c>
      <c r="AO124">
        <v>299.42333539999998</v>
      </c>
      <c r="AP124">
        <v>91.020014799999998</v>
      </c>
      <c r="AQ124">
        <v>72.647424400000006</v>
      </c>
      <c r="AR124" cm="1">
        <f t="array" ref="AR124">SUMPRODUCT($B$162:$U$162,(B124:U124)/($B$11:$U$11))</f>
        <v>30464.715870827116</v>
      </c>
      <c r="AS124">
        <f t="shared" si="5"/>
        <v>257.39902124535365</v>
      </c>
      <c r="AT124">
        <f t="shared" si="6"/>
        <v>1.0085210819129378</v>
      </c>
      <c r="AU124" cm="1">
        <f t="array" ref="AU124">SUMPRODUCT($X$162:$AQ$162,(X124:AQ124)/($X$11:$AQ$11))</f>
        <v>27483.11272273447</v>
      </c>
      <c r="AV124">
        <f t="shared" si="7"/>
        <v>283.61398044567613</v>
      </c>
      <c r="AW124">
        <f t="shared" si="8"/>
        <v>-283.61398044567613</v>
      </c>
      <c r="AX124">
        <f t="shared" si="9"/>
        <v>-26.214959200322483</v>
      </c>
    </row>
    <row r="125" spans="1:50" x14ac:dyDescent="0.2">
      <c r="A125" s="3">
        <v>45939</v>
      </c>
      <c r="B125">
        <v>163.3058489</v>
      </c>
      <c r="C125">
        <v>58.540342699999997</v>
      </c>
      <c r="D125">
        <v>265.49416170000001</v>
      </c>
      <c r="E125">
        <v>83.023679999999999</v>
      </c>
      <c r="F125">
        <v>50.142843399999997</v>
      </c>
      <c r="G125">
        <v>154.6661972</v>
      </c>
      <c r="H125">
        <v>73.692164300000002</v>
      </c>
      <c r="I125">
        <v>277.07423540000002</v>
      </c>
      <c r="J125">
        <v>14.5637372</v>
      </c>
      <c r="K125">
        <v>55.850721399999998</v>
      </c>
      <c r="L125">
        <v>87.641872199999995</v>
      </c>
      <c r="M125">
        <v>14.0448392</v>
      </c>
      <c r="N125">
        <v>88.965062099999997</v>
      </c>
      <c r="O125">
        <v>76.6325863</v>
      </c>
      <c r="P125">
        <v>24.6044135</v>
      </c>
      <c r="Q125">
        <v>37.455787299999997</v>
      </c>
      <c r="R125">
        <v>51.517923099999997</v>
      </c>
      <c r="S125">
        <v>20.141890700000001</v>
      </c>
      <c r="T125">
        <v>65.294664999999995</v>
      </c>
      <c r="U125">
        <v>23.808769900000001</v>
      </c>
      <c r="V125" s="6"/>
      <c r="W125" s="3">
        <v>45939</v>
      </c>
      <c r="X125">
        <v>24.215240000000001</v>
      </c>
      <c r="Y125">
        <v>815.43955870000002</v>
      </c>
      <c r="Z125">
        <v>140.361909</v>
      </c>
      <c r="AA125">
        <v>81.268075100000004</v>
      </c>
      <c r="AB125">
        <v>132.21521039999999</v>
      </c>
      <c r="AC125">
        <v>1009.6284869</v>
      </c>
      <c r="AD125">
        <v>178.15497999999999</v>
      </c>
      <c r="AE125">
        <v>108.2853643</v>
      </c>
      <c r="AF125">
        <v>418.93230030000001</v>
      </c>
      <c r="AG125">
        <v>175.20590970000001</v>
      </c>
      <c r="AH125">
        <v>699.06803390000005</v>
      </c>
      <c r="AI125">
        <v>147.97241299999999</v>
      </c>
      <c r="AJ125">
        <v>98.9797935</v>
      </c>
      <c r="AK125">
        <v>214.7286407</v>
      </c>
      <c r="AL125">
        <v>326.63764270000001</v>
      </c>
      <c r="AM125">
        <v>846.88477750000004</v>
      </c>
      <c r="AN125">
        <v>256.19723920000001</v>
      </c>
      <c r="AO125">
        <v>296.46372400000001</v>
      </c>
      <c r="AP125">
        <v>91.680628299999995</v>
      </c>
      <c r="AQ125">
        <v>71.5300893</v>
      </c>
      <c r="AR125" cm="1">
        <f t="array" ref="AR125">SUMPRODUCT($B$162:$U$162,(B125:U125)/($B$11:$U$11))</f>
        <v>30461.008454310791</v>
      </c>
      <c r="AS125">
        <f t="shared" si="5"/>
        <v>-3.7074165163248836</v>
      </c>
      <c r="AT125">
        <f t="shared" si="6"/>
        <v>0.9998783045759545</v>
      </c>
      <c r="AU125" cm="1">
        <f t="array" ref="AU125">SUMPRODUCT($X$162:$AQ$162,(X125:AQ125)/($X$11:$AQ$11))</f>
        <v>27435.359556231571</v>
      </c>
      <c r="AV125">
        <f t="shared" si="7"/>
        <v>-47.753166502898239</v>
      </c>
      <c r="AW125">
        <f t="shared" si="8"/>
        <v>47.753166502898239</v>
      </c>
      <c r="AX125">
        <f t="shared" si="9"/>
        <v>44.045749986573355</v>
      </c>
    </row>
    <row r="126" spans="1:50" x14ac:dyDescent="0.2">
      <c r="A126" s="3">
        <v>45940</v>
      </c>
      <c r="B126">
        <v>158.45178569999999</v>
      </c>
      <c r="C126">
        <v>58.297242900000001</v>
      </c>
      <c r="D126">
        <v>262.19557259999999</v>
      </c>
      <c r="E126">
        <v>80.392182000000005</v>
      </c>
      <c r="F126">
        <v>45.498187799999997</v>
      </c>
      <c r="G126">
        <v>150.88596899999999</v>
      </c>
      <c r="H126">
        <v>73.282552199999998</v>
      </c>
      <c r="I126">
        <v>270.7167996</v>
      </c>
      <c r="J126">
        <v>14.3311545</v>
      </c>
      <c r="K126">
        <v>54.871537500000002</v>
      </c>
      <c r="L126">
        <v>83.206769100000002</v>
      </c>
      <c r="M126">
        <v>13.651177799999999</v>
      </c>
      <c r="N126">
        <v>87.682565100000005</v>
      </c>
      <c r="O126">
        <v>75.176158200000003</v>
      </c>
      <c r="P126">
        <v>23.833613700000001</v>
      </c>
      <c r="Q126">
        <v>35.186642399999997</v>
      </c>
      <c r="R126">
        <v>49.474760400000001</v>
      </c>
      <c r="S126">
        <v>19.3233885</v>
      </c>
      <c r="T126">
        <v>63.039865200000001</v>
      </c>
      <c r="U126">
        <v>23.093385900000001</v>
      </c>
      <c r="V126" s="6"/>
      <c r="W126" s="3">
        <v>45940</v>
      </c>
      <c r="X126">
        <v>24.048796200000002</v>
      </c>
      <c r="Y126">
        <v>800.48750729999995</v>
      </c>
      <c r="Z126">
        <v>138.96485849999999</v>
      </c>
      <c r="AA126">
        <v>75.442984499999994</v>
      </c>
      <c r="AB126">
        <v>128.03358750000001</v>
      </c>
      <c r="AC126">
        <v>974.65622280000002</v>
      </c>
      <c r="AD126">
        <v>178.18832459999999</v>
      </c>
      <c r="AE126">
        <v>108.0646515</v>
      </c>
      <c r="AF126">
        <v>377.79161160000001</v>
      </c>
      <c r="AG126">
        <v>171.99106860000001</v>
      </c>
      <c r="AH126">
        <v>689.10043800000005</v>
      </c>
      <c r="AI126">
        <v>137.27782769999999</v>
      </c>
      <c r="AJ126">
        <v>95.738997900000001</v>
      </c>
      <c r="AK126">
        <v>210.81859890000001</v>
      </c>
      <c r="AL126">
        <v>323.41929750000003</v>
      </c>
      <c r="AM126">
        <v>778.47864119999997</v>
      </c>
      <c r="AN126">
        <v>249.53423430000001</v>
      </c>
      <c r="AO126">
        <v>287.26863750000001</v>
      </c>
      <c r="AP126">
        <v>87.303843900000004</v>
      </c>
      <c r="AQ126">
        <v>69.460910999999996</v>
      </c>
      <c r="AR126" cm="1">
        <f t="array" ref="AR126">SUMPRODUCT($B$162:$U$162,(B126:U126)/($B$11:$U$11))</f>
        <v>29575.66539152262</v>
      </c>
      <c r="AS126">
        <f t="shared" si="5"/>
        <v>-885.34306278817166</v>
      </c>
      <c r="AT126">
        <f t="shared" si="6"/>
        <v>0.97093520182970572</v>
      </c>
      <c r="AU126" cm="1">
        <f t="array" ref="AU126">SUMPRODUCT($X$162:$AQ$162,(X126:AQ126)/($X$11:$AQ$11))</f>
        <v>26474.622118520663</v>
      </c>
      <c r="AV126">
        <f t="shared" si="7"/>
        <v>-960.73743771090813</v>
      </c>
      <c r="AW126">
        <f t="shared" si="8"/>
        <v>960.73743771090813</v>
      </c>
      <c r="AX126">
        <f t="shared" si="9"/>
        <v>75.394374922736461</v>
      </c>
    </row>
    <row r="127" spans="1:50" x14ac:dyDescent="0.2">
      <c r="A127" s="3">
        <v>45943</v>
      </c>
      <c r="B127">
        <v>164.23685549999999</v>
      </c>
      <c r="C127">
        <v>58.307152500000001</v>
      </c>
      <c r="D127">
        <v>264.71187900000001</v>
      </c>
      <c r="E127">
        <v>81.327455999999998</v>
      </c>
      <c r="F127">
        <v>47.328637499999999</v>
      </c>
      <c r="G127">
        <v>152.575425</v>
      </c>
      <c r="H127">
        <v>77.281829999999999</v>
      </c>
      <c r="I127">
        <v>271.92139200000003</v>
      </c>
      <c r="J127">
        <v>14.021379</v>
      </c>
      <c r="K127">
        <v>55.160554500000003</v>
      </c>
      <c r="L127">
        <v>85.796662499999996</v>
      </c>
      <c r="M127">
        <v>13.8052665</v>
      </c>
      <c r="N127">
        <v>87.689807999999999</v>
      </c>
      <c r="O127">
        <v>76.253134500000002</v>
      </c>
      <c r="P127">
        <v>24.282400500000001</v>
      </c>
      <c r="Q127">
        <v>36.981171000000003</v>
      </c>
      <c r="R127">
        <v>50.760503999999997</v>
      </c>
      <c r="S127">
        <v>19.916927999999999</v>
      </c>
      <c r="T127">
        <v>63.796410000000002</v>
      </c>
      <c r="U127">
        <v>23.115393000000001</v>
      </c>
      <c r="V127" s="6"/>
      <c r="W127" s="3">
        <v>45943</v>
      </c>
      <c r="X127">
        <v>24.4207125</v>
      </c>
      <c r="Y127">
        <v>808.74484199999995</v>
      </c>
      <c r="Z127">
        <v>139.314762</v>
      </c>
      <c r="AA127">
        <v>80.169093000000004</v>
      </c>
      <c r="AB127">
        <v>130.61839499999999</v>
      </c>
      <c r="AC127">
        <v>998.54348400000003</v>
      </c>
      <c r="AD127">
        <v>177.52345199999999</v>
      </c>
      <c r="AE127">
        <v>110.148219</v>
      </c>
      <c r="AF127">
        <v>387.27359999999999</v>
      </c>
      <c r="AG127">
        <v>174.01378500000001</v>
      </c>
      <c r="AH127">
        <v>696.99739050000005</v>
      </c>
      <c r="AI127">
        <v>141.2079075</v>
      </c>
      <c r="AJ127">
        <v>97.440804</v>
      </c>
      <c r="AK127">
        <v>211.32344699999999</v>
      </c>
      <c r="AL127">
        <v>327.94639649999999</v>
      </c>
      <c r="AM127">
        <v>848.60463149999998</v>
      </c>
      <c r="AN127">
        <v>252.18599850000001</v>
      </c>
      <c r="AO127">
        <v>293.22143999999997</v>
      </c>
      <c r="AP127">
        <v>91.078451999999999</v>
      </c>
      <c r="AQ127">
        <v>70.625564999999995</v>
      </c>
      <c r="AR127" cm="1">
        <f t="array" ref="AR127">SUMPRODUCT($B$162:$U$162,(B127:U127)/($B$11:$U$11))</f>
        <v>30142.618477195923</v>
      </c>
      <c r="AS127">
        <f t="shared" si="5"/>
        <v>566.95308567330358</v>
      </c>
      <c r="AT127">
        <f t="shared" si="6"/>
        <v>1.01916958006415</v>
      </c>
      <c r="AU127" cm="1">
        <f t="array" ref="AU127">SUMPRODUCT($X$162:$AQ$162,(X127:AQ127)/($X$11:$AQ$11))</f>
        <v>27134.777735647567</v>
      </c>
      <c r="AV127">
        <f t="shared" si="7"/>
        <v>660.15561712690396</v>
      </c>
      <c r="AW127">
        <f t="shared" si="8"/>
        <v>-660.15561712690396</v>
      </c>
      <c r="AX127">
        <f t="shared" si="9"/>
        <v>-93.202531453600386</v>
      </c>
    </row>
    <row r="128" spans="1:50" x14ac:dyDescent="0.2">
      <c r="A128" s="3">
        <v>45944</v>
      </c>
      <c r="B128">
        <v>166.33395100000001</v>
      </c>
      <c r="C128">
        <v>58.561132000000001</v>
      </c>
      <c r="D128">
        <v>270.45316200000002</v>
      </c>
      <c r="E128">
        <v>81.215225000000004</v>
      </c>
      <c r="F128">
        <v>45.764887000000002</v>
      </c>
      <c r="G128">
        <v>151.512711</v>
      </c>
      <c r="H128">
        <v>78.018317999999994</v>
      </c>
      <c r="I128">
        <v>274.27911</v>
      </c>
      <c r="J128">
        <v>13.916454999999999</v>
      </c>
      <c r="K128">
        <v>55.286672000000003</v>
      </c>
      <c r="L128">
        <v>88.884354999999999</v>
      </c>
      <c r="M128">
        <v>14.131880000000001</v>
      </c>
      <c r="N128">
        <v>87.884782999999999</v>
      </c>
      <c r="O128">
        <v>74.735241000000002</v>
      </c>
      <c r="P128">
        <v>24.954832</v>
      </c>
      <c r="Q128">
        <v>36.165548999999999</v>
      </c>
      <c r="R128">
        <v>52.796359000000002</v>
      </c>
      <c r="S128">
        <v>20.465375000000002</v>
      </c>
      <c r="T128">
        <v>63.843353</v>
      </c>
      <c r="U128">
        <v>22.619624999999999</v>
      </c>
      <c r="V128" s="6"/>
      <c r="W128" s="3">
        <v>45944</v>
      </c>
      <c r="X128">
        <v>24.567067000000002</v>
      </c>
      <c r="Y128">
        <v>815.60766699999999</v>
      </c>
      <c r="Z128">
        <v>140.069335</v>
      </c>
      <c r="AA128">
        <v>81.861500000000007</v>
      </c>
      <c r="AB128">
        <v>131.435101</v>
      </c>
      <c r="AC128">
        <v>1029.093842</v>
      </c>
      <c r="AD128">
        <v>178.38913400000001</v>
      </c>
      <c r="AE128">
        <v>110.806003</v>
      </c>
      <c r="AF128">
        <v>382.387992</v>
      </c>
      <c r="AG128">
        <v>172.79670100000001</v>
      </c>
      <c r="AH128">
        <v>704.370814</v>
      </c>
      <c r="AI128">
        <v>142.04262800000001</v>
      </c>
      <c r="AJ128">
        <v>99.483265000000003</v>
      </c>
      <c r="AK128">
        <v>213.77915300000001</v>
      </c>
      <c r="AL128">
        <v>334.09832399999999</v>
      </c>
      <c r="AM128">
        <v>834.34102499999995</v>
      </c>
      <c r="AN128">
        <v>254.597882</v>
      </c>
      <c r="AO128">
        <v>296.43341700000002</v>
      </c>
      <c r="AP128">
        <v>91.452220999999994</v>
      </c>
      <c r="AQ128">
        <v>71.288441000000006</v>
      </c>
      <c r="AR128" cm="1">
        <f t="array" ref="AR128">SUMPRODUCT($B$162:$U$162,(B128:U128)/($B$11:$U$11))</f>
        <v>30374.937788872376</v>
      </c>
      <c r="AS128">
        <f t="shared" si="5"/>
        <v>232.31931167645234</v>
      </c>
      <c r="AT128">
        <f t="shared" si="6"/>
        <v>1.0077073367681115</v>
      </c>
      <c r="AU128" cm="1">
        <f t="array" ref="AU128">SUMPRODUCT($X$162:$AQ$162,(X128:AQ128)/($X$11:$AQ$11))</f>
        <v>27361.666925549238</v>
      </c>
      <c r="AV128">
        <f t="shared" si="7"/>
        <v>226.88918990167076</v>
      </c>
      <c r="AW128">
        <f t="shared" si="8"/>
        <v>-226.88918990167076</v>
      </c>
      <c r="AX128">
        <f t="shared" si="9"/>
        <v>5.4301217747815826</v>
      </c>
    </row>
    <row r="129" spans="1:50" x14ac:dyDescent="0.2">
      <c r="A129" s="3">
        <v>45945</v>
      </c>
      <c r="B129">
        <v>165.09455819999999</v>
      </c>
      <c r="C129">
        <v>59.153087399999997</v>
      </c>
      <c r="D129">
        <v>267.18064559999999</v>
      </c>
      <c r="E129">
        <v>81.160543200000006</v>
      </c>
      <c r="F129">
        <v>46.316120400000003</v>
      </c>
      <c r="G129">
        <v>153.1505976</v>
      </c>
      <c r="H129">
        <v>80.353402799999998</v>
      </c>
      <c r="I129">
        <v>268.28831700000001</v>
      </c>
      <c r="J129">
        <v>13.961811600000001</v>
      </c>
      <c r="K129">
        <v>54.937066799999997</v>
      </c>
      <c r="L129">
        <v>89.343573000000006</v>
      </c>
      <c r="M129">
        <v>14.3224488</v>
      </c>
      <c r="N129">
        <v>87.471694200000002</v>
      </c>
      <c r="O129">
        <v>73.363910399999995</v>
      </c>
      <c r="P129">
        <v>24.7637544</v>
      </c>
      <c r="Q129">
        <v>35.814708600000003</v>
      </c>
      <c r="R129">
        <v>52.979322000000003</v>
      </c>
      <c r="S129">
        <v>20.2472028</v>
      </c>
      <c r="T129">
        <v>63.257482199999998</v>
      </c>
      <c r="U129">
        <v>23.802055200000002</v>
      </c>
      <c r="V129" s="6"/>
      <c r="W129" s="3">
        <v>45945</v>
      </c>
      <c r="X129">
        <v>24.403117200000001</v>
      </c>
      <c r="Y129">
        <v>820.01171339999996</v>
      </c>
      <c r="Z129">
        <v>139.66963559999999</v>
      </c>
      <c r="AA129">
        <v>81.804538199999996</v>
      </c>
      <c r="AB129">
        <v>131.77855020000001</v>
      </c>
      <c r="AC129">
        <v>1032.6159293999999</v>
      </c>
      <c r="AD129">
        <v>175.03784099999999</v>
      </c>
      <c r="AE129">
        <v>109.49632320000001</v>
      </c>
      <c r="AF129">
        <v>374.289894</v>
      </c>
      <c r="AG129">
        <v>171.30267000000001</v>
      </c>
      <c r="AH129">
        <v>706.02459839999995</v>
      </c>
      <c r="AI129">
        <v>141.54151440000001</v>
      </c>
      <c r="AJ129">
        <v>105.4091016</v>
      </c>
      <c r="AK129">
        <v>212.68149539999999</v>
      </c>
      <c r="AL129">
        <v>333.41767800000002</v>
      </c>
      <c r="AM129">
        <v>865.46917380000002</v>
      </c>
      <c r="AN129">
        <v>249.3892104</v>
      </c>
      <c r="AO129">
        <v>302.32559939999999</v>
      </c>
      <c r="AP129">
        <v>90.768948600000002</v>
      </c>
      <c r="AQ129">
        <v>71.8183224</v>
      </c>
      <c r="AR129" cm="1">
        <f t="array" ref="AR129">SUMPRODUCT($B$162:$U$162,(B129:U129)/($B$11:$U$11))</f>
        <v>30383.316818872176</v>
      </c>
      <c r="AS129">
        <f t="shared" si="5"/>
        <v>8.3790299997999682</v>
      </c>
      <c r="AT129">
        <f t="shared" si="6"/>
        <v>1.0002758534044758</v>
      </c>
      <c r="AU129" cm="1">
        <f t="array" ref="AU129">SUMPRODUCT($X$162:$AQ$162,(X129:AQ129)/($X$11:$AQ$11))</f>
        <v>27430.594061813339</v>
      </c>
      <c r="AV129">
        <f t="shared" si="7"/>
        <v>68.927136264101136</v>
      </c>
      <c r="AW129">
        <f t="shared" si="8"/>
        <v>-68.927136264101136</v>
      </c>
      <c r="AX129">
        <f t="shared" si="9"/>
        <v>-60.548106264301168</v>
      </c>
    </row>
    <row r="130" spans="1:50" x14ac:dyDescent="0.2">
      <c r="A130" s="3">
        <v>45946</v>
      </c>
      <c r="B130">
        <v>164.01099199999999</v>
      </c>
      <c r="C130">
        <v>59.510457500000001</v>
      </c>
      <c r="D130">
        <v>255.42008150000001</v>
      </c>
      <c r="E130">
        <v>79.164738</v>
      </c>
      <c r="F130">
        <v>46.068196</v>
      </c>
      <c r="G130">
        <v>151.22758099999999</v>
      </c>
      <c r="H130">
        <v>84.084725500000005</v>
      </c>
      <c r="I130">
        <v>270.63353849999999</v>
      </c>
      <c r="J130">
        <v>12.073221500000001</v>
      </c>
      <c r="K130">
        <v>55.583024000000002</v>
      </c>
      <c r="L130">
        <v>84.016273499999997</v>
      </c>
      <c r="M130">
        <v>14.118225000000001</v>
      </c>
      <c r="N130">
        <v>87.199291500000001</v>
      </c>
      <c r="O130">
        <v>71.036062999999999</v>
      </c>
      <c r="P130">
        <v>24.1378865</v>
      </c>
      <c r="Q130">
        <v>35.680605</v>
      </c>
      <c r="R130">
        <v>51.681260000000002</v>
      </c>
      <c r="S130">
        <v>19.551602500000001</v>
      </c>
      <c r="T130">
        <v>62.428224</v>
      </c>
      <c r="U130">
        <v>23.222341</v>
      </c>
      <c r="V130" s="6"/>
      <c r="W130" s="3">
        <v>45946</v>
      </c>
      <c r="X130">
        <v>24.343242499999999</v>
      </c>
      <c r="Y130">
        <v>792.006753</v>
      </c>
      <c r="Z130">
        <v>142.1491345</v>
      </c>
      <c r="AA130">
        <v>82.826920000000001</v>
      </c>
      <c r="AB130">
        <v>129.5539665</v>
      </c>
      <c r="AC130">
        <v>1002.274184</v>
      </c>
      <c r="AD130">
        <v>159.561612</v>
      </c>
      <c r="AE130">
        <v>108.2311685</v>
      </c>
      <c r="AF130">
        <v>376.65713</v>
      </c>
      <c r="AG130">
        <v>171.54926850000001</v>
      </c>
      <c r="AH130">
        <v>695.44665050000003</v>
      </c>
      <c r="AI130">
        <v>138.9661165</v>
      </c>
      <c r="AJ130">
        <v>103.67911049999999</v>
      </c>
      <c r="AK130">
        <v>211.29421099999999</v>
      </c>
      <c r="AL130">
        <v>331.47025350000001</v>
      </c>
      <c r="AM130">
        <v>878.60708950000003</v>
      </c>
      <c r="AN130">
        <v>248.28396050000001</v>
      </c>
      <c r="AO130">
        <v>297.78331300000002</v>
      </c>
      <c r="AP130">
        <v>88.260297499999993</v>
      </c>
      <c r="AQ130">
        <v>71.438218500000005</v>
      </c>
      <c r="AR130" cm="1">
        <f t="array" ref="AR130">SUMPRODUCT($B$162:$U$162,(B130:U130)/($B$11:$U$11))</f>
        <v>29873.606933242747</v>
      </c>
      <c r="AS130">
        <f t="shared" si="5"/>
        <v>-509.70988562942875</v>
      </c>
      <c r="AT130">
        <f t="shared" si="6"/>
        <v>0.98322402097611572</v>
      </c>
      <c r="AU130" cm="1">
        <f t="array" ref="AU130">SUMPRODUCT($X$162:$AQ$162,(X130:AQ130)/($X$11:$AQ$11))</f>
        <v>27166.059071869655</v>
      </c>
      <c r="AV130">
        <f t="shared" si="7"/>
        <v>-264.5349899436842</v>
      </c>
      <c r="AW130">
        <f t="shared" si="8"/>
        <v>264.5349899436842</v>
      </c>
      <c r="AX130">
        <f t="shared" si="9"/>
        <v>-245.17489568574456</v>
      </c>
    </row>
    <row r="131" spans="1:50" x14ac:dyDescent="0.2">
      <c r="A131" s="3">
        <v>45947</v>
      </c>
      <c r="B131">
        <v>162.80234400000001</v>
      </c>
      <c r="C131">
        <v>60.613146</v>
      </c>
      <c r="D131">
        <v>257.75607300000001</v>
      </c>
      <c r="E131">
        <v>79.221090000000004</v>
      </c>
      <c r="F131">
        <v>44.786093999999999</v>
      </c>
      <c r="G131">
        <v>152.854647</v>
      </c>
      <c r="H131">
        <v>77.907891000000006</v>
      </c>
      <c r="I131">
        <v>273.44579700000003</v>
      </c>
      <c r="J131">
        <v>13.123407</v>
      </c>
      <c r="K131">
        <v>55.798082999999998</v>
      </c>
      <c r="L131">
        <v>85.091862000000006</v>
      </c>
      <c r="M131">
        <v>14.093286000000001</v>
      </c>
      <c r="N131">
        <v>88.198908000000003</v>
      </c>
      <c r="O131">
        <v>71.676632999999995</v>
      </c>
      <c r="P131">
        <v>24.298473000000001</v>
      </c>
      <c r="Q131">
        <v>35.344794</v>
      </c>
      <c r="R131">
        <v>51.189011999999998</v>
      </c>
      <c r="S131">
        <v>19.689402000000001</v>
      </c>
      <c r="T131">
        <v>62.535738000000002</v>
      </c>
      <c r="U131">
        <v>22.324383000000001</v>
      </c>
      <c r="V131" s="6"/>
      <c r="W131" s="3">
        <v>45947</v>
      </c>
      <c r="X131">
        <v>24.478715999999999</v>
      </c>
      <c r="Y131">
        <v>803.65203899999995</v>
      </c>
      <c r="Z131">
        <v>142.90694999999999</v>
      </c>
      <c r="AA131">
        <v>86.499474000000006</v>
      </c>
      <c r="AB131">
        <v>131.01091199999999</v>
      </c>
      <c r="AC131">
        <v>996.62362800000005</v>
      </c>
      <c r="AD131">
        <v>162.72509700000001</v>
      </c>
      <c r="AE131">
        <v>108.626448</v>
      </c>
      <c r="AF131">
        <v>384.20941199999999</v>
      </c>
      <c r="AG131">
        <v>172.252227</v>
      </c>
      <c r="AH131">
        <v>698.59611900000004</v>
      </c>
      <c r="AI131">
        <v>139.20767699999999</v>
      </c>
      <c r="AJ131">
        <v>106.49786400000001</v>
      </c>
      <c r="AK131">
        <v>213.93985799999999</v>
      </c>
      <c r="AL131">
        <v>336.36777000000001</v>
      </c>
      <c r="AM131">
        <v>862.29109500000004</v>
      </c>
      <c r="AN131">
        <v>249.087243</v>
      </c>
      <c r="AO131">
        <v>298.39657799999998</v>
      </c>
      <c r="AP131">
        <v>89.005709999999993</v>
      </c>
      <c r="AQ131">
        <v>71.032908000000006</v>
      </c>
      <c r="AR131" cm="1">
        <f t="array" ref="AR131">SUMPRODUCT($B$162:$U$162,(B131:U131)/($B$11:$U$11))</f>
        <v>29827.426982005702</v>
      </c>
      <c r="AS131">
        <f t="shared" si="5"/>
        <v>-46.179951237045316</v>
      </c>
      <c r="AT131">
        <f t="shared" si="6"/>
        <v>0.99845415549115846</v>
      </c>
      <c r="AU131" cm="1">
        <f t="array" ref="AU131">SUMPRODUCT($X$162:$AQ$162,(X131:AQ131)/($X$11:$AQ$11))</f>
        <v>27446.214315540172</v>
      </c>
      <c r="AV131">
        <f t="shared" si="7"/>
        <v>280.15524367051694</v>
      </c>
      <c r="AW131">
        <f t="shared" si="8"/>
        <v>-280.15524367051694</v>
      </c>
      <c r="AX131">
        <f t="shared" si="9"/>
        <v>-326.33519490756225</v>
      </c>
    </row>
    <row r="132" spans="1:50" x14ac:dyDescent="0.2">
      <c r="A132" s="3">
        <v>45950</v>
      </c>
      <c r="B132">
        <v>165.39585719999999</v>
      </c>
      <c r="C132">
        <v>61.426364999999997</v>
      </c>
      <c r="D132">
        <v>260.17287240000002</v>
      </c>
      <c r="E132">
        <v>80.498607000000007</v>
      </c>
      <c r="F132">
        <v>47.285414400000001</v>
      </c>
      <c r="G132">
        <v>153.3253617</v>
      </c>
      <c r="H132">
        <v>81.520947899999996</v>
      </c>
      <c r="I132">
        <v>280.80010349999998</v>
      </c>
      <c r="J132">
        <v>12.8522856</v>
      </c>
      <c r="K132">
        <v>56.417753699999999</v>
      </c>
      <c r="L132">
        <v>87.0192519</v>
      </c>
      <c r="M132">
        <v>14.329954799999999</v>
      </c>
      <c r="N132">
        <v>89.330257799999998</v>
      </c>
      <c r="O132">
        <v>72.105102299999999</v>
      </c>
      <c r="P132">
        <v>24.793914600000001</v>
      </c>
      <c r="Q132">
        <v>36.245850900000001</v>
      </c>
      <c r="R132">
        <v>53.050042500000004</v>
      </c>
      <c r="S132">
        <v>19.974307499999998</v>
      </c>
      <c r="T132">
        <v>63.788917499999997</v>
      </c>
      <c r="U132">
        <v>23.402156399999999</v>
      </c>
      <c r="V132" s="6"/>
      <c r="W132" s="3">
        <v>45950</v>
      </c>
      <c r="X132">
        <v>24.570546</v>
      </c>
      <c r="Y132">
        <v>804.22146210000005</v>
      </c>
      <c r="Z132">
        <v>145.12086120000001</v>
      </c>
      <c r="AA132">
        <v>88.075957200000005</v>
      </c>
      <c r="AB132">
        <v>132.97304579999999</v>
      </c>
      <c r="AC132">
        <v>996.56759999999997</v>
      </c>
      <c r="AD132">
        <v>163.1535801</v>
      </c>
      <c r="AE132">
        <v>108.7547349</v>
      </c>
      <c r="AF132">
        <v>389.47751849999997</v>
      </c>
      <c r="AG132">
        <v>172.75842990000001</v>
      </c>
      <c r="AH132">
        <v>708.88602539999999</v>
      </c>
      <c r="AI132">
        <v>141.53837250000001</v>
      </c>
      <c r="AJ132">
        <v>109.2616098</v>
      </c>
      <c r="AK132">
        <v>216.82218180000001</v>
      </c>
      <c r="AL132">
        <v>334.09928789999998</v>
      </c>
      <c r="AM132">
        <v>886.24928490000002</v>
      </c>
      <c r="AN132">
        <v>252.63847770000001</v>
      </c>
      <c r="AO132">
        <v>303.08541689999998</v>
      </c>
      <c r="AP132">
        <v>89.553626399999999</v>
      </c>
      <c r="AQ132">
        <v>71.649773999999994</v>
      </c>
      <c r="AR132" cm="1">
        <f t="array" ref="AR132">SUMPRODUCT($B$162:$U$162,(B132:U132)/($B$11:$U$11))</f>
        <v>30429.010468068198</v>
      </c>
      <c r="AS132">
        <f t="shared" si="5"/>
        <v>601.58348606249638</v>
      </c>
      <c r="AT132">
        <f t="shared" si="6"/>
        <v>1.020168802573062</v>
      </c>
      <c r="AU132" cm="1">
        <f t="array" ref="AU132">SUMPRODUCT($X$162:$AQ$162,(X132:AQ132)/($X$11:$AQ$11))</f>
        <v>27751.343730953948</v>
      </c>
      <c r="AV132">
        <f t="shared" si="7"/>
        <v>305.12941541377586</v>
      </c>
      <c r="AW132">
        <f t="shared" si="8"/>
        <v>-305.12941541377586</v>
      </c>
      <c r="AX132">
        <f t="shared" si="9"/>
        <v>296.45407064872052</v>
      </c>
    </row>
    <row r="133" spans="1:50" x14ac:dyDescent="0.2">
      <c r="A133" s="3">
        <v>45951</v>
      </c>
      <c r="B133">
        <v>170.0125396</v>
      </c>
      <c r="C133">
        <v>60.5623328</v>
      </c>
      <c r="D133">
        <v>273.13405160000002</v>
      </c>
      <c r="E133">
        <v>80.212326599999997</v>
      </c>
      <c r="F133">
        <v>47.266900399999997</v>
      </c>
      <c r="G133">
        <v>154.0959584</v>
      </c>
      <c r="H133">
        <v>74.4268304</v>
      </c>
      <c r="I133">
        <v>283.64451339999999</v>
      </c>
      <c r="J133">
        <v>12.8729446</v>
      </c>
      <c r="K133">
        <v>55.742522999999998</v>
      </c>
      <c r="L133">
        <v>86.316844200000006</v>
      </c>
      <c r="M133">
        <v>14.442185</v>
      </c>
      <c r="N133">
        <v>89.489813799999993</v>
      </c>
      <c r="O133">
        <v>71.814303800000005</v>
      </c>
      <c r="P133">
        <v>25.840733400000001</v>
      </c>
      <c r="Q133">
        <v>35.618308200000001</v>
      </c>
      <c r="R133">
        <v>53.733550399999999</v>
      </c>
      <c r="S133">
        <v>20.624302400000001</v>
      </c>
      <c r="T133">
        <v>65.6408086</v>
      </c>
      <c r="U133">
        <v>23.702427799999999</v>
      </c>
      <c r="V133" s="6"/>
      <c r="W133" s="3">
        <v>45951</v>
      </c>
      <c r="X133">
        <v>24.737091800000002</v>
      </c>
      <c r="Y133">
        <v>808.33124999999995</v>
      </c>
      <c r="Z133">
        <v>149.1985488</v>
      </c>
      <c r="AA133">
        <v>84.963158800000002</v>
      </c>
      <c r="AB133">
        <v>143.68034080000001</v>
      </c>
      <c r="AC133">
        <v>974.30859999999996</v>
      </c>
      <c r="AD133">
        <v>162.91646900000001</v>
      </c>
      <c r="AE133">
        <v>109.9675388</v>
      </c>
      <c r="AF133">
        <v>395.79346880000003</v>
      </c>
      <c r="AG133">
        <v>178.3588292</v>
      </c>
      <c r="AH133">
        <v>708.74483999999995</v>
      </c>
      <c r="AI133">
        <v>144.28389480000001</v>
      </c>
      <c r="AJ133">
        <v>108.63109780000001</v>
      </c>
      <c r="AK133">
        <v>221.71125079999999</v>
      </c>
      <c r="AL133">
        <v>337.04179799999997</v>
      </c>
      <c r="AM133">
        <v>886.93984739999996</v>
      </c>
      <c r="AN133">
        <v>260.93363859999999</v>
      </c>
      <c r="AO133">
        <v>305.36383519999998</v>
      </c>
      <c r="AP133">
        <v>89.886435000000006</v>
      </c>
      <c r="AQ133">
        <v>73.797409799999997</v>
      </c>
      <c r="AR133" cm="1">
        <f t="array" ref="AR133">SUMPRODUCT($B$162:$U$162,(B133:U133)/($B$11:$U$11))</f>
        <v>30642.624158355193</v>
      </c>
      <c r="AS133">
        <f t="shared" si="5"/>
        <v>213.61369028699482</v>
      </c>
      <c r="AT133">
        <f t="shared" si="6"/>
        <v>1.0070200669361613</v>
      </c>
      <c r="AU133" cm="1">
        <f t="array" ref="AU133">SUMPRODUCT($X$162:$AQ$162,(X133:AQ133)/($X$11:$AQ$11))</f>
        <v>27975.312085556361</v>
      </c>
      <c r="AV133">
        <f t="shared" si="7"/>
        <v>223.96835460241346</v>
      </c>
      <c r="AW133">
        <f t="shared" si="8"/>
        <v>-223.96835460241346</v>
      </c>
      <c r="AX133">
        <f t="shared" si="9"/>
        <v>-10.354664315418631</v>
      </c>
    </row>
    <row r="134" spans="1:50" x14ac:dyDescent="0.2">
      <c r="A134" s="3">
        <v>45952</v>
      </c>
      <c r="B134">
        <v>164.71213589999999</v>
      </c>
      <c r="C134">
        <v>60.689311799999999</v>
      </c>
      <c r="D134">
        <v>273.88571339999999</v>
      </c>
      <c r="E134">
        <v>79.423239300000006</v>
      </c>
      <c r="F134">
        <v>45.219825</v>
      </c>
      <c r="G134">
        <v>155.02217340000001</v>
      </c>
      <c r="H134">
        <v>74.944323299999994</v>
      </c>
      <c r="I134">
        <v>283.56706259999999</v>
      </c>
      <c r="J134">
        <v>13.0836027</v>
      </c>
      <c r="K134">
        <v>55.771117500000003</v>
      </c>
      <c r="L134">
        <v>82.920239100000003</v>
      </c>
      <c r="M134">
        <v>14.2808514</v>
      </c>
      <c r="N134">
        <v>89.406053999999997</v>
      </c>
      <c r="O134">
        <v>74.014086899999995</v>
      </c>
      <c r="P134">
        <v>25.8399</v>
      </c>
      <c r="Q134">
        <v>35.125037399999997</v>
      </c>
      <c r="R134">
        <v>51.6798</v>
      </c>
      <c r="S134">
        <v>20.3532279</v>
      </c>
      <c r="T134">
        <v>64.349964299999996</v>
      </c>
      <c r="U134">
        <v>23.126710500000002</v>
      </c>
      <c r="V134" s="6"/>
      <c r="W134" s="3">
        <v>45952</v>
      </c>
      <c r="X134">
        <v>24.883823700000001</v>
      </c>
      <c r="Y134">
        <v>813.68122440000002</v>
      </c>
      <c r="Z134">
        <v>144.36752129999999</v>
      </c>
      <c r="AA134">
        <v>84.952977899999993</v>
      </c>
      <c r="AB134">
        <v>144.04021589999999</v>
      </c>
      <c r="AC134">
        <v>973.02727440000001</v>
      </c>
      <c r="AD134">
        <v>163.05838230000001</v>
      </c>
      <c r="AE134">
        <v>109.0529913</v>
      </c>
      <c r="AF134">
        <v>391.30221899999998</v>
      </c>
      <c r="AG134">
        <v>174.29012549999999</v>
      </c>
      <c r="AH134">
        <v>714.08563649999996</v>
      </c>
      <c r="AI134">
        <v>141.8524377</v>
      </c>
      <c r="AJ134">
        <v>108.48451350000001</v>
      </c>
      <c r="AK134">
        <v>217.88203680000001</v>
      </c>
      <c r="AL134">
        <v>335.0315301</v>
      </c>
      <c r="AM134">
        <v>862.53586199999995</v>
      </c>
      <c r="AN134">
        <v>256.32319469999999</v>
      </c>
      <c r="AO134">
        <v>301.72389900000002</v>
      </c>
      <c r="AP134">
        <v>88.510270800000001</v>
      </c>
      <c r="AQ134">
        <v>72.765158400000004</v>
      </c>
      <c r="AR134" cm="1">
        <f t="array" ref="AR134">SUMPRODUCT($B$162:$U$162,(B134:U134)/($B$11:$U$11))</f>
        <v>30323.616143596948</v>
      </c>
      <c r="AS134">
        <f t="shared" si="5"/>
        <v>-319.00801475824483</v>
      </c>
      <c r="AT134">
        <f t="shared" si="6"/>
        <v>0.98958940288176123</v>
      </c>
      <c r="AU134" cm="1">
        <f t="array" ref="AU134">SUMPRODUCT($X$162:$AQ$162,(X134:AQ134)/($X$11:$AQ$11))</f>
        <v>27741.666136657397</v>
      </c>
      <c r="AV134">
        <f t="shared" si="7"/>
        <v>-233.64594889896398</v>
      </c>
      <c r="AW134">
        <f t="shared" si="8"/>
        <v>233.64594889896398</v>
      </c>
      <c r="AX134">
        <f t="shared" si="9"/>
        <v>-85.362065859280847</v>
      </c>
    </row>
    <row r="135" spans="1:50" x14ac:dyDescent="0.2">
      <c r="A135" s="3">
        <v>45953</v>
      </c>
      <c r="B135">
        <v>172.24808100000001</v>
      </c>
      <c r="C135">
        <v>60.222267600000002</v>
      </c>
      <c r="D135">
        <v>272.77347279999998</v>
      </c>
      <c r="E135">
        <v>81.441234100000003</v>
      </c>
      <c r="F135">
        <v>41.2500152</v>
      </c>
      <c r="G135">
        <v>153.83535509999999</v>
      </c>
      <c r="H135">
        <v>76.534617100000006</v>
      </c>
      <c r="I135">
        <v>278.43760259999999</v>
      </c>
      <c r="J135">
        <v>12.989622900000001</v>
      </c>
      <c r="K135">
        <v>56.090379599999999</v>
      </c>
      <c r="L135">
        <v>82.3623008</v>
      </c>
      <c r="M135">
        <v>14.031203</v>
      </c>
      <c r="N135">
        <v>90.273144700000003</v>
      </c>
      <c r="O135">
        <v>74.830213299999997</v>
      </c>
      <c r="P135">
        <v>25.342246400000001</v>
      </c>
      <c r="Q135">
        <v>35.491196299999999</v>
      </c>
      <c r="R135">
        <v>50.589803699999997</v>
      </c>
      <c r="S135">
        <v>20.2118188</v>
      </c>
      <c r="T135">
        <v>64.225034100000002</v>
      </c>
      <c r="U135">
        <v>22.596262500000002</v>
      </c>
      <c r="V135" s="6"/>
      <c r="W135" s="3">
        <v>45953</v>
      </c>
      <c r="X135">
        <v>24.8860171</v>
      </c>
      <c r="Y135">
        <v>810.92606049999995</v>
      </c>
      <c r="Z135">
        <v>155.9959882</v>
      </c>
      <c r="AA135">
        <v>85.641986900000006</v>
      </c>
      <c r="AB135">
        <v>147.71499600000001</v>
      </c>
      <c r="AC135">
        <v>968.41125</v>
      </c>
      <c r="AD135">
        <v>161.9011448</v>
      </c>
      <c r="AE135">
        <v>107.3860475</v>
      </c>
      <c r="AF135">
        <v>392.60683289999997</v>
      </c>
      <c r="AG135">
        <v>172.37720250000001</v>
      </c>
      <c r="AH135">
        <v>716.13366329999997</v>
      </c>
      <c r="AI135">
        <v>144.9431878</v>
      </c>
      <c r="AJ135">
        <v>108.2640737</v>
      </c>
      <c r="AK135">
        <v>221.60692639999999</v>
      </c>
      <c r="AL135">
        <v>331.43767430000003</v>
      </c>
      <c r="AM135">
        <v>921.75534800000003</v>
      </c>
      <c r="AN135">
        <v>258.50985109999999</v>
      </c>
      <c r="AO135">
        <v>307.44689959999999</v>
      </c>
      <c r="AP135">
        <v>88.224416899999994</v>
      </c>
      <c r="AQ135">
        <v>73.143025699999995</v>
      </c>
      <c r="AR135" cm="1">
        <f t="array" ref="AR135">SUMPRODUCT($B$162:$U$162,(B135:U135)/($B$11:$U$11))</f>
        <v>30271.634104415942</v>
      </c>
      <c r="AS135">
        <f t="shared" si="5"/>
        <v>-51.982039181006257</v>
      </c>
      <c r="AT135">
        <f t="shared" si="6"/>
        <v>0.99828575724825008</v>
      </c>
      <c r="AU135" cm="1">
        <f t="array" ref="AU135">SUMPRODUCT($X$162:$AQ$162,(X135:AQ135)/($X$11:$AQ$11))</f>
        <v>28099.69094191281</v>
      </c>
      <c r="AV135">
        <f t="shared" si="7"/>
        <v>358.0248052554125</v>
      </c>
      <c r="AW135">
        <f t="shared" si="8"/>
        <v>-358.0248052554125</v>
      </c>
      <c r="AX135">
        <f t="shared" si="9"/>
        <v>-410.00684443641876</v>
      </c>
    </row>
    <row r="136" spans="1:50" x14ac:dyDescent="0.2">
      <c r="A136" s="3">
        <v>45954</v>
      </c>
      <c r="B136">
        <v>170.76227220000001</v>
      </c>
      <c r="C136">
        <v>60.550885800000003</v>
      </c>
      <c r="D136">
        <v>272.21661899999998</v>
      </c>
      <c r="E136">
        <v>80.920895400000006</v>
      </c>
      <c r="F136">
        <v>41.5400238</v>
      </c>
      <c r="G136">
        <v>153.19657979999999</v>
      </c>
      <c r="H136">
        <v>71.716541399999997</v>
      </c>
      <c r="I136">
        <v>276.05320019999999</v>
      </c>
      <c r="J136">
        <v>12.9033</v>
      </c>
      <c r="K136">
        <v>57.101403599999998</v>
      </c>
      <c r="L136">
        <v>85.428448200000005</v>
      </c>
      <c r="M136">
        <v>14.107608000000001</v>
      </c>
      <c r="N136">
        <v>90.022023000000004</v>
      </c>
      <c r="O136">
        <v>74.383223400000006</v>
      </c>
      <c r="P136">
        <v>25.290468000000001</v>
      </c>
      <c r="Q136">
        <v>35.587301400000001</v>
      </c>
      <c r="R136">
        <v>52.430408999999997</v>
      </c>
      <c r="S136">
        <v>20.189363400000001</v>
      </c>
      <c r="T136">
        <v>64.559511000000001</v>
      </c>
      <c r="U136">
        <v>23.0022828</v>
      </c>
      <c r="V136" s="6"/>
      <c r="W136" s="3">
        <v>45954</v>
      </c>
      <c r="X136">
        <v>24.834551399999999</v>
      </c>
      <c r="Y136">
        <v>801.84547080000004</v>
      </c>
      <c r="Z136">
        <v>152.6288346</v>
      </c>
      <c r="AA136">
        <v>87.880075199999993</v>
      </c>
      <c r="AB136">
        <v>144.94707</v>
      </c>
      <c r="AC136">
        <v>977.75185859999999</v>
      </c>
      <c r="AD136">
        <v>160.474041</v>
      </c>
      <c r="AE136">
        <v>107.183412</v>
      </c>
      <c r="AF136">
        <v>399.29691960000002</v>
      </c>
      <c r="AG136">
        <v>171.62249220000001</v>
      </c>
      <c r="AH136">
        <v>722.14608780000003</v>
      </c>
      <c r="AI136">
        <v>145.78148340000001</v>
      </c>
      <c r="AJ136">
        <v>108.7576146</v>
      </c>
      <c r="AK136">
        <v>211.39906500000001</v>
      </c>
      <c r="AL136">
        <v>332.62986960000001</v>
      </c>
      <c r="AM136">
        <v>924.65908019999995</v>
      </c>
      <c r="AN136">
        <v>252.68962500000001</v>
      </c>
      <c r="AO136">
        <v>306.65122559999998</v>
      </c>
      <c r="AP136">
        <v>89.075781000000006</v>
      </c>
      <c r="AQ136">
        <v>74.142361800000003</v>
      </c>
      <c r="AR136" cm="1">
        <f t="array" ref="AR136">SUMPRODUCT($B$162:$U$162,(B136:U136)/($B$11:$U$11))</f>
        <v>30261.735566070183</v>
      </c>
      <c r="AS136">
        <f t="shared" si="5"/>
        <v>-9.8985383457584248</v>
      </c>
      <c r="AT136">
        <f t="shared" si="6"/>
        <v>0.99967300944799953</v>
      </c>
      <c r="AU136" cm="1">
        <f t="array" ref="AU136">SUMPRODUCT($X$162:$AQ$162,(X136:AQ136)/($X$11:$AQ$11))</f>
        <v>28084.654959094511</v>
      </c>
      <c r="AV136">
        <f t="shared" si="7"/>
        <v>-15.03598281829909</v>
      </c>
      <c r="AW136">
        <f t="shared" si="8"/>
        <v>15.03598281829909</v>
      </c>
      <c r="AX136">
        <f t="shared" si="9"/>
        <v>5.1374444725406647</v>
      </c>
    </row>
    <row r="137" spans="1:50" x14ac:dyDescent="0.2">
      <c r="A137" s="3">
        <v>45957</v>
      </c>
      <c r="B137">
        <v>173.35835760000001</v>
      </c>
      <c r="C137">
        <v>61.453579499999996</v>
      </c>
      <c r="D137">
        <v>275.06811140000002</v>
      </c>
      <c r="E137">
        <v>82.814173800000006</v>
      </c>
      <c r="F137">
        <v>44.292957299999998</v>
      </c>
      <c r="G137">
        <v>154.4112442</v>
      </c>
      <c r="H137">
        <v>67.534520700000002</v>
      </c>
      <c r="I137">
        <v>279.82636200000002</v>
      </c>
      <c r="J137">
        <v>12.952061199999999</v>
      </c>
      <c r="K137">
        <v>57.176307299999998</v>
      </c>
      <c r="L137">
        <v>84.858332000000004</v>
      </c>
      <c r="M137">
        <v>14.1115627</v>
      </c>
      <c r="N137">
        <v>89.427626799999999</v>
      </c>
      <c r="O137">
        <v>74.199507100000005</v>
      </c>
      <c r="P137">
        <v>25.2685438</v>
      </c>
      <c r="Q137">
        <v>35.300379</v>
      </c>
      <c r="R137">
        <v>51.919900499999997</v>
      </c>
      <c r="S137">
        <v>20.192503899999998</v>
      </c>
      <c r="T137">
        <v>64.837606100000002</v>
      </c>
      <c r="U137">
        <v>22.898007400000001</v>
      </c>
      <c r="V137" s="6"/>
      <c r="W137" s="3">
        <v>45957</v>
      </c>
      <c r="X137">
        <v>24.804743200000001</v>
      </c>
      <c r="Y137">
        <v>798.63886649999995</v>
      </c>
      <c r="Z137">
        <v>152.8480644</v>
      </c>
      <c r="AA137">
        <v>86.284089399999999</v>
      </c>
      <c r="AB137">
        <v>144.63707600000001</v>
      </c>
      <c r="AC137">
        <v>971.67084590000002</v>
      </c>
      <c r="AD137">
        <v>161.1449418</v>
      </c>
      <c r="AE137">
        <v>107.3698389</v>
      </c>
      <c r="AF137">
        <v>399.73599489999998</v>
      </c>
      <c r="AG137">
        <v>171.98413360000001</v>
      </c>
      <c r="AH137">
        <v>723.8467253</v>
      </c>
      <c r="AI137">
        <v>144.09597529999999</v>
      </c>
      <c r="AJ137">
        <v>109.1477412</v>
      </c>
      <c r="AK137">
        <v>212.84153090000001</v>
      </c>
      <c r="AL137">
        <v>330.90455029999998</v>
      </c>
      <c r="AM137">
        <v>949.11639449999996</v>
      </c>
      <c r="AN137">
        <v>252.13574840000001</v>
      </c>
      <c r="AO137">
        <v>310.51450169999998</v>
      </c>
      <c r="AP137">
        <v>90.106149900000005</v>
      </c>
      <c r="AQ137">
        <v>73.959017900000006</v>
      </c>
      <c r="AR137" cm="1">
        <f t="array" ref="AR137">SUMPRODUCT($B$162:$U$162,(B137:U137)/($B$11:$U$11))</f>
        <v>30415.641973854843</v>
      </c>
      <c r="AS137">
        <f t="shared" si="5"/>
        <v>153.90640778465968</v>
      </c>
      <c r="AT137">
        <f t="shared" si="6"/>
        <v>1.0050858420677373</v>
      </c>
      <c r="AU137" cm="1">
        <f t="array" ref="AU137">SUMPRODUCT($X$162:$AQ$162,(X137:AQ137)/($X$11:$AQ$11))</f>
        <v>28082.283847508403</v>
      </c>
      <c r="AV137">
        <f t="shared" si="7"/>
        <v>-2.3711115861078724</v>
      </c>
      <c r="AW137">
        <f t="shared" si="8"/>
        <v>2.3711115861078724</v>
      </c>
      <c r="AX137">
        <f t="shared" si="9"/>
        <v>156.27751937076755</v>
      </c>
    </row>
    <row r="138" spans="1:50" x14ac:dyDescent="0.2">
      <c r="A138" s="3">
        <v>45958</v>
      </c>
      <c r="B138">
        <v>172.5667048</v>
      </c>
      <c r="C138">
        <v>60.128818500000001</v>
      </c>
      <c r="D138">
        <v>251.45949150000001</v>
      </c>
      <c r="E138">
        <v>81.914249100000006</v>
      </c>
      <c r="F138">
        <v>44.944253199999999</v>
      </c>
      <c r="G138">
        <v>151.73406489999999</v>
      </c>
      <c r="H138">
        <v>68.103075799999999</v>
      </c>
      <c r="I138">
        <v>278.40372580000002</v>
      </c>
      <c r="J138">
        <v>12.454948699999999</v>
      </c>
      <c r="K138">
        <v>56.2833209</v>
      </c>
      <c r="L138">
        <v>81.493647800000005</v>
      </c>
      <c r="M138">
        <v>13.836924399999999</v>
      </c>
      <c r="N138">
        <v>88.008676100000002</v>
      </c>
      <c r="O138">
        <v>73.905657000000005</v>
      </c>
      <c r="P138">
        <v>23.914188200000002</v>
      </c>
      <c r="Q138">
        <v>35.339092899999997</v>
      </c>
      <c r="R138">
        <v>49.665288199999999</v>
      </c>
      <c r="S138">
        <v>19.184569499999998</v>
      </c>
      <c r="T138">
        <v>65.021527500000005</v>
      </c>
      <c r="U138">
        <v>21.759679500000001</v>
      </c>
      <c r="V138" s="6"/>
      <c r="W138" s="3">
        <v>45958</v>
      </c>
      <c r="X138">
        <v>24.1974503</v>
      </c>
      <c r="Y138">
        <v>793.27121920000002</v>
      </c>
      <c r="Z138">
        <v>154.2576727</v>
      </c>
      <c r="AA138">
        <v>84.772621200000003</v>
      </c>
      <c r="AB138">
        <v>143.20186709999999</v>
      </c>
      <c r="AC138">
        <v>965.62333149999995</v>
      </c>
      <c r="AD138">
        <v>156.9272034</v>
      </c>
      <c r="AE138">
        <v>106.48079850000001</v>
      </c>
      <c r="AF138">
        <v>392.12916710000002</v>
      </c>
      <c r="AG138">
        <v>170.38644500000001</v>
      </c>
      <c r="AH138">
        <v>700.54150809999999</v>
      </c>
      <c r="AI138">
        <v>145.95723480000001</v>
      </c>
      <c r="AJ138">
        <v>107.91427640000001</v>
      </c>
      <c r="AK138">
        <v>211.04743189999999</v>
      </c>
      <c r="AL138">
        <v>331.11622749999998</v>
      </c>
      <c r="AM138">
        <v>932.49883320000004</v>
      </c>
      <c r="AN138">
        <v>246.30927149999999</v>
      </c>
      <c r="AO138">
        <v>310.71277259999999</v>
      </c>
      <c r="AP138">
        <v>90.094515200000004</v>
      </c>
      <c r="AQ138">
        <v>74.369176800000005</v>
      </c>
      <c r="AR138" cm="1">
        <f t="array" ref="AR138">SUMPRODUCT($B$162:$U$162,(B138:U138)/($B$11:$U$11))</f>
        <v>29630.075864528928</v>
      </c>
      <c r="AS138">
        <f t="shared" si="5"/>
        <v>-785.56610932591502</v>
      </c>
      <c r="AT138">
        <f t="shared" si="6"/>
        <v>0.97417229891115942</v>
      </c>
      <c r="AU138" cm="1">
        <f t="array" ref="AU138">SUMPRODUCT($X$162:$AQ$162,(X138:AQ138)/($X$11:$AQ$11))</f>
        <v>27816.804239131394</v>
      </c>
      <c r="AV138">
        <f t="shared" si="7"/>
        <v>-265.47960837700884</v>
      </c>
      <c r="AW138">
        <f t="shared" si="8"/>
        <v>265.47960837700884</v>
      </c>
      <c r="AX138">
        <f t="shared" si="9"/>
        <v>-520.08650094890618</v>
      </c>
    </row>
    <row r="139" spans="1:50" x14ac:dyDescent="0.2">
      <c r="A139" s="3">
        <v>45959</v>
      </c>
      <c r="B139">
        <v>175.42824719999999</v>
      </c>
      <c r="C139">
        <v>60.1601292</v>
      </c>
      <c r="D139">
        <v>241.442307</v>
      </c>
      <c r="E139">
        <v>82.558526400000005</v>
      </c>
      <c r="F139">
        <v>45.426156599999999</v>
      </c>
      <c r="G139">
        <v>149.70198959999999</v>
      </c>
      <c r="H139">
        <v>68.6866938</v>
      </c>
      <c r="I139">
        <v>272.58280380000002</v>
      </c>
      <c r="J139">
        <v>12.337223399999999</v>
      </c>
      <c r="K139">
        <v>54.470005200000003</v>
      </c>
      <c r="L139">
        <v>82.705090200000001</v>
      </c>
      <c r="M139">
        <v>13.5873264</v>
      </c>
      <c r="N139">
        <v>85.782929999999993</v>
      </c>
      <c r="O139">
        <v>72.549081000000001</v>
      </c>
      <c r="P139">
        <v>24.027841800000001</v>
      </c>
      <c r="Q139">
        <v>36.373686599999999</v>
      </c>
      <c r="R139">
        <v>50.659346399999997</v>
      </c>
      <c r="S139">
        <v>19.156750800000001</v>
      </c>
      <c r="T139">
        <v>62.944841400000001</v>
      </c>
      <c r="U139">
        <v>21.294858000000001</v>
      </c>
      <c r="V139" s="6"/>
      <c r="W139" s="3">
        <v>45959</v>
      </c>
      <c r="X139">
        <v>23.682985800000001</v>
      </c>
      <c r="Y139">
        <v>786.63377879999996</v>
      </c>
      <c r="Z139">
        <v>155.87491199999999</v>
      </c>
      <c r="AA139">
        <v>83.937950400000005</v>
      </c>
      <c r="AB139">
        <v>141.9341082</v>
      </c>
      <c r="AC139">
        <v>946.62972000000002</v>
      </c>
      <c r="AD139">
        <v>155.1765786</v>
      </c>
      <c r="AE139">
        <v>101.215236</v>
      </c>
      <c r="AF139">
        <v>392.56682760000001</v>
      </c>
      <c r="AG139">
        <v>160.75462440000001</v>
      </c>
      <c r="AH139">
        <v>687.75494219999996</v>
      </c>
      <c r="AI139">
        <v>146.96900579999999</v>
      </c>
      <c r="AJ139">
        <v>106.4484258</v>
      </c>
      <c r="AK139">
        <v>208.6637442</v>
      </c>
      <c r="AL139">
        <v>325.92340560000002</v>
      </c>
      <c r="AM139">
        <v>943.25013120000006</v>
      </c>
      <c r="AN139">
        <v>244.45979700000001</v>
      </c>
      <c r="AO139">
        <v>317.39684099999999</v>
      </c>
      <c r="AP139">
        <v>89.240111400000004</v>
      </c>
      <c r="AQ139">
        <v>73.945747800000007</v>
      </c>
      <c r="AR139" cm="1">
        <f t="array" ref="AR139">SUMPRODUCT($B$162:$U$162,(B139:U139)/($B$11:$U$11))</f>
        <v>29484.878963097191</v>
      </c>
      <c r="AS139">
        <f t="shared" si="5"/>
        <v>-145.19690143173648</v>
      </c>
      <c r="AT139">
        <f t="shared" si="6"/>
        <v>0.99509967837761915</v>
      </c>
      <c r="AU139" cm="1">
        <f t="array" ref="AU139">SUMPRODUCT($X$162:$AQ$162,(X139:AQ139)/($X$11:$AQ$11))</f>
        <v>27582.406512113281</v>
      </c>
      <c r="AV139">
        <f t="shared" si="7"/>
        <v>-234.39772701811307</v>
      </c>
      <c r="AW139">
        <f t="shared" si="8"/>
        <v>234.39772701811307</v>
      </c>
      <c r="AX139">
        <f t="shared" si="9"/>
        <v>89.200825586376595</v>
      </c>
    </row>
    <row r="140" spans="1:50" x14ac:dyDescent="0.2">
      <c r="A140" s="3">
        <v>45960</v>
      </c>
      <c r="B140">
        <v>174.4664836</v>
      </c>
      <c r="C140">
        <v>64.297604800000002</v>
      </c>
      <c r="D140">
        <v>246.0274004</v>
      </c>
      <c r="E140">
        <v>83.432973200000006</v>
      </c>
      <c r="F140">
        <v>43.553931599999999</v>
      </c>
      <c r="G140">
        <v>149.892278</v>
      </c>
      <c r="H140">
        <v>71.171810800000003</v>
      </c>
      <c r="I140">
        <v>269.73692599999998</v>
      </c>
      <c r="J140">
        <v>12.313043199999999</v>
      </c>
      <c r="K140">
        <v>53.774449199999999</v>
      </c>
      <c r="L140">
        <v>80.743818399999995</v>
      </c>
      <c r="M140">
        <v>13.748412</v>
      </c>
      <c r="N140">
        <v>86.796578400000001</v>
      </c>
      <c r="O140">
        <v>71.604150799999999</v>
      </c>
      <c r="P140">
        <v>24.4963844</v>
      </c>
      <c r="Q140">
        <v>36.083096400000002</v>
      </c>
      <c r="R140">
        <v>49.3905216</v>
      </c>
      <c r="S140">
        <v>19.2131896</v>
      </c>
      <c r="T140">
        <v>63.925792399999999</v>
      </c>
      <c r="U140">
        <v>24.332095200000001</v>
      </c>
      <c r="V140" s="6"/>
      <c r="W140" s="3">
        <v>45960</v>
      </c>
      <c r="X140">
        <v>24.565558800000002</v>
      </c>
      <c r="Y140">
        <v>795.66124239999999</v>
      </c>
      <c r="Z140">
        <v>155.76345520000001</v>
      </c>
      <c r="AA140">
        <v>84.401414799999998</v>
      </c>
      <c r="AB140">
        <v>143.92598599999999</v>
      </c>
      <c r="AC140">
        <v>949.46187399999997</v>
      </c>
      <c r="AD140">
        <v>154.4923756</v>
      </c>
      <c r="AE140">
        <v>101.3664364</v>
      </c>
      <c r="AF140">
        <v>382.99271240000002</v>
      </c>
      <c r="AG140">
        <v>160.21655720000001</v>
      </c>
      <c r="AH140">
        <v>720.41678879999995</v>
      </c>
      <c r="AI140">
        <v>151.63893160000001</v>
      </c>
      <c r="AJ140">
        <v>107.4191964</v>
      </c>
      <c r="AK140">
        <v>210.67063519999999</v>
      </c>
      <c r="AL140">
        <v>328.18929400000002</v>
      </c>
      <c r="AM140">
        <v>940.39138079999998</v>
      </c>
      <c r="AN140">
        <v>239.68929600000001</v>
      </c>
      <c r="AO140">
        <v>316.17888879999998</v>
      </c>
      <c r="AP140">
        <v>88.309768399999996</v>
      </c>
      <c r="AQ140">
        <v>71.007521600000004</v>
      </c>
      <c r="AR140" cm="1">
        <f t="array" ref="AR140">SUMPRODUCT($B$162:$U$162,(B140:U140)/($B$11:$U$11))</f>
        <v>29782.72529031229</v>
      </c>
      <c r="AS140">
        <f t="shared" si="5"/>
        <v>297.84632721509843</v>
      </c>
      <c r="AT140">
        <f t="shared" si="6"/>
        <v>1.0101016635539823</v>
      </c>
      <c r="AU140" cm="1">
        <f t="array" ref="AU140">SUMPRODUCT($X$162:$AQ$162,(X140:AQ140)/($X$11:$AQ$11))</f>
        <v>27696.859601279939</v>
      </c>
      <c r="AV140">
        <f t="shared" si="7"/>
        <v>114.45308916665817</v>
      </c>
      <c r="AW140">
        <f t="shared" si="8"/>
        <v>-114.45308916665817</v>
      </c>
      <c r="AX140">
        <f t="shared" si="9"/>
        <v>183.39323804844025</v>
      </c>
    </row>
    <row r="141" spans="1:50" x14ac:dyDescent="0.2">
      <c r="A141" s="3">
        <v>45961</v>
      </c>
      <c r="B141">
        <v>178.55865</v>
      </c>
      <c r="C141">
        <v>63.975929999999998</v>
      </c>
      <c r="D141">
        <v>248.68161000000001</v>
      </c>
      <c r="E141">
        <v>83.665499999999994</v>
      </c>
      <c r="F141">
        <v>45.049320000000002</v>
      </c>
      <c r="G141">
        <v>152.38391999999999</v>
      </c>
      <c r="H141">
        <v>70.200990000000004</v>
      </c>
      <c r="I141">
        <v>271.37966999999998</v>
      </c>
      <c r="J141">
        <v>12.45879</v>
      </c>
      <c r="K141">
        <v>53.519910000000003</v>
      </c>
      <c r="L141">
        <v>81.532679999999999</v>
      </c>
      <c r="M141">
        <v>13.83732</v>
      </c>
      <c r="N141">
        <v>85.55556</v>
      </c>
      <c r="O141">
        <v>72.212429999999998</v>
      </c>
      <c r="P141">
        <v>24.995609999999999</v>
      </c>
      <c r="Q141">
        <v>36.1539</v>
      </c>
      <c r="R141">
        <v>49.748460000000001</v>
      </c>
      <c r="S141">
        <v>19.438140000000001</v>
      </c>
      <c r="T141">
        <v>65.111699999999999</v>
      </c>
      <c r="U141">
        <v>23.547720000000002</v>
      </c>
      <c r="V141" s="6"/>
      <c r="W141" s="3">
        <v>45961</v>
      </c>
      <c r="X141">
        <v>24.40605</v>
      </c>
      <c r="Y141">
        <v>790.22715000000005</v>
      </c>
      <c r="Z141">
        <v>157.32581999999999</v>
      </c>
      <c r="AA141">
        <v>83.83023</v>
      </c>
      <c r="AB141">
        <v>144.35550000000001</v>
      </c>
      <c r="AC141">
        <v>938.79627000000005</v>
      </c>
      <c r="AD141">
        <v>154.45605</v>
      </c>
      <c r="AE141">
        <v>101.46501000000001</v>
      </c>
      <c r="AF141">
        <v>393.46194000000003</v>
      </c>
      <c r="AG141">
        <v>162.20703</v>
      </c>
      <c r="AH141">
        <v>733.49067000000002</v>
      </c>
      <c r="AI141">
        <v>158.62631999999999</v>
      </c>
      <c r="AJ141">
        <v>107.58602999999999</v>
      </c>
      <c r="AK141">
        <v>211.47864000000001</v>
      </c>
      <c r="AL141">
        <v>329.10453000000001</v>
      </c>
      <c r="AM141">
        <v>871.33500000000004</v>
      </c>
      <c r="AN141">
        <v>231.54102</v>
      </c>
      <c r="AO141">
        <v>319.36811999999998</v>
      </c>
      <c r="AP141">
        <v>88.893510000000006</v>
      </c>
      <c r="AQ141">
        <v>70.313699999999997</v>
      </c>
      <c r="AR141" cm="1">
        <f t="array" ref="AR141">SUMPRODUCT($B$162:$U$162,(B141:U141)/($B$11:$U$11))</f>
        <v>30004.766739836949</v>
      </c>
      <c r="AS141">
        <f t="shared" ref="AS141:AS156" si="10">AR141-AR140</f>
        <v>222.04144952465867</v>
      </c>
      <c r="AT141">
        <f t="shared" ref="AT141:AT156" si="11">AR141/AR140</f>
        <v>1.0074553771476678</v>
      </c>
      <c r="AU141" cm="1">
        <f t="array" ref="AU141">SUMPRODUCT($X$162:$AQ$162,(X141:AQ141)/($X$11:$AQ$11))</f>
        <v>27618.570515655152</v>
      </c>
      <c r="AV141">
        <f t="shared" ref="AV141:AV156" si="12">AU141-AU140</f>
        <v>-78.289085624786821</v>
      </c>
      <c r="AW141">
        <f t="shared" ref="AW141:AW156" si="13">IF(AV141&gt;0, -AV141, ABS(AV141))</f>
        <v>78.289085624786821</v>
      </c>
      <c r="AX141">
        <f t="shared" ref="AX141:AX156" si="14">AS141+AW141</f>
        <v>300.3305351494455</v>
      </c>
    </row>
    <row r="142" spans="1:50" x14ac:dyDescent="0.2">
      <c r="A142" s="3">
        <v>45964</v>
      </c>
      <c r="B142">
        <v>179.49373539999999</v>
      </c>
      <c r="C142">
        <v>64.360407300000006</v>
      </c>
      <c r="D142">
        <v>241.188738</v>
      </c>
      <c r="E142">
        <v>86.577901199999999</v>
      </c>
      <c r="F142">
        <v>44.061657500000003</v>
      </c>
      <c r="G142">
        <v>153.38666069999999</v>
      </c>
      <c r="H142">
        <v>70.863300199999998</v>
      </c>
      <c r="I142">
        <v>276.75930169999998</v>
      </c>
      <c r="J142">
        <v>14.0129094</v>
      </c>
      <c r="K142">
        <v>54.488859599999998</v>
      </c>
      <c r="L142">
        <v>83.443663099999995</v>
      </c>
      <c r="M142">
        <v>13.8132211</v>
      </c>
      <c r="N142">
        <v>85.900697399999999</v>
      </c>
      <c r="O142">
        <v>73.285606099999995</v>
      </c>
      <c r="P142">
        <v>24.926309100000001</v>
      </c>
      <c r="Q142">
        <v>35.752887800000003</v>
      </c>
      <c r="R142">
        <v>50.790284999999997</v>
      </c>
      <c r="S142">
        <v>19.256897800000001</v>
      </c>
      <c r="T142">
        <v>64.707691299999993</v>
      </c>
      <c r="U142">
        <v>21.6271111</v>
      </c>
      <c r="V142" s="6"/>
      <c r="W142" s="3">
        <v>45964</v>
      </c>
      <c r="X142">
        <v>24.622435599999999</v>
      </c>
      <c r="Y142">
        <v>805.73360839999998</v>
      </c>
      <c r="Z142">
        <v>154.6802936</v>
      </c>
      <c r="AA142">
        <v>80.960582500000001</v>
      </c>
      <c r="AB142">
        <v>140.8149799</v>
      </c>
      <c r="AC142">
        <v>927.96889429999999</v>
      </c>
      <c r="AD142">
        <v>153.7860373</v>
      </c>
      <c r="AE142">
        <v>99.939653100000001</v>
      </c>
      <c r="AF142">
        <v>386.9785612</v>
      </c>
      <c r="AG142">
        <v>160.4886185</v>
      </c>
      <c r="AH142">
        <v>723.08001639999998</v>
      </c>
      <c r="AI142">
        <v>161.64333780000001</v>
      </c>
      <c r="AJ142">
        <v>107.8490462</v>
      </c>
      <c r="AK142">
        <v>211.08789730000001</v>
      </c>
      <c r="AL142">
        <v>328.48725350000001</v>
      </c>
      <c r="AM142">
        <v>871.62206530000003</v>
      </c>
      <c r="AN142">
        <v>225.28313080000001</v>
      </c>
      <c r="AO142">
        <v>316.49727339999998</v>
      </c>
      <c r="AP142">
        <v>88.305639099999993</v>
      </c>
      <c r="AQ142">
        <v>70.993531700000005</v>
      </c>
      <c r="AR142" cm="1">
        <f t="array" ref="AR142">SUMPRODUCT($B$162:$U$162,(B142:U142)/($B$11:$U$11))</f>
        <v>30072.692429358467</v>
      </c>
      <c r="AS142">
        <f t="shared" si="10"/>
        <v>67.925689521518507</v>
      </c>
      <c r="AT142">
        <f t="shared" si="11"/>
        <v>1.0022638299477709</v>
      </c>
      <c r="AU142" cm="1">
        <f t="array" ref="AU142">SUMPRODUCT($X$162:$AQ$162,(X142:AQ142)/($X$11:$AQ$11))</f>
        <v>27433.150007213495</v>
      </c>
      <c r="AV142">
        <f t="shared" si="12"/>
        <v>-185.42050844165715</v>
      </c>
      <c r="AW142">
        <f t="shared" si="13"/>
        <v>185.42050844165715</v>
      </c>
      <c r="AX142">
        <f t="shared" si="14"/>
        <v>253.34619796317565</v>
      </c>
    </row>
    <row r="143" spans="1:50" x14ac:dyDescent="0.2">
      <c r="A143" s="3">
        <v>45965</v>
      </c>
      <c r="B143">
        <v>178.55806860000001</v>
      </c>
      <c r="C143">
        <v>65.250075600000002</v>
      </c>
      <c r="D143">
        <v>224.15996340000001</v>
      </c>
      <c r="E143">
        <v>82.450943100000003</v>
      </c>
      <c r="F143">
        <v>41.282082000000003</v>
      </c>
      <c r="G143">
        <v>159.02310869999999</v>
      </c>
      <c r="H143">
        <v>68.716376999999994</v>
      </c>
      <c r="I143">
        <v>278.93275110000002</v>
      </c>
      <c r="J143">
        <v>13.908752099999999</v>
      </c>
      <c r="K143">
        <v>54.006369300000003</v>
      </c>
      <c r="L143">
        <v>79.054316099999994</v>
      </c>
      <c r="M143">
        <v>14.0742288</v>
      </c>
      <c r="N143">
        <v>86.770755899999997</v>
      </c>
      <c r="O143">
        <v>73.637131499999995</v>
      </c>
      <c r="P143">
        <v>22.739982300000001</v>
      </c>
      <c r="Q143">
        <v>34.332060599999998</v>
      </c>
      <c r="R143">
        <v>48.467254500000003</v>
      </c>
      <c r="S143">
        <v>16.364774700000002</v>
      </c>
      <c r="T143">
        <v>62.680832100000003</v>
      </c>
      <c r="U143">
        <v>20.684587499999999</v>
      </c>
      <c r="V143" s="6"/>
      <c r="W143" s="3">
        <v>45965</v>
      </c>
      <c r="X143">
        <v>24.926016600000001</v>
      </c>
      <c r="Y143">
        <v>819.3186882</v>
      </c>
      <c r="Z143">
        <v>155.2345632</v>
      </c>
      <c r="AA143">
        <v>80.891978399999999</v>
      </c>
      <c r="AB143">
        <v>139.86264869999999</v>
      </c>
      <c r="AC143">
        <v>923.10741629999995</v>
      </c>
      <c r="AD143">
        <v>157.202865</v>
      </c>
      <c r="AE143">
        <v>100.2788802</v>
      </c>
      <c r="AF143">
        <v>362.61170550000003</v>
      </c>
      <c r="AG143">
        <v>158.43087629999999</v>
      </c>
      <c r="AH143">
        <v>722.79351629999996</v>
      </c>
      <c r="AI143">
        <v>155.983563</v>
      </c>
      <c r="AJ143">
        <v>107.99532000000001</v>
      </c>
      <c r="AK143">
        <v>213.3081756</v>
      </c>
      <c r="AL143">
        <v>333.6358644</v>
      </c>
      <c r="AM143">
        <v>834.23771910000005</v>
      </c>
      <c r="AN143">
        <v>224.69994</v>
      </c>
      <c r="AO143">
        <v>313.40416049999999</v>
      </c>
      <c r="AP143">
        <v>88.199081100000001</v>
      </c>
      <c r="AQ143">
        <v>70.414690500000006</v>
      </c>
      <c r="AR143" cm="1">
        <f t="array" ref="AR143">SUMPRODUCT($B$162:$U$162,(B143:U143)/($B$11:$U$11))</f>
        <v>29145.13085481813</v>
      </c>
      <c r="AS143">
        <f t="shared" si="10"/>
        <v>-927.56157454033746</v>
      </c>
      <c r="AT143">
        <f t="shared" si="11"/>
        <v>0.96915601831398357</v>
      </c>
      <c r="AU143" cm="1">
        <f t="array" ref="AU143">SUMPRODUCT($X$162:$AQ$162,(X143:AQ143)/($X$11:$AQ$11))</f>
        <v>27315.720782650915</v>
      </c>
      <c r="AV143">
        <f t="shared" si="12"/>
        <v>-117.4292245625802</v>
      </c>
      <c r="AW143">
        <f t="shared" si="13"/>
        <v>117.4292245625802</v>
      </c>
      <c r="AX143">
        <f t="shared" si="14"/>
        <v>-810.13234997775726</v>
      </c>
    </row>
    <row r="144" spans="1:50" x14ac:dyDescent="0.2">
      <c r="A144" s="3">
        <v>45966</v>
      </c>
      <c r="B144">
        <v>179.54127750000001</v>
      </c>
      <c r="C144">
        <v>65.251345000000001</v>
      </c>
      <c r="D144">
        <v>223.3322575</v>
      </c>
      <c r="E144">
        <v>80.715687500000001</v>
      </c>
      <c r="F144">
        <v>36.576607500000001</v>
      </c>
      <c r="G144">
        <v>157.86335</v>
      </c>
      <c r="H144">
        <v>71.038507499999994</v>
      </c>
      <c r="I144">
        <v>273.64141000000001</v>
      </c>
      <c r="J144">
        <v>14.124157500000001</v>
      </c>
      <c r="K144">
        <v>54.616889999999998</v>
      </c>
      <c r="L144">
        <v>84.109662499999999</v>
      </c>
      <c r="M144">
        <v>14.158967499999999</v>
      </c>
      <c r="N144">
        <v>86.955380000000005</v>
      </c>
      <c r="O144">
        <v>74.014762500000003</v>
      </c>
      <c r="P144">
        <v>23.409725000000002</v>
      </c>
      <c r="Q144">
        <v>34.992752500000002</v>
      </c>
      <c r="R144">
        <v>50.944434999999999</v>
      </c>
      <c r="S144">
        <v>16.195352499999998</v>
      </c>
      <c r="T144">
        <v>63.510845000000003</v>
      </c>
      <c r="U144">
        <v>20.50309</v>
      </c>
      <c r="V144" s="6"/>
      <c r="W144" s="3">
        <v>45966</v>
      </c>
      <c r="X144">
        <v>24.697695</v>
      </c>
      <c r="Y144">
        <v>813.7098575</v>
      </c>
      <c r="Z144">
        <v>156.34041250000001</v>
      </c>
      <c r="AA144">
        <v>79.271072500000002</v>
      </c>
      <c r="AB144">
        <v>142.99948000000001</v>
      </c>
      <c r="AC144">
        <v>934.2742925</v>
      </c>
      <c r="AD144">
        <v>155.2526</v>
      </c>
      <c r="AE144">
        <v>101.384125</v>
      </c>
      <c r="AF144">
        <v>356.02797750000002</v>
      </c>
      <c r="AG144">
        <v>159.8736275</v>
      </c>
      <c r="AH144">
        <v>715.44992999999999</v>
      </c>
      <c r="AI144">
        <v>161.7359625</v>
      </c>
      <c r="AJ144">
        <v>107.754355</v>
      </c>
      <c r="AK144">
        <v>213.263465</v>
      </c>
      <c r="AL144">
        <v>325.33425999999997</v>
      </c>
      <c r="AM144">
        <v>870.38053749999995</v>
      </c>
      <c r="AN144">
        <v>220.19935749999999</v>
      </c>
      <c r="AO144">
        <v>315.55265000000003</v>
      </c>
      <c r="AP144">
        <v>89.096194999999994</v>
      </c>
      <c r="AQ144">
        <v>72.761602499999995</v>
      </c>
      <c r="AR144" cm="1">
        <f t="array" ref="AR144">SUMPRODUCT($B$162:$U$162,(B144:U144)/($B$11:$U$11))</f>
        <v>29224.852729713682</v>
      </c>
      <c r="AS144">
        <f t="shared" si="10"/>
        <v>79.721874895552901</v>
      </c>
      <c r="AT144">
        <f t="shared" si="11"/>
        <v>1.0027353411207065</v>
      </c>
      <c r="AU144" cm="1">
        <f t="array" ref="AU144">SUMPRODUCT($X$162:$AQ$162,(X144:AQ144)/($X$11:$AQ$11))</f>
        <v>27394.293845003012</v>
      </c>
      <c r="AV144">
        <f t="shared" si="12"/>
        <v>78.573062352097622</v>
      </c>
      <c r="AW144">
        <f t="shared" si="13"/>
        <v>-78.573062352097622</v>
      </c>
      <c r="AX144">
        <f t="shared" si="14"/>
        <v>1.1488125434552785</v>
      </c>
    </row>
    <row r="145" spans="1:50" x14ac:dyDescent="0.2">
      <c r="A145" s="3">
        <v>45967</v>
      </c>
      <c r="B145">
        <v>178.1596916</v>
      </c>
      <c r="C145">
        <v>64.908948499999994</v>
      </c>
      <c r="D145">
        <v>219.59922710000001</v>
      </c>
      <c r="E145">
        <v>79.778683599999994</v>
      </c>
      <c r="F145">
        <v>34.931320049999997</v>
      </c>
      <c r="G145">
        <v>156.52626219999999</v>
      </c>
      <c r="H145">
        <v>71.473455900000005</v>
      </c>
      <c r="I145">
        <v>280.07410199999998</v>
      </c>
      <c r="J145">
        <v>14.254853799999999</v>
      </c>
      <c r="K145">
        <v>53.598596700000002</v>
      </c>
      <c r="L145">
        <v>82.896391600000001</v>
      </c>
      <c r="M145">
        <v>14.142269900000001</v>
      </c>
      <c r="N145">
        <v>85.321275600000007</v>
      </c>
      <c r="O145">
        <v>70.538143500000004</v>
      </c>
      <c r="P145">
        <v>22.837211100000001</v>
      </c>
      <c r="Q145">
        <v>33.4720595</v>
      </c>
      <c r="R145">
        <v>50.065194300000002</v>
      </c>
      <c r="S145">
        <v>15.7963872</v>
      </c>
      <c r="T145">
        <v>63.220190000000002</v>
      </c>
      <c r="U145">
        <v>21.070509900000001</v>
      </c>
      <c r="V145" s="6"/>
      <c r="W145" s="3">
        <v>45967</v>
      </c>
      <c r="X145">
        <v>24.0842943</v>
      </c>
      <c r="Y145">
        <v>799.84798739999997</v>
      </c>
      <c r="Z145">
        <v>154.64697709999999</v>
      </c>
      <c r="AA145">
        <v>76.0201134</v>
      </c>
      <c r="AB145">
        <v>141.89901549999999</v>
      </c>
      <c r="AC145">
        <v>926.16712319999999</v>
      </c>
      <c r="AD145">
        <v>152.9235774</v>
      </c>
      <c r="AE145">
        <v>97.705504599999998</v>
      </c>
      <c r="AF145">
        <v>343.06912419999998</v>
      </c>
      <c r="AG145">
        <v>142.0375803</v>
      </c>
      <c r="AH145">
        <v>709.5643599</v>
      </c>
      <c r="AI145">
        <v>160.25885149999999</v>
      </c>
      <c r="AJ145">
        <v>107.38772</v>
      </c>
      <c r="AK145">
        <v>211.57112900000001</v>
      </c>
      <c r="AL145">
        <v>319.62569209999998</v>
      </c>
      <c r="AM145">
        <v>829.71736209999995</v>
      </c>
      <c r="AN145">
        <v>215.09587110000001</v>
      </c>
      <c r="AO145">
        <v>322.59617500000002</v>
      </c>
      <c r="AP145">
        <v>88.464964499999994</v>
      </c>
      <c r="AQ145">
        <v>71.101062999999996</v>
      </c>
      <c r="AR145" cm="1">
        <f t="array" ref="AR145">SUMPRODUCT($B$162:$U$162,(B145:U145)/($B$11:$U$11))</f>
        <v>28867.494434195567</v>
      </c>
      <c r="AS145">
        <f t="shared" si="10"/>
        <v>-357.35829551811548</v>
      </c>
      <c r="AT145">
        <f t="shared" si="11"/>
        <v>0.98777210962111095</v>
      </c>
      <c r="AU145" cm="1">
        <f t="array" ref="AU145">SUMPRODUCT($X$162:$AQ$162,(X145:AQ145)/($X$11:$AQ$11))</f>
        <v>26815.86852466944</v>
      </c>
      <c r="AV145">
        <f t="shared" si="12"/>
        <v>-578.42532033357202</v>
      </c>
      <c r="AW145">
        <f t="shared" si="13"/>
        <v>578.42532033357202</v>
      </c>
      <c r="AX145">
        <f t="shared" si="14"/>
        <v>221.06702481545653</v>
      </c>
    </row>
    <row r="146" spans="1:50" x14ac:dyDescent="0.2">
      <c r="A146" s="3">
        <v>45968</v>
      </c>
      <c r="B146">
        <v>178.69476879999999</v>
      </c>
      <c r="C146">
        <v>65.776207600000006</v>
      </c>
      <c r="D146">
        <v>221.36672680000001</v>
      </c>
      <c r="E146">
        <v>79.541913199999996</v>
      </c>
      <c r="F146">
        <v>34.379676799999999</v>
      </c>
      <c r="G146">
        <v>158.75524799999999</v>
      </c>
      <c r="H146">
        <v>72.105665200000004</v>
      </c>
      <c r="I146">
        <v>276.54195759999999</v>
      </c>
      <c r="J146">
        <v>14.5957984</v>
      </c>
      <c r="K146">
        <v>53.973325600000003</v>
      </c>
      <c r="L146">
        <v>84.245772400000007</v>
      </c>
      <c r="M146">
        <v>14.275866799999999</v>
      </c>
      <c r="N146">
        <v>85.266094800000005</v>
      </c>
      <c r="O146">
        <v>70.929700400000002</v>
      </c>
      <c r="P146">
        <v>23.1128964</v>
      </c>
      <c r="Q146">
        <v>34.422910799999997</v>
      </c>
      <c r="R146">
        <v>50.912358400000002</v>
      </c>
      <c r="S146">
        <v>16.489447599999998</v>
      </c>
      <c r="T146">
        <v>72.408303200000006</v>
      </c>
      <c r="U146">
        <v>21.219247200000002</v>
      </c>
      <c r="V146" s="6"/>
      <c r="W146" s="3">
        <v>45968</v>
      </c>
      <c r="X146">
        <v>24.219686800000002</v>
      </c>
      <c r="Y146">
        <v>797.87482320000004</v>
      </c>
      <c r="Z146">
        <v>155.92774439999999</v>
      </c>
      <c r="AA146">
        <v>75.87567</v>
      </c>
      <c r="AB146">
        <v>142.53385119999999</v>
      </c>
      <c r="AC146">
        <v>935.75669600000003</v>
      </c>
      <c r="AD146">
        <v>155.68563399999999</v>
      </c>
      <c r="AE146">
        <v>96.809572799999998</v>
      </c>
      <c r="AF146">
        <v>340.19105239999999</v>
      </c>
      <c r="AG146">
        <v>140.20786200000001</v>
      </c>
      <c r="AH146">
        <v>713.14482999999996</v>
      </c>
      <c r="AI146">
        <v>156.39467160000001</v>
      </c>
      <c r="AJ146">
        <v>108.603808</v>
      </c>
      <c r="AK146">
        <v>212.2702932</v>
      </c>
      <c r="AL146">
        <v>320.8913948</v>
      </c>
      <c r="AM146">
        <v>828.58825679999995</v>
      </c>
      <c r="AN146">
        <v>217.90800680000001</v>
      </c>
      <c r="AO146">
        <v>322.94933320000001</v>
      </c>
      <c r="AP146">
        <v>88.768048800000003</v>
      </c>
      <c r="AQ146">
        <v>72.339128799999997</v>
      </c>
      <c r="AR146" cm="1">
        <f t="array" ref="AR146">SUMPRODUCT($B$162:$U$162,(B146:U146)/($B$11:$U$11))</f>
        <v>29242.79742231077</v>
      </c>
      <c r="AS146">
        <f t="shared" si="10"/>
        <v>375.30298811520333</v>
      </c>
      <c r="AT146">
        <f t="shared" si="11"/>
        <v>1.0130008854412607</v>
      </c>
      <c r="AU146" cm="1">
        <f t="array" ref="AU146">SUMPRODUCT($X$162:$AQ$162,(X146:AQ146)/($X$11:$AQ$11))</f>
        <v>26875.865542066855</v>
      </c>
      <c r="AV146">
        <f t="shared" si="12"/>
        <v>59.997017397414311</v>
      </c>
      <c r="AW146">
        <f t="shared" si="13"/>
        <v>-59.997017397414311</v>
      </c>
      <c r="AX146">
        <f t="shared" si="14"/>
        <v>315.30597071778902</v>
      </c>
    </row>
    <row r="147" spans="1:50" x14ac:dyDescent="0.2">
      <c r="A147" s="3">
        <v>45971</v>
      </c>
      <c r="B147">
        <v>181.49850900000001</v>
      </c>
      <c r="C147">
        <v>65.7406395</v>
      </c>
      <c r="D147">
        <v>229.300443</v>
      </c>
      <c r="E147">
        <v>81.429434999999998</v>
      </c>
      <c r="F147">
        <v>34.778416499999999</v>
      </c>
      <c r="G147">
        <v>158.307129</v>
      </c>
      <c r="H147">
        <v>76.375791000000007</v>
      </c>
      <c r="I147">
        <v>277.21487250000001</v>
      </c>
      <c r="J147">
        <v>14.511919499999999</v>
      </c>
      <c r="K147">
        <v>52.232526</v>
      </c>
      <c r="L147">
        <v>83.194749000000002</v>
      </c>
      <c r="M147">
        <v>14.330196000000001</v>
      </c>
      <c r="N147">
        <v>85.029291000000001</v>
      </c>
      <c r="O147">
        <v>71.694247500000003</v>
      </c>
      <c r="P147">
        <v>23.269261499999999</v>
      </c>
      <c r="Q147">
        <v>35.436082499999998</v>
      </c>
      <c r="R147">
        <v>50.674895999999997</v>
      </c>
      <c r="S147">
        <v>16.476264</v>
      </c>
      <c r="T147">
        <v>75.389291999999998</v>
      </c>
      <c r="U147">
        <v>21.426065999999999</v>
      </c>
      <c r="V147" s="6"/>
      <c r="W147" s="3">
        <v>45971</v>
      </c>
      <c r="X147">
        <v>24.264413999999999</v>
      </c>
      <c r="Y147">
        <v>792.27984600000002</v>
      </c>
      <c r="Z147">
        <v>157.57158150000001</v>
      </c>
      <c r="AA147">
        <v>77.561320499999994</v>
      </c>
      <c r="AB147">
        <v>145.09323449999999</v>
      </c>
      <c r="AC147">
        <v>936.85387049999997</v>
      </c>
      <c r="AD147">
        <v>154.13614200000001</v>
      </c>
      <c r="AE147">
        <v>96.469217999999998</v>
      </c>
      <c r="AF147">
        <v>346.80631949999997</v>
      </c>
      <c r="AG147">
        <v>144.34038000000001</v>
      </c>
      <c r="AH147">
        <v>716.62229549999995</v>
      </c>
      <c r="AI147">
        <v>158.80037849999999</v>
      </c>
      <c r="AJ147">
        <v>108.08221500000001</v>
      </c>
      <c r="AK147">
        <v>211.37904449999999</v>
      </c>
      <c r="AL147">
        <v>320.55160050000001</v>
      </c>
      <c r="AM147">
        <v>844.84985849999998</v>
      </c>
      <c r="AN147">
        <v>215.351001</v>
      </c>
      <c r="AO147">
        <v>338.55953399999999</v>
      </c>
      <c r="AP147">
        <v>89.131050000000002</v>
      </c>
      <c r="AQ147">
        <v>71.443296000000004</v>
      </c>
      <c r="AR147" cm="1">
        <f t="array" ref="AR147">SUMPRODUCT($B$162:$U$162,(B147:U147)/($B$11:$U$11))</f>
        <v>29581.925069865727</v>
      </c>
      <c r="AS147">
        <f t="shared" si="10"/>
        <v>339.12764755495664</v>
      </c>
      <c r="AT147">
        <f t="shared" si="11"/>
        <v>1.0115969632678241</v>
      </c>
      <c r="AU147" cm="1">
        <f t="array" ref="AU147">SUMPRODUCT($X$162:$AQ$162,(X147:AQ147)/($X$11:$AQ$11))</f>
        <v>27091.697830955727</v>
      </c>
      <c r="AV147">
        <f t="shared" si="12"/>
        <v>215.83228888887243</v>
      </c>
      <c r="AW147">
        <f t="shared" si="13"/>
        <v>-215.83228888887243</v>
      </c>
      <c r="AX147">
        <f t="shared" si="14"/>
        <v>123.29535866608421</v>
      </c>
    </row>
    <row r="148" spans="1:50" x14ac:dyDescent="0.2">
      <c r="A148" s="3">
        <v>45972</v>
      </c>
      <c r="B148">
        <v>180.397684</v>
      </c>
      <c r="C148">
        <v>65.777365200000006</v>
      </c>
      <c r="D148">
        <v>227.591238</v>
      </c>
      <c r="E148">
        <v>80.829216000000002</v>
      </c>
      <c r="F148">
        <v>33.5233992</v>
      </c>
      <c r="G148">
        <v>159.7586</v>
      </c>
      <c r="H148">
        <v>77.677222</v>
      </c>
      <c r="I148">
        <v>281.76235680000002</v>
      </c>
      <c r="J148">
        <v>14.4387232</v>
      </c>
      <c r="K148">
        <v>51.899956000000003</v>
      </c>
      <c r="L148">
        <v>81.995022000000006</v>
      </c>
      <c r="M148">
        <v>14.3264604</v>
      </c>
      <c r="N148">
        <v>84.533888399999995</v>
      </c>
      <c r="O148">
        <v>72.262700800000005</v>
      </c>
      <c r="P148">
        <v>23.134772399999999</v>
      </c>
      <c r="Q148">
        <v>35.466409200000001</v>
      </c>
      <c r="R148">
        <v>49.861954400000002</v>
      </c>
      <c r="S148">
        <v>16.2521992</v>
      </c>
      <c r="T148">
        <v>78.247171600000001</v>
      </c>
      <c r="U148">
        <v>22.806619600000001</v>
      </c>
      <c r="V148" s="6"/>
      <c r="W148" s="3">
        <v>45972</v>
      </c>
      <c r="X148">
        <v>24.732358399999999</v>
      </c>
      <c r="Y148">
        <v>789.17294159999994</v>
      </c>
      <c r="Z148">
        <v>158.86913319999999</v>
      </c>
      <c r="AA148">
        <v>78.445790400000007</v>
      </c>
      <c r="AB148">
        <v>145.65666519999999</v>
      </c>
      <c r="AC148">
        <v>937.61890559999995</v>
      </c>
      <c r="AD148">
        <v>157.0988352</v>
      </c>
      <c r="AE148">
        <v>96.407838400000003</v>
      </c>
      <c r="AF148">
        <v>341.62433600000003</v>
      </c>
      <c r="AG148">
        <v>147.09881039999999</v>
      </c>
      <c r="AH148">
        <v>709.01730239999995</v>
      </c>
      <c r="AI148">
        <v>157.56515759999999</v>
      </c>
      <c r="AJ148">
        <v>109.03308560000001</v>
      </c>
      <c r="AK148">
        <v>211.8830816</v>
      </c>
      <c r="AL148">
        <v>323.17869439999998</v>
      </c>
      <c r="AM148">
        <v>824.44936759999996</v>
      </c>
      <c r="AN148">
        <v>219.61194359999999</v>
      </c>
      <c r="AO148">
        <v>338.58460480000002</v>
      </c>
      <c r="AP148">
        <v>89.525265200000007</v>
      </c>
      <c r="AQ148">
        <v>70.466496000000006</v>
      </c>
      <c r="AR148" cm="1">
        <f t="array" ref="AR148">SUMPRODUCT($B$162:$U$162,(B148:U148)/($B$11:$U$11))</f>
        <v>29568.335943197351</v>
      </c>
      <c r="AS148">
        <f t="shared" si="10"/>
        <v>-13.589126668375684</v>
      </c>
      <c r="AT148">
        <f t="shared" si="11"/>
        <v>0.99954062737173865</v>
      </c>
      <c r="AU148" cm="1">
        <f t="array" ref="AU148">SUMPRODUCT($X$162:$AQ$162,(X148:AQ148)/($X$11:$AQ$11))</f>
        <v>27156.478342631581</v>
      </c>
      <c r="AV148">
        <f t="shared" si="12"/>
        <v>64.780511675853631</v>
      </c>
      <c r="AW148">
        <f t="shared" si="13"/>
        <v>-64.780511675853631</v>
      </c>
      <c r="AX148">
        <f t="shared" si="14"/>
        <v>-78.369638344229315</v>
      </c>
    </row>
    <row r="149" spans="1:50" x14ac:dyDescent="0.2">
      <c r="A149" s="3">
        <v>45973</v>
      </c>
      <c r="B149">
        <v>176.90568619999999</v>
      </c>
      <c r="C149">
        <v>66.338554000000002</v>
      </c>
      <c r="D149">
        <v>227.2505238</v>
      </c>
      <c r="E149">
        <v>80.719096199999996</v>
      </c>
      <c r="F149">
        <v>32.7034406</v>
      </c>
      <c r="G149">
        <v>158.56553460000001</v>
      </c>
      <c r="H149">
        <v>80.287766199999993</v>
      </c>
      <c r="I149">
        <v>290.57839439999998</v>
      </c>
      <c r="J149">
        <v>14.380542200000001</v>
      </c>
      <c r="K149">
        <v>50.4311036</v>
      </c>
      <c r="L149">
        <v>86.240120200000007</v>
      </c>
      <c r="M149">
        <v>14.501314600000001</v>
      </c>
      <c r="N149">
        <v>84.307761799999994</v>
      </c>
      <c r="O149">
        <v>73.110434999999995</v>
      </c>
      <c r="P149">
        <v>23.403965800000002</v>
      </c>
      <c r="Q149">
        <v>36.067814599999998</v>
      </c>
      <c r="R149">
        <v>52.173676800000003</v>
      </c>
      <c r="S149">
        <v>16.338780400000001</v>
      </c>
      <c r="T149">
        <v>77.725666000000004</v>
      </c>
      <c r="U149">
        <v>23.041648599999998</v>
      </c>
      <c r="V149" s="6"/>
      <c r="W149" s="3">
        <v>45973</v>
      </c>
      <c r="X149">
        <v>24.939500599999999</v>
      </c>
      <c r="Y149">
        <v>788.47123999999997</v>
      </c>
      <c r="Z149">
        <v>158.4016292</v>
      </c>
      <c r="AA149">
        <v>79.373346600000005</v>
      </c>
      <c r="AB149">
        <v>147.58387279999999</v>
      </c>
      <c r="AC149">
        <v>943.68965379999997</v>
      </c>
      <c r="AD149">
        <v>157.6856214</v>
      </c>
      <c r="AE149">
        <v>95.824272800000003</v>
      </c>
      <c r="AF149">
        <v>344.03743459999998</v>
      </c>
      <c r="AG149">
        <v>144.6335756</v>
      </c>
      <c r="AH149">
        <v>701.54961839999999</v>
      </c>
      <c r="AI149">
        <v>158.77257299999999</v>
      </c>
      <c r="AJ149">
        <v>107.6944744</v>
      </c>
      <c r="AK149">
        <v>211.72264379999999</v>
      </c>
      <c r="AL149">
        <v>320.15900579999999</v>
      </c>
      <c r="AM149">
        <v>826.73021100000005</v>
      </c>
      <c r="AN149">
        <v>216.13083639999999</v>
      </c>
      <c r="AO149">
        <v>340.35387639999999</v>
      </c>
      <c r="AP149">
        <v>90.380888200000001</v>
      </c>
      <c r="AQ149">
        <v>71.3764884</v>
      </c>
      <c r="AR149" cm="1">
        <f t="array" ref="AR149">SUMPRODUCT($B$162:$U$162,(B149:U149)/($B$11:$U$11))</f>
        <v>29733.710844433608</v>
      </c>
      <c r="AS149">
        <f t="shared" si="10"/>
        <v>165.37490123625685</v>
      </c>
      <c r="AT149">
        <f t="shared" si="11"/>
        <v>1.0055929728867379</v>
      </c>
      <c r="AU149" cm="1">
        <f t="array" ref="AU149">SUMPRODUCT($X$162:$AQ$162,(X149:AQ149)/($X$11:$AQ$11))</f>
        <v>27219.161300042062</v>
      </c>
      <c r="AV149">
        <f t="shared" si="12"/>
        <v>62.682957410481322</v>
      </c>
      <c r="AW149">
        <f t="shared" si="13"/>
        <v>-62.682957410481322</v>
      </c>
      <c r="AX149">
        <f t="shared" si="14"/>
        <v>102.69194382577552</v>
      </c>
    </row>
    <row r="150" spans="1:50" x14ac:dyDescent="0.2">
      <c r="A150" s="3">
        <v>45974</v>
      </c>
      <c r="B150">
        <v>173.07170099999999</v>
      </c>
      <c r="C150">
        <v>66.408634800000002</v>
      </c>
      <c r="D150">
        <v>219.8947752</v>
      </c>
      <c r="E150">
        <v>78.909690600000005</v>
      </c>
      <c r="F150">
        <v>30.169329300000001</v>
      </c>
      <c r="G150">
        <v>157.86236969999999</v>
      </c>
      <c r="H150">
        <v>77.138564400000007</v>
      </c>
      <c r="I150">
        <v>286.01968590000001</v>
      </c>
      <c r="J150">
        <v>14.418342900000001</v>
      </c>
      <c r="K150">
        <v>49.720499099999998</v>
      </c>
      <c r="L150">
        <v>83.543850899999995</v>
      </c>
      <c r="M150">
        <v>14.315170500000001</v>
      </c>
      <c r="N150">
        <v>84.738931199999996</v>
      </c>
      <c r="O150">
        <v>72.504404100000002</v>
      </c>
      <c r="P150">
        <v>22.474387799999999</v>
      </c>
      <c r="Q150">
        <v>34.855075800000002</v>
      </c>
      <c r="R150">
        <v>51.508820700000001</v>
      </c>
      <c r="S150">
        <v>15.9573312</v>
      </c>
      <c r="T150">
        <v>76.235805900000003</v>
      </c>
      <c r="U150">
        <v>21.4598592</v>
      </c>
      <c r="V150" s="6"/>
      <c r="W150" s="3">
        <v>45974</v>
      </c>
      <c r="X150">
        <v>24.297100199999999</v>
      </c>
      <c r="Y150">
        <v>795.35603160000005</v>
      </c>
      <c r="Z150">
        <v>156.45234690000001</v>
      </c>
      <c r="AA150">
        <v>77.310518400000007</v>
      </c>
      <c r="AB150">
        <v>146.69395739999999</v>
      </c>
      <c r="AC150">
        <v>919.65298050000001</v>
      </c>
      <c r="AD150">
        <v>158.0687145</v>
      </c>
      <c r="AE150">
        <v>96.122286000000003</v>
      </c>
      <c r="AF150">
        <v>338.6891961</v>
      </c>
      <c r="AG150">
        <v>141.56972819999999</v>
      </c>
      <c r="AH150">
        <v>676.24349580000001</v>
      </c>
      <c r="AI150">
        <v>153.35717489999999</v>
      </c>
      <c r="AJ150">
        <v>106.61148</v>
      </c>
      <c r="AK150">
        <v>210.8929833</v>
      </c>
      <c r="AL150">
        <v>316.45554390000001</v>
      </c>
      <c r="AM150">
        <v>794.67681330000005</v>
      </c>
      <c r="AN150">
        <v>211.44323610000001</v>
      </c>
      <c r="AO150">
        <v>326.44607130000003</v>
      </c>
      <c r="AP150">
        <v>89.1753444</v>
      </c>
      <c r="AQ150">
        <v>69.684358500000002</v>
      </c>
      <c r="AR150" cm="1">
        <f t="array" ref="AR150">SUMPRODUCT($B$162:$U$162,(B150:U150)/($B$11:$U$11))</f>
        <v>29047.242624501014</v>
      </c>
      <c r="AS150">
        <f t="shared" si="10"/>
        <v>-686.46821993259437</v>
      </c>
      <c r="AT150">
        <f t="shared" si="11"/>
        <v>0.9769127969420236</v>
      </c>
      <c r="AU150" cm="1">
        <f t="array" ref="AU150">SUMPRODUCT($X$162:$AQ$162,(X150:AQ150)/($X$11:$AQ$11))</f>
        <v>26719.335570580934</v>
      </c>
      <c r="AV150">
        <f t="shared" si="12"/>
        <v>-499.8257294611285</v>
      </c>
      <c r="AW150">
        <f t="shared" si="13"/>
        <v>499.8257294611285</v>
      </c>
      <c r="AX150">
        <f t="shared" si="14"/>
        <v>-186.64249047146586</v>
      </c>
    </row>
    <row r="151" spans="1:50" x14ac:dyDescent="0.2">
      <c r="A151" s="3">
        <v>45975</v>
      </c>
      <c r="B151">
        <v>174.9493411</v>
      </c>
      <c r="C151">
        <v>67.126019999999997</v>
      </c>
      <c r="D151">
        <v>217.6173933</v>
      </c>
      <c r="E151">
        <v>78.847255799999999</v>
      </c>
      <c r="F151">
        <v>31.3426878</v>
      </c>
      <c r="G151">
        <v>157.25561070000001</v>
      </c>
      <c r="H151">
        <v>75.559802000000005</v>
      </c>
      <c r="I151">
        <v>286.31829299999998</v>
      </c>
      <c r="J151">
        <v>14.3374294</v>
      </c>
      <c r="K151">
        <v>49.062235899999997</v>
      </c>
      <c r="L151">
        <v>81.781867700000006</v>
      </c>
      <c r="M151">
        <v>14.191129099999999</v>
      </c>
      <c r="N151">
        <v>85.0090802</v>
      </c>
      <c r="O151">
        <v>73.184573599999993</v>
      </c>
      <c r="P151">
        <v>22.3925518</v>
      </c>
      <c r="Q151">
        <v>34.561294400000001</v>
      </c>
      <c r="R151">
        <v>50.267061900000002</v>
      </c>
      <c r="S151">
        <v>15.740191100000001</v>
      </c>
      <c r="T151">
        <v>75.017630299999993</v>
      </c>
      <c r="U151">
        <v>21.316814300000001</v>
      </c>
      <c r="V151" s="6"/>
      <c r="W151" s="3">
        <v>45975</v>
      </c>
      <c r="X151">
        <v>24.432150100000001</v>
      </c>
      <c r="Y151">
        <v>794.30735819999995</v>
      </c>
      <c r="Z151">
        <v>157.59124080000001</v>
      </c>
      <c r="AA151">
        <v>75.886826200000002</v>
      </c>
      <c r="AB151">
        <v>144.21767220000001</v>
      </c>
      <c r="AC151">
        <v>910.45258460000002</v>
      </c>
      <c r="AD151">
        <v>157.3244579</v>
      </c>
      <c r="AE151">
        <v>96.472138999999999</v>
      </c>
      <c r="AF151">
        <v>335.48379970000002</v>
      </c>
      <c r="AG151">
        <v>142.9612108</v>
      </c>
      <c r="AH151">
        <v>676.05368629999998</v>
      </c>
      <c r="AI151">
        <v>154.09724539999999</v>
      </c>
      <c r="AJ151">
        <v>105.70626969999999</v>
      </c>
      <c r="AK151">
        <v>209.95814229999999</v>
      </c>
      <c r="AL151">
        <v>311.84339240000003</v>
      </c>
      <c r="AM151">
        <v>791.90631210000004</v>
      </c>
      <c r="AN151">
        <v>208.53816879999999</v>
      </c>
      <c r="AO151">
        <v>324.55430669999998</v>
      </c>
      <c r="AP151">
        <v>87.539214799999996</v>
      </c>
      <c r="AQ151">
        <v>67.909156899999999</v>
      </c>
      <c r="AR151" cm="1">
        <f t="array" ref="AR151">SUMPRODUCT($B$162:$U$162,(B151:U151)/($B$11:$U$11))</f>
        <v>28958.838392607726</v>
      </c>
      <c r="AS151">
        <f t="shared" si="10"/>
        <v>-88.404231893287943</v>
      </c>
      <c r="AT151">
        <f t="shared" si="11"/>
        <v>0.99695653618361968</v>
      </c>
      <c r="AU151" cm="1">
        <f t="array" ref="AU151">SUMPRODUCT($X$162:$AQ$162,(X151:AQ151)/($X$11:$AQ$11))</f>
        <v>26548.107281701752</v>
      </c>
      <c r="AV151">
        <f t="shared" si="12"/>
        <v>-171.22828887918149</v>
      </c>
      <c r="AW151">
        <f t="shared" si="13"/>
        <v>171.22828887918149</v>
      </c>
      <c r="AX151">
        <f t="shared" si="14"/>
        <v>82.824056985893549</v>
      </c>
    </row>
    <row r="152" spans="1:50" x14ac:dyDescent="0.2">
      <c r="A152" s="3">
        <v>45978</v>
      </c>
      <c r="B152">
        <v>172.80358680000001</v>
      </c>
      <c r="C152">
        <v>68.161990000000003</v>
      </c>
      <c r="D152">
        <v>212.86385509999999</v>
      </c>
      <c r="E152">
        <v>79.473429100000004</v>
      </c>
      <c r="F152">
        <v>29.421821000000001</v>
      </c>
      <c r="G152">
        <v>156.15998189999999</v>
      </c>
      <c r="H152">
        <v>75.142122900000004</v>
      </c>
      <c r="I152">
        <v>283.01893619999998</v>
      </c>
      <c r="J152">
        <v>14.012034399999999</v>
      </c>
      <c r="K152">
        <v>48.5330625</v>
      </c>
      <c r="L152">
        <v>77.609759499999996</v>
      </c>
      <c r="M152">
        <v>14.0896873</v>
      </c>
      <c r="N152">
        <v>84.615776699999998</v>
      </c>
      <c r="O152">
        <v>69.620138900000001</v>
      </c>
      <c r="P152">
        <v>21.880861599999999</v>
      </c>
      <c r="Q152">
        <v>33.649590000000003</v>
      </c>
      <c r="R152">
        <v>48.110285599999997</v>
      </c>
      <c r="S152">
        <v>15.1250593</v>
      </c>
      <c r="T152">
        <v>75.599412200000003</v>
      </c>
      <c r="U152">
        <v>21.363175600000002</v>
      </c>
      <c r="V152" s="6"/>
      <c r="W152" s="3">
        <v>45978</v>
      </c>
      <c r="X152">
        <v>24.193192400000001</v>
      </c>
      <c r="Y152">
        <v>787.39177789999997</v>
      </c>
      <c r="Z152">
        <v>155.3489405</v>
      </c>
      <c r="AA152">
        <v>74.279312899999994</v>
      </c>
      <c r="AB152">
        <v>142.7001459</v>
      </c>
      <c r="AC152">
        <v>883.34487799999999</v>
      </c>
      <c r="AD152">
        <v>156.05644469999999</v>
      </c>
      <c r="AE152">
        <v>95.323248800000002</v>
      </c>
      <c r="AF152">
        <v>336.70297440000002</v>
      </c>
      <c r="AG152">
        <v>141.57849289999999</v>
      </c>
      <c r="AH152">
        <v>670.29983279999999</v>
      </c>
      <c r="AI152">
        <v>151.43178309999999</v>
      </c>
      <c r="AJ152">
        <v>106.5742912</v>
      </c>
      <c r="AK152">
        <v>208.2909621</v>
      </c>
      <c r="AL152">
        <v>308.91186429999999</v>
      </c>
      <c r="AM152">
        <v>773.94919809999999</v>
      </c>
      <c r="AN152">
        <v>205.21073039999999</v>
      </c>
      <c r="AO152">
        <v>319.32598100000001</v>
      </c>
      <c r="AP152">
        <v>84.054950199999993</v>
      </c>
      <c r="AQ152">
        <v>66.306948500000004</v>
      </c>
      <c r="AR152" cm="1">
        <f t="array" ref="AR152">SUMPRODUCT($B$162:$U$162,(B152:U152)/($B$11:$U$11))</f>
        <v>28501.205977949168</v>
      </c>
      <c r="AS152">
        <f t="shared" si="10"/>
        <v>-457.63241465855754</v>
      </c>
      <c r="AT152">
        <f t="shared" si="11"/>
        <v>0.98419714187239715</v>
      </c>
      <c r="AU152" cm="1">
        <f t="array" ref="AU152">SUMPRODUCT($X$162:$AQ$162,(X152:AQ152)/($X$11:$AQ$11))</f>
        <v>26165.079145685817</v>
      </c>
      <c r="AV152">
        <f t="shared" si="12"/>
        <v>-383.02813601593516</v>
      </c>
      <c r="AW152">
        <f t="shared" si="13"/>
        <v>383.02813601593516</v>
      </c>
      <c r="AX152">
        <f t="shared" si="14"/>
        <v>-74.604278642622376</v>
      </c>
    </row>
    <row r="153" spans="1:50" x14ac:dyDescent="0.2">
      <c r="A153" s="3">
        <v>45979</v>
      </c>
      <c r="B153">
        <v>173.7796286</v>
      </c>
      <c r="C153">
        <v>68.9694918</v>
      </c>
      <c r="D153">
        <v>217.13385460000001</v>
      </c>
      <c r="E153">
        <v>78.469421800000006</v>
      </c>
      <c r="F153">
        <v>30.140687</v>
      </c>
      <c r="G153">
        <v>157.1202059</v>
      </c>
      <c r="H153">
        <v>74.790357999999998</v>
      </c>
      <c r="I153">
        <v>287.9946961</v>
      </c>
      <c r="J153">
        <v>14.0167149</v>
      </c>
      <c r="K153">
        <v>48.518733400000002</v>
      </c>
      <c r="L153">
        <v>79.384869600000002</v>
      </c>
      <c r="M153">
        <v>13.9476245</v>
      </c>
      <c r="N153">
        <v>84.463014000000001</v>
      </c>
      <c r="O153">
        <v>70.066301899999999</v>
      </c>
      <c r="P153">
        <v>22.247108799999999</v>
      </c>
      <c r="Q153">
        <v>34.545200000000001</v>
      </c>
      <c r="R153">
        <v>49.3391819</v>
      </c>
      <c r="S153">
        <v>15.407159200000001</v>
      </c>
      <c r="T153">
        <v>75.774896200000001</v>
      </c>
      <c r="U153">
        <v>21.5216596</v>
      </c>
      <c r="V153" s="6"/>
      <c r="W153" s="3">
        <v>45979</v>
      </c>
      <c r="X153">
        <v>23.784370200000001</v>
      </c>
      <c r="Y153">
        <v>773.01794040000004</v>
      </c>
      <c r="Z153">
        <v>155.26340139999999</v>
      </c>
      <c r="AA153">
        <v>76.051257800000002</v>
      </c>
      <c r="AB153">
        <v>143.18121769999999</v>
      </c>
      <c r="AC153">
        <v>880.15987819999998</v>
      </c>
      <c r="AD153">
        <v>155.6693075</v>
      </c>
      <c r="AE153">
        <v>94.964754799999994</v>
      </c>
      <c r="AF153">
        <v>331.47846659999999</v>
      </c>
      <c r="AG153">
        <v>139.32942790000001</v>
      </c>
      <c r="AH153">
        <v>672.91458709999995</v>
      </c>
      <c r="AI153">
        <v>150.90206989999999</v>
      </c>
      <c r="AJ153">
        <v>106.917394</v>
      </c>
      <c r="AK153">
        <v>208.93800590000001</v>
      </c>
      <c r="AL153">
        <v>290.59422239999998</v>
      </c>
      <c r="AM153">
        <v>740.09636479999995</v>
      </c>
      <c r="AN153">
        <v>207.4784712</v>
      </c>
      <c r="AO153">
        <v>316.09721630000001</v>
      </c>
      <c r="AP153">
        <v>84.1866524</v>
      </c>
      <c r="AQ153">
        <v>65.437245099999998</v>
      </c>
      <c r="AR153" cm="1">
        <f t="array" ref="AR153">SUMPRODUCT($B$162:$U$162,(B153:U153)/($B$11:$U$11))</f>
        <v>28773.776292952622</v>
      </c>
      <c r="AS153">
        <f t="shared" si="10"/>
        <v>272.57031500345329</v>
      </c>
      <c r="AT153">
        <f t="shared" si="11"/>
        <v>1.0095634660236601</v>
      </c>
      <c r="AU153" cm="1">
        <f t="array" ref="AU153">SUMPRODUCT($X$162:$AQ$162,(X153:AQ153)/($X$11:$AQ$11))</f>
        <v>25982.530214637802</v>
      </c>
      <c r="AV153">
        <f t="shared" si="12"/>
        <v>-182.54893104801522</v>
      </c>
      <c r="AW153">
        <f t="shared" si="13"/>
        <v>182.54893104801522</v>
      </c>
      <c r="AX153">
        <f t="shared" si="14"/>
        <v>455.11924605146851</v>
      </c>
    </row>
    <row r="154" spans="1:50" x14ac:dyDescent="0.2">
      <c r="A154" s="3">
        <v>45980</v>
      </c>
      <c r="B154">
        <v>175.155711</v>
      </c>
      <c r="C154">
        <v>69.347999999999999</v>
      </c>
      <c r="D154">
        <v>221.9136</v>
      </c>
      <c r="E154">
        <v>77.609080500000005</v>
      </c>
      <c r="F154">
        <v>29.238850500000002</v>
      </c>
      <c r="G154">
        <v>156.1456905</v>
      </c>
      <c r="H154">
        <v>75.858043499999994</v>
      </c>
      <c r="I154">
        <v>300.242166</v>
      </c>
      <c r="J154">
        <v>13.921611</v>
      </c>
      <c r="K154">
        <v>48.586942499999999</v>
      </c>
      <c r="L154">
        <v>79.169410499999998</v>
      </c>
      <c r="M154">
        <v>13.626882</v>
      </c>
      <c r="N154">
        <v>85.176681000000002</v>
      </c>
      <c r="O154">
        <v>68.238432000000003</v>
      </c>
      <c r="P154">
        <v>22.607448000000002</v>
      </c>
      <c r="Q154">
        <v>35.757562499999999</v>
      </c>
      <c r="R154">
        <v>49.297759499999998</v>
      </c>
      <c r="S154">
        <v>15.412592999999999</v>
      </c>
      <c r="T154">
        <v>74.999861999999993</v>
      </c>
      <c r="U154">
        <v>20.960432999999998</v>
      </c>
      <c r="V154" s="6"/>
      <c r="W154" s="3">
        <v>45980</v>
      </c>
      <c r="X154">
        <v>23.795032500000001</v>
      </c>
      <c r="Y154">
        <v>772.01661000000001</v>
      </c>
      <c r="Z154">
        <v>155.720934</v>
      </c>
      <c r="AA154">
        <v>74.471083500000006</v>
      </c>
      <c r="AB154">
        <v>144.39987300000001</v>
      </c>
      <c r="AC154">
        <v>879.57535800000005</v>
      </c>
      <c r="AD154">
        <v>153.5451405</v>
      </c>
      <c r="AE154">
        <v>94.963417500000006</v>
      </c>
      <c r="AF154">
        <v>334.86415499999998</v>
      </c>
      <c r="AG154">
        <v>139.5368445</v>
      </c>
      <c r="AH154">
        <v>663.20959800000003</v>
      </c>
      <c r="AI154">
        <v>151.36067850000001</v>
      </c>
      <c r="AJ154">
        <v>106.10244</v>
      </c>
      <c r="AK154">
        <v>208.9715295</v>
      </c>
      <c r="AL154">
        <v>289.96132499999999</v>
      </c>
      <c r="AM154">
        <v>766.85885250000001</v>
      </c>
      <c r="AN154">
        <v>202.738878</v>
      </c>
      <c r="AO154">
        <v>322.88428800000003</v>
      </c>
      <c r="AP154">
        <v>84.4398585</v>
      </c>
      <c r="AQ154">
        <v>62.725265999999998</v>
      </c>
      <c r="AR154" cm="1">
        <f t="array" ref="AR154">SUMPRODUCT($B$162:$U$162,(B154:U154)/($B$11:$U$11))</f>
        <v>28883.512703342127</v>
      </c>
      <c r="AS154">
        <f t="shared" si="10"/>
        <v>109.73641038950518</v>
      </c>
      <c r="AT154">
        <f t="shared" si="11"/>
        <v>1.0038137646331942</v>
      </c>
      <c r="AU154" cm="1">
        <f t="array" ref="AU154">SUMPRODUCT($X$162:$AQ$162,(X154:AQ154)/($X$11:$AQ$11))</f>
        <v>25930.030377230825</v>
      </c>
      <c r="AV154">
        <f t="shared" si="12"/>
        <v>-52.49983740697644</v>
      </c>
      <c r="AW154">
        <f t="shared" si="13"/>
        <v>52.49983740697644</v>
      </c>
      <c r="AX154">
        <f t="shared" si="14"/>
        <v>162.23624779648162</v>
      </c>
    </row>
    <row r="155" spans="1:50" x14ac:dyDescent="0.2">
      <c r="A155" s="3">
        <v>45981</v>
      </c>
      <c r="B155">
        <v>171.70153759999999</v>
      </c>
      <c r="C155">
        <v>69.211543399999996</v>
      </c>
      <c r="D155">
        <v>219.24218160000001</v>
      </c>
      <c r="E155">
        <v>72.317300799999998</v>
      </c>
      <c r="F155">
        <v>27.379246800000001</v>
      </c>
      <c r="G155">
        <v>156.21612709999999</v>
      </c>
      <c r="H155">
        <v>71.137460000000004</v>
      </c>
      <c r="I155">
        <v>271.44146169999999</v>
      </c>
      <c r="J155">
        <v>14.010609499999999</v>
      </c>
      <c r="K155">
        <v>48.225992699999999</v>
      </c>
      <c r="L155">
        <v>78.121076500000001</v>
      </c>
      <c r="M155">
        <v>13.7416752</v>
      </c>
      <c r="N155">
        <v>84.401993700000006</v>
      </c>
      <c r="O155">
        <v>67.485158699999999</v>
      </c>
      <c r="P155">
        <v>21.965859600000002</v>
      </c>
      <c r="Q155">
        <v>34.380213900000001</v>
      </c>
      <c r="R155">
        <v>48.555654099999998</v>
      </c>
      <c r="S155">
        <v>15.181775</v>
      </c>
      <c r="T155">
        <v>75.804771400000007</v>
      </c>
      <c r="U155">
        <v>19.3979708</v>
      </c>
      <c r="V155" s="6"/>
      <c r="W155" s="3">
        <v>45981</v>
      </c>
      <c r="X155">
        <v>24.247463499999999</v>
      </c>
      <c r="Y155">
        <v>774.95587369999998</v>
      </c>
      <c r="Z155">
        <v>154.44636589999999</v>
      </c>
      <c r="AA155">
        <v>75.136773300000002</v>
      </c>
      <c r="AB155">
        <v>142.80411330000001</v>
      </c>
      <c r="AC155">
        <v>861.04087560000005</v>
      </c>
      <c r="AD155">
        <v>155.2444935</v>
      </c>
      <c r="AE155">
        <v>94.092303799999996</v>
      </c>
      <c r="AF155">
        <v>334.51956799999999</v>
      </c>
      <c r="AG155">
        <v>138.72672230000001</v>
      </c>
      <c r="AH155">
        <v>653.08525929999996</v>
      </c>
      <c r="AI155">
        <v>147.19381509999999</v>
      </c>
      <c r="AJ155">
        <v>106.81029359999999</v>
      </c>
      <c r="AK155">
        <v>209.161483</v>
      </c>
      <c r="AL155">
        <v>288.34962139999999</v>
      </c>
      <c r="AM155">
        <v>743.63804070000003</v>
      </c>
      <c r="AN155">
        <v>199.7140813</v>
      </c>
      <c r="AO155">
        <v>319.85831100000001</v>
      </c>
      <c r="AP155">
        <v>84.419344300000006</v>
      </c>
      <c r="AQ155">
        <v>60.970008399999998</v>
      </c>
      <c r="AR155" cm="1">
        <f t="array" ref="AR155">SUMPRODUCT($B$162:$U$162,(B155:U155)/($B$11:$U$11))</f>
        <v>28172.43144102949</v>
      </c>
      <c r="AS155">
        <f t="shared" si="10"/>
        <v>-711.08126231263668</v>
      </c>
      <c r="AT155">
        <f t="shared" si="11"/>
        <v>0.97538106706008931</v>
      </c>
      <c r="AU155" cm="1">
        <f t="array" ref="AU155">SUMPRODUCT($X$162:$AQ$162,(X155:AQ155)/($X$11:$AQ$11))</f>
        <v>25792.974041261197</v>
      </c>
      <c r="AV155">
        <f t="shared" si="12"/>
        <v>-137.05633596962798</v>
      </c>
      <c r="AW155">
        <f t="shared" si="13"/>
        <v>137.05633596962798</v>
      </c>
      <c r="AX155">
        <f t="shared" si="14"/>
        <v>-574.0249263430087</v>
      </c>
    </row>
    <row r="156" spans="1:50" x14ac:dyDescent="0.2">
      <c r="A156" s="3">
        <v>45982</v>
      </c>
      <c r="B156">
        <v>171.38305439999999</v>
      </c>
      <c r="C156">
        <v>68.838165200000006</v>
      </c>
      <c r="D156">
        <v>229.4229057</v>
      </c>
      <c r="E156">
        <v>72.860385100000002</v>
      </c>
      <c r="F156">
        <v>27.9644187</v>
      </c>
      <c r="G156">
        <v>159.04708840000001</v>
      </c>
      <c r="H156">
        <v>72.530267699999996</v>
      </c>
      <c r="I156">
        <v>287.69731410000003</v>
      </c>
      <c r="J156">
        <v>14.455667200000001</v>
      </c>
      <c r="K156">
        <v>50.108346400000002</v>
      </c>
      <c r="L156">
        <v>80.096906000000004</v>
      </c>
      <c r="M156">
        <v>13.6129991</v>
      </c>
      <c r="N156">
        <v>85.986895399999995</v>
      </c>
      <c r="O156">
        <v>68.230054199999998</v>
      </c>
      <c r="P156">
        <v>23.073468800000001</v>
      </c>
      <c r="Q156">
        <v>34.636265100000003</v>
      </c>
      <c r="R156">
        <v>50.881516099999999</v>
      </c>
      <c r="S156">
        <v>15.810886</v>
      </c>
      <c r="T156">
        <v>77.325657300000003</v>
      </c>
      <c r="U156">
        <v>20.6062756</v>
      </c>
      <c r="V156" s="6"/>
      <c r="W156" s="3">
        <v>45982</v>
      </c>
      <c r="X156">
        <v>24.489498699999999</v>
      </c>
      <c r="Y156">
        <v>780.99695729999996</v>
      </c>
      <c r="Z156">
        <v>159.48145339999999</v>
      </c>
      <c r="AA156">
        <v>78.098827</v>
      </c>
      <c r="AB156">
        <v>146.02482570000001</v>
      </c>
      <c r="AC156">
        <v>881.5177056</v>
      </c>
      <c r="AD156">
        <v>157.17063160000001</v>
      </c>
      <c r="AE156">
        <v>96.828645800000004</v>
      </c>
      <c r="AF156">
        <v>337.37998279999999</v>
      </c>
      <c r="AG156">
        <v>140.8558822</v>
      </c>
      <c r="AH156">
        <v>655.61315639999998</v>
      </c>
      <c r="AI156">
        <v>150.0383583</v>
      </c>
      <c r="AJ156">
        <v>109.2775467</v>
      </c>
      <c r="AK156">
        <v>215.24523210000001</v>
      </c>
      <c r="AL156">
        <v>298.25238359999997</v>
      </c>
      <c r="AM156">
        <v>757.83661549999999</v>
      </c>
      <c r="AN156">
        <v>208.4778254</v>
      </c>
      <c r="AO156">
        <v>329.01411289999999</v>
      </c>
      <c r="AP156">
        <v>87.142306300000001</v>
      </c>
      <c r="AQ156">
        <v>64.398954900000007</v>
      </c>
      <c r="AR156" cm="1">
        <f t="array" ref="AR156">SUMPRODUCT($B$162:$U$162,(B156:U156)/($B$11:$U$11))</f>
        <v>28808.661865544869</v>
      </c>
      <c r="AS156">
        <f t="shared" si="10"/>
        <v>636.23042451537913</v>
      </c>
      <c r="AT156">
        <f t="shared" si="11"/>
        <v>1.022583440334113</v>
      </c>
      <c r="AU156" cm="1">
        <f t="array" ref="AU156">SUMPRODUCT($X$162:$AQ$162,(X156:AQ156)/($X$11:$AQ$11))</f>
        <v>26434.521628266284</v>
      </c>
      <c r="AV156">
        <f t="shared" si="12"/>
        <v>641.54758700508683</v>
      </c>
      <c r="AW156">
        <f t="shared" si="13"/>
        <v>-641.54758700508683</v>
      </c>
      <c r="AX156">
        <f t="shared" si="14"/>
        <v>-5.3171624897076981</v>
      </c>
    </row>
    <row r="157" spans="1:50" x14ac:dyDescent="0.2">
      <c r="A157" s="3"/>
      <c r="V157" s="6"/>
      <c r="W157" s="3"/>
      <c r="AF157" s="2"/>
    </row>
    <row r="158" spans="1:50" x14ac:dyDescent="0.2">
      <c r="V158" s="6"/>
    </row>
    <row r="159" spans="1:50" x14ac:dyDescent="0.2">
      <c r="A159" t="s">
        <v>24</v>
      </c>
      <c r="B159">
        <f>B156-B11</f>
        <v>51.997721399999989</v>
      </c>
      <c r="C159">
        <f t="shared" ref="C159:U159" si="15">C156-C11</f>
        <v>8.8609352000000072</v>
      </c>
      <c r="D159">
        <f t="shared" si="15"/>
        <v>40.026195900000005</v>
      </c>
      <c r="E159">
        <f t="shared" si="15"/>
        <v>4.2762036999999964</v>
      </c>
      <c r="F159">
        <f t="shared" si="15"/>
        <v>-4.6684479000000003</v>
      </c>
      <c r="G159">
        <f t="shared" si="15"/>
        <v>20.258902599999999</v>
      </c>
      <c r="H159">
        <f t="shared" si="15"/>
        <v>25.187657099999996</v>
      </c>
      <c r="I159">
        <f t="shared" si="15"/>
        <v>60.466792500000025</v>
      </c>
      <c r="J159">
        <f t="shared" si="15"/>
        <v>-5.7789865999999996</v>
      </c>
      <c r="K159">
        <f t="shared" si="15"/>
        <v>4.7970814000000033</v>
      </c>
      <c r="L159">
        <f t="shared" si="15"/>
        <v>19.821978800000004</v>
      </c>
      <c r="M159">
        <f t="shared" si="15"/>
        <v>-1.5170233</v>
      </c>
      <c r="N159">
        <f t="shared" si="15"/>
        <v>5.3722447999999901</v>
      </c>
      <c r="O159">
        <f t="shared" si="15"/>
        <v>-1.5011369999999999</v>
      </c>
      <c r="P159">
        <f t="shared" si="15"/>
        <v>6.5600300000000011</v>
      </c>
      <c r="Q159">
        <f t="shared" si="15"/>
        <v>2.0296659000000048</v>
      </c>
      <c r="R159">
        <f t="shared" si="15"/>
        <v>14.142179300000002</v>
      </c>
      <c r="S159">
        <f t="shared" si="15"/>
        <v>0.54077080000000066</v>
      </c>
      <c r="T159">
        <f t="shared" si="15"/>
        <v>7.1216529000000008</v>
      </c>
      <c r="U159">
        <f t="shared" si="15"/>
        <v>-3.4371511999999989</v>
      </c>
      <c r="V159" s="6"/>
      <c r="W159" t="s">
        <v>24</v>
      </c>
      <c r="X159">
        <f>X156-X11</f>
        <v>-5.2889771000000003</v>
      </c>
      <c r="Y159">
        <f t="shared" ref="Y159:AQ159" si="16">Y156-Y11</f>
        <v>-75.793095900000026</v>
      </c>
      <c r="Z159">
        <f t="shared" si="16"/>
        <v>10.343911999999989</v>
      </c>
      <c r="AA159">
        <f t="shared" si="16"/>
        <v>26.317025800000003</v>
      </c>
      <c r="AB159">
        <f t="shared" si="16"/>
        <v>25.256076300000004</v>
      </c>
      <c r="AC159">
        <f t="shared" si="16"/>
        <v>81.465236399999981</v>
      </c>
      <c r="AD159">
        <f t="shared" si="16"/>
        <v>-35.859735199999989</v>
      </c>
      <c r="AE159">
        <f t="shared" si="16"/>
        <v>-29.394966999999994</v>
      </c>
      <c r="AF159">
        <f t="shared" si="16"/>
        <v>-51.351269800000011</v>
      </c>
      <c r="AG159">
        <f t="shared" si="16"/>
        <v>-57.45423199999999</v>
      </c>
      <c r="AH159">
        <f t="shared" si="16"/>
        <v>-83.971758000000023</v>
      </c>
      <c r="AI159">
        <f t="shared" si="16"/>
        <v>24.007373099999995</v>
      </c>
      <c r="AJ159">
        <f t="shared" si="16"/>
        <v>18.812621100000001</v>
      </c>
      <c r="AK159">
        <f t="shared" si="16"/>
        <v>5.0009625000000142</v>
      </c>
      <c r="AL159">
        <f t="shared" si="16"/>
        <v>-14.259630000000016</v>
      </c>
      <c r="AM159">
        <f t="shared" si="16"/>
        <v>245.43844369999999</v>
      </c>
      <c r="AN159">
        <f t="shared" si="16"/>
        <v>-46.604895999999997</v>
      </c>
      <c r="AO159">
        <f t="shared" si="16"/>
        <v>113.14861969999998</v>
      </c>
      <c r="AP159">
        <f t="shared" si="16"/>
        <v>9.4520928999999967</v>
      </c>
      <c r="AQ159">
        <f t="shared" si="16"/>
        <v>15.121312500000009</v>
      </c>
      <c r="AX159">
        <f>SUM(AX11:AX156)</f>
        <v>2374.1402372785851</v>
      </c>
    </row>
    <row r="160" spans="1:50" x14ac:dyDescent="0.2">
      <c r="A160" t="s">
        <v>25</v>
      </c>
      <c r="B160">
        <f>B156/B11</f>
        <v>1.4355453060553089</v>
      </c>
      <c r="C160">
        <f t="shared" ref="C160:U160" si="17">C156/C11</f>
        <v>1.1477383200257831</v>
      </c>
      <c r="D160">
        <f t="shared" si="17"/>
        <v>1.2113352229944598</v>
      </c>
      <c r="E160">
        <f t="shared" si="17"/>
        <v>1.0623497082375324</v>
      </c>
      <c r="F160">
        <f t="shared" si="17"/>
        <v>0.85694030631069351</v>
      </c>
      <c r="G160">
        <f t="shared" si="17"/>
        <v>1.1459699360087752</v>
      </c>
      <c r="H160">
        <f t="shared" si="17"/>
        <v>1.532029323706116</v>
      </c>
      <c r="I160">
        <f t="shared" si="17"/>
        <v>1.2661033037033702</v>
      </c>
      <c r="J160">
        <f t="shared" si="17"/>
        <v>0.71440150856448059</v>
      </c>
      <c r="K160">
        <f t="shared" si="17"/>
        <v>1.1058695094917346</v>
      </c>
      <c r="L160">
        <f t="shared" si="17"/>
        <v>1.3288594399165032</v>
      </c>
      <c r="M160">
        <f t="shared" si="17"/>
        <v>0.89973423304383215</v>
      </c>
      <c r="N160">
        <f t="shared" si="17"/>
        <v>1.0666410479982902</v>
      </c>
      <c r="O160">
        <f t="shared" si="17"/>
        <v>0.97847251747507791</v>
      </c>
      <c r="P160">
        <f t="shared" si="17"/>
        <v>1.3972540231898882</v>
      </c>
      <c r="Q160">
        <f t="shared" si="17"/>
        <v>1.0622470895400833</v>
      </c>
      <c r="R160">
        <f t="shared" si="17"/>
        <v>1.3849328956858036</v>
      </c>
      <c r="S160">
        <f t="shared" si="17"/>
        <v>1.0354136686539208</v>
      </c>
      <c r="T160">
        <f t="shared" si="17"/>
        <v>1.1014422604645613</v>
      </c>
      <c r="U160">
        <f t="shared" si="17"/>
        <v>0.85704403833150777</v>
      </c>
      <c r="V160" s="6"/>
      <c r="W160" t="s">
        <v>25</v>
      </c>
      <c r="X160">
        <f>X156/X11</f>
        <v>0.82238926076935071</v>
      </c>
      <c r="Y160">
        <f t="shared" ref="Y160:AQ160" si="18">Y156/Y11</f>
        <v>0.91153831021155929</v>
      </c>
      <c r="Z160">
        <f t="shared" si="18"/>
        <v>1.0693582038626794</v>
      </c>
      <c r="AA160">
        <f t="shared" si="18"/>
        <v>1.508229246378552</v>
      </c>
      <c r="AB160">
        <f t="shared" si="18"/>
        <v>1.2091275799863503</v>
      </c>
      <c r="AC160">
        <f t="shared" si="18"/>
        <v>1.1018248671633497</v>
      </c>
      <c r="AD160">
        <f t="shared" si="18"/>
        <v>0.81422749283197249</v>
      </c>
      <c r="AE160">
        <f t="shared" si="18"/>
        <v>0.7671199045255026</v>
      </c>
      <c r="AF160">
        <f t="shared" si="18"/>
        <v>0.86790033099592356</v>
      </c>
      <c r="AG160">
        <f t="shared" si="18"/>
        <v>0.71028087885595104</v>
      </c>
      <c r="AH160">
        <f t="shared" si="18"/>
        <v>0.88646096429897647</v>
      </c>
      <c r="AI160">
        <f t="shared" si="18"/>
        <v>1.1904878634559781</v>
      </c>
      <c r="AJ160">
        <f t="shared" si="18"/>
        <v>1.2079548617901035</v>
      </c>
      <c r="AK160">
        <f t="shared" si="18"/>
        <v>1.0237864390288238</v>
      </c>
      <c r="AL160">
        <f t="shared" si="18"/>
        <v>0.95437093814175211</v>
      </c>
      <c r="AM160">
        <f t="shared" si="18"/>
        <v>1.4789994523942211</v>
      </c>
      <c r="AN160">
        <f t="shared" si="18"/>
        <v>0.81729497104228399</v>
      </c>
      <c r="AO160">
        <f t="shared" si="18"/>
        <v>1.5241626071063032</v>
      </c>
      <c r="AP160">
        <f t="shared" si="18"/>
        <v>1.1216638812836623</v>
      </c>
      <c r="AQ160">
        <f t="shared" si="18"/>
        <v>1.3068594957781505</v>
      </c>
    </row>
    <row r="161" spans="1:43" x14ac:dyDescent="0.2">
      <c r="V161" s="6"/>
    </row>
    <row r="162" spans="1:43" x14ac:dyDescent="0.2">
      <c r="A162" t="s">
        <v>26</v>
      </c>
      <c r="B162">
        <f>B8*$B$1</f>
        <v>2497.5</v>
      </c>
      <c r="C162">
        <f t="shared" ref="C162:U162" si="19">C8*$B$1</f>
        <v>2495</v>
      </c>
      <c r="D162">
        <f t="shared" si="19"/>
        <v>2493</v>
      </c>
      <c r="E162">
        <f t="shared" si="19"/>
        <v>1303.5</v>
      </c>
      <c r="F162">
        <f t="shared" si="19"/>
        <v>1101.5</v>
      </c>
      <c r="G162">
        <f t="shared" si="19"/>
        <v>1029.5</v>
      </c>
      <c r="H162">
        <f t="shared" si="19"/>
        <v>1028</v>
      </c>
      <c r="I162">
        <f t="shared" si="19"/>
        <v>1014</v>
      </c>
      <c r="J162">
        <f t="shared" si="19"/>
        <v>1007.5000000000001</v>
      </c>
      <c r="K162">
        <f t="shared" si="19"/>
        <v>1005</v>
      </c>
      <c r="L162">
        <f t="shared" si="19"/>
        <v>1004.5</v>
      </c>
      <c r="M162">
        <f t="shared" si="19"/>
        <v>1004</v>
      </c>
      <c r="N162">
        <f t="shared" si="19"/>
        <v>1003.5</v>
      </c>
      <c r="O162">
        <f t="shared" si="19"/>
        <v>1003.0000000000001</v>
      </c>
      <c r="P162">
        <f t="shared" si="19"/>
        <v>1003.0000000000001</v>
      </c>
      <c r="Q162">
        <f t="shared" si="19"/>
        <v>1002.4999999999999</v>
      </c>
      <c r="R162">
        <f t="shared" si="19"/>
        <v>1001.9999999999999</v>
      </c>
      <c r="S162">
        <f t="shared" si="19"/>
        <v>1001.5</v>
      </c>
      <c r="T162">
        <f t="shared" si="19"/>
        <v>1001.5</v>
      </c>
      <c r="U162">
        <f t="shared" si="19"/>
        <v>1000.5</v>
      </c>
      <c r="V162" s="6"/>
      <c r="W162" t="s">
        <v>26</v>
      </c>
      <c r="X162">
        <f>X8*$B$1</f>
        <v>2496.5</v>
      </c>
      <c r="Y162">
        <f t="shared" ref="Y162:AQ162" si="20">Y8*$B$1</f>
        <v>2493</v>
      </c>
      <c r="Z162">
        <f t="shared" si="20"/>
        <v>1970.5</v>
      </c>
      <c r="AA162">
        <f t="shared" si="20"/>
        <v>1905.5</v>
      </c>
      <c r="AB162">
        <f t="shared" si="20"/>
        <v>1057.5</v>
      </c>
      <c r="AC162">
        <f t="shared" si="20"/>
        <v>1014.5</v>
      </c>
      <c r="AD162">
        <f t="shared" si="20"/>
        <v>1010</v>
      </c>
      <c r="AE162">
        <f t="shared" si="20"/>
        <v>1008</v>
      </c>
      <c r="AF162">
        <f t="shared" si="20"/>
        <v>1008</v>
      </c>
      <c r="AG162">
        <f t="shared" si="20"/>
        <v>1007.0000000000001</v>
      </c>
      <c r="AH162">
        <f t="shared" si="20"/>
        <v>1004.5</v>
      </c>
      <c r="AI162">
        <f t="shared" si="20"/>
        <v>1004</v>
      </c>
      <c r="AJ162">
        <f t="shared" si="20"/>
        <v>1004</v>
      </c>
      <c r="AK162">
        <f t="shared" si="20"/>
        <v>1004</v>
      </c>
      <c r="AL162">
        <f t="shared" si="20"/>
        <v>1003.0000000000001</v>
      </c>
      <c r="AM162">
        <f t="shared" si="20"/>
        <v>1002.4999999999999</v>
      </c>
      <c r="AN162">
        <f t="shared" si="20"/>
        <v>1002.4999999999999</v>
      </c>
      <c r="AO162">
        <f t="shared" si="20"/>
        <v>1002.4999999999999</v>
      </c>
      <c r="AP162">
        <f t="shared" si="20"/>
        <v>1001.9999999999999</v>
      </c>
      <c r="AQ162">
        <f t="shared" si="20"/>
        <v>1001</v>
      </c>
    </row>
    <row r="163" spans="1:43" x14ac:dyDescent="0.2">
      <c r="A163" t="s">
        <v>27</v>
      </c>
      <c r="B163">
        <f>B160*B162</f>
        <v>3585.2744018731341</v>
      </c>
      <c r="C163">
        <f t="shared" ref="C163:U163" si="21">C160*C162</f>
        <v>2863.607108464329</v>
      </c>
      <c r="D163">
        <f t="shared" si="21"/>
        <v>3019.8587109251885</v>
      </c>
      <c r="E163">
        <f t="shared" si="21"/>
        <v>1384.7728446876235</v>
      </c>
      <c r="F163">
        <f t="shared" si="21"/>
        <v>943.91974740122885</v>
      </c>
      <c r="G163">
        <f t="shared" si="21"/>
        <v>1179.776049121034</v>
      </c>
      <c r="H163">
        <f t="shared" si="21"/>
        <v>1574.9261447698873</v>
      </c>
      <c r="I163">
        <f t="shared" si="21"/>
        <v>1283.8287499552173</v>
      </c>
      <c r="J163">
        <f t="shared" si="21"/>
        <v>719.75951987871429</v>
      </c>
      <c r="K163">
        <f t="shared" si="21"/>
        <v>1111.3988570391932</v>
      </c>
      <c r="L163">
        <f t="shared" si="21"/>
        <v>1334.8393073961274</v>
      </c>
      <c r="M163">
        <f t="shared" si="21"/>
        <v>903.33316997600753</v>
      </c>
      <c r="N163">
        <f t="shared" si="21"/>
        <v>1070.3742916662843</v>
      </c>
      <c r="O163">
        <f t="shared" si="21"/>
        <v>981.4079350275033</v>
      </c>
      <c r="P163">
        <f t="shared" si="21"/>
        <v>1401.445785259458</v>
      </c>
      <c r="Q163">
        <f t="shared" si="21"/>
        <v>1064.9027072639333</v>
      </c>
      <c r="R163">
        <f t="shared" si="21"/>
        <v>1387.702761477175</v>
      </c>
      <c r="S163">
        <f t="shared" si="21"/>
        <v>1036.9667891569018</v>
      </c>
      <c r="T163">
        <f t="shared" si="21"/>
        <v>1103.0944238552581</v>
      </c>
      <c r="U163">
        <f t="shared" si="21"/>
        <v>857.47256035067358</v>
      </c>
      <c r="V163" s="6"/>
      <c r="W163" t="s">
        <v>27</v>
      </c>
      <c r="X163">
        <f>X162*X160</f>
        <v>2053.0947895106842</v>
      </c>
      <c r="Y163">
        <f t="shared" ref="Y163:AQ163" si="22">Y162*Y160</f>
        <v>2272.4650073574171</v>
      </c>
      <c r="Z163">
        <f t="shared" si="22"/>
        <v>2107.1703407114096</v>
      </c>
      <c r="AA163">
        <f t="shared" si="22"/>
        <v>2873.9308289743308</v>
      </c>
      <c r="AB163">
        <f t="shared" si="22"/>
        <v>1278.6524158355655</v>
      </c>
      <c r="AC163">
        <f t="shared" si="22"/>
        <v>1117.8013277372183</v>
      </c>
      <c r="AD163">
        <f t="shared" si="22"/>
        <v>822.36976776029223</v>
      </c>
      <c r="AE163">
        <f t="shared" si="22"/>
        <v>773.25686376170665</v>
      </c>
      <c r="AF163">
        <f t="shared" si="22"/>
        <v>874.84353364389096</v>
      </c>
      <c r="AG163">
        <f t="shared" si="22"/>
        <v>715.25284500794282</v>
      </c>
      <c r="AH163">
        <f t="shared" si="22"/>
        <v>890.45003863832187</v>
      </c>
      <c r="AI163">
        <f t="shared" si="22"/>
        <v>1195.2498149098021</v>
      </c>
      <c r="AJ163">
        <f t="shared" si="22"/>
        <v>1212.7866812372638</v>
      </c>
      <c r="AK163">
        <f t="shared" si="22"/>
        <v>1027.8815847849392</v>
      </c>
      <c r="AL163">
        <f t="shared" si="22"/>
        <v>957.2340509561775</v>
      </c>
      <c r="AM163">
        <f t="shared" si="22"/>
        <v>1482.6969510252065</v>
      </c>
      <c r="AN163">
        <f t="shared" si="22"/>
        <v>819.33820846988965</v>
      </c>
      <c r="AO163">
        <f t="shared" si="22"/>
        <v>1527.9730136240689</v>
      </c>
      <c r="AP163">
        <f t="shared" si="22"/>
        <v>1123.9072090462296</v>
      </c>
      <c r="AQ163">
        <f t="shared" si="22"/>
        <v>1308.1663552739287</v>
      </c>
    </row>
    <row r="164" spans="1:43" x14ac:dyDescent="0.2">
      <c r="A164" t="s">
        <v>28</v>
      </c>
      <c r="B164">
        <f>B163-B162</f>
        <v>1087.7744018731341</v>
      </c>
      <c r="C164">
        <f t="shared" ref="C164:U164" si="23">C163-C162</f>
        <v>368.60710846432903</v>
      </c>
      <c r="D164">
        <f t="shared" si="23"/>
        <v>526.85871092518846</v>
      </c>
      <c r="E164">
        <f t="shared" si="23"/>
        <v>81.272844687623547</v>
      </c>
      <c r="F164">
        <f t="shared" si="23"/>
        <v>-157.58025259877115</v>
      </c>
      <c r="G164">
        <f t="shared" si="23"/>
        <v>150.27604912103402</v>
      </c>
      <c r="H164">
        <f t="shared" si="23"/>
        <v>546.92614476988729</v>
      </c>
      <c r="I164">
        <f t="shared" si="23"/>
        <v>269.82874995521729</v>
      </c>
      <c r="J164">
        <f t="shared" si="23"/>
        <v>-287.74048012128583</v>
      </c>
      <c r="K164">
        <f t="shared" si="23"/>
        <v>106.39885703919322</v>
      </c>
      <c r="L164">
        <f t="shared" si="23"/>
        <v>330.33930739612742</v>
      </c>
      <c r="M164">
        <f t="shared" si="23"/>
        <v>-100.66683002399247</v>
      </c>
      <c r="N164">
        <f t="shared" si="23"/>
        <v>66.874291666284307</v>
      </c>
      <c r="O164">
        <f t="shared" si="23"/>
        <v>-21.592064972496814</v>
      </c>
      <c r="P164">
        <f t="shared" si="23"/>
        <v>398.44578525945792</v>
      </c>
      <c r="Q164">
        <f t="shared" si="23"/>
        <v>62.402707263933394</v>
      </c>
      <c r="R164">
        <f t="shared" si="23"/>
        <v>385.70276147717516</v>
      </c>
      <c r="S164">
        <f t="shared" si="23"/>
        <v>35.466789156901768</v>
      </c>
      <c r="T164">
        <f t="shared" si="23"/>
        <v>101.59442385525813</v>
      </c>
      <c r="U164">
        <f t="shared" si="23"/>
        <v>-143.02743964932642</v>
      </c>
      <c r="V164" s="6"/>
      <c r="W164" t="s">
        <v>28</v>
      </c>
      <c r="X164">
        <f>X162-X163</f>
        <v>443.40521048931578</v>
      </c>
      <c r="Y164">
        <f t="shared" ref="Y164:AQ164" si="24">Y162-Y163</f>
        <v>220.53499264258289</v>
      </c>
      <c r="Z164">
        <f t="shared" si="24"/>
        <v>-136.67034071140961</v>
      </c>
      <c r="AA164">
        <f t="shared" si="24"/>
        <v>-968.43082897433078</v>
      </c>
      <c r="AB164">
        <f t="shared" si="24"/>
        <v>-221.15241583556553</v>
      </c>
      <c r="AC164">
        <f t="shared" si="24"/>
        <v>-103.30132773721834</v>
      </c>
      <c r="AD164">
        <f t="shared" si="24"/>
        <v>187.63023223970777</v>
      </c>
      <c r="AE164">
        <f t="shared" si="24"/>
        <v>234.74313623829335</v>
      </c>
      <c r="AF164">
        <f t="shared" si="24"/>
        <v>133.15646635610904</v>
      </c>
      <c r="AG164">
        <f t="shared" si="24"/>
        <v>291.74715499205729</v>
      </c>
      <c r="AH164">
        <f t="shared" si="24"/>
        <v>114.04996136167813</v>
      </c>
      <c r="AI164">
        <f t="shared" si="24"/>
        <v>-191.24981490980213</v>
      </c>
      <c r="AJ164">
        <f t="shared" si="24"/>
        <v>-208.78668123726379</v>
      </c>
      <c r="AK164">
        <f t="shared" si="24"/>
        <v>-23.88158478493915</v>
      </c>
      <c r="AL164">
        <f t="shared" si="24"/>
        <v>45.765949043822616</v>
      </c>
      <c r="AM164">
        <f t="shared" si="24"/>
        <v>-480.19695102520666</v>
      </c>
      <c r="AN164">
        <f t="shared" si="24"/>
        <v>183.16179153011024</v>
      </c>
      <c r="AO164">
        <f t="shared" si="24"/>
        <v>-525.47301362406904</v>
      </c>
      <c r="AP164">
        <f t="shared" si="24"/>
        <v>-121.9072090462297</v>
      </c>
      <c r="AQ164">
        <f t="shared" si="24"/>
        <v>-307.16635527392873</v>
      </c>
    </row>
    <row r="165" spans="1:43" x14ac:dyDescent="0.2">
      <c r="A165" t="s">
        <v>29</v>
      </c>
      <c r="B165">
        <f>SUM(B164:U164)</f>
        <v>3808.1618655448724</v>
      </c>
      <c r="V165" s="6"/>
      <c r="W165" t="s">
        <v>29</v>
      </c>
      <c r="X165">
        <f>SUM(X164:AQ164)</f>
        <v>-1434.0216282662864</v>
      </c>
    </row>
    <row r="166" spans="1:43" x14ac:dyDescent="0.2">
      <c r="V166" s="6"/>
    </row>
    <row r="167" spans="1:43" x14ac:dyDescent="0.2">
      <c r="A167" t="s">
        <v>50</v>
      </c>
      <c r="B167">
        <f>SUM(B162:U162)</f>
        <v>25000.5</v>
      </c>
      <c r="V167" s="6"/>
      <c r="W167" t="s">
        <v>50</v>
      </c>
      <c r="X167">
        <f>SUM(X162:AQ162)</f>
        <v>25000.5</v>
      </c>
    </row>
    <row r="168" spans="1:43" x14ac:dyDescent="0.2">
      <c r="V168" s="6"/>
    </row>
    <row r="169" spans="1:43" x14ac:dyDescent="0.2">
      <c r="V169" s="6"/>
    </row>
    <row r="170" spans="1:43" x14ac:dyDescent="0.2">
      <c r="V170" s="6"/>
      <c r="W170" t="s">
        <v>715</v>
      </c>
      <c r="X170">
        <f>X165+B165</f>
        <v>2374.140237278586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1C84-0FF1-41FC-B095-566317C393C2}">
  <dimension ref="A1:M164"/>
  <sheetViews>
    <sheetView topLeftCell="A73" workbookViewId="0">
      <selection activeCell="G2" sqref="G2:G150"/>
    </sheetView>
  </sheetViews>
  <sheetFormatPr baseColWidth="10" defaultColWidth="8.83203125" defaultRowHeight="15" x14ac:dyDescent="0.2"/>
  <cols>
    <col min="1" max="1" width="19.1640625" customWidth="1"/>
    <col min="2" max="2" width="13" customWidth="1"/>
    <col min="3" max="3" width="11.5" customWidth="1"/>
    <col min="4" max="4" width="11" customWidth="1"/>
    <col min="6" max="6" width="11.33203125" customWidth="1"/>
    <col min="7" max="7" width="11.5" customWidth="1"/>
    <col min="8" max="8" width="20.33203125" customWidth="1"/>
    <col min="9" max="9" width="15.1640625" customWidth="1"/>
    <col min="10" max="10" width="16.5" customWidth="1"/>
    <col min="11" max="11" width="14" customWidth="1"/>
    <col min="12" max="12" width="13.5" customWidth="1"/>
    <col min="13" max="13" width="15.1640625" customWidth="1"/>
    <col min="14" max="14" width="12.6640625" customWidth="1"/>
  </cols>
  <sheetData>
    <row r="1" spans="1:13" x14ac:dyDescent="0.2">
      <c r="A1" s="20" t="s">
        <v>710</v>
      </c>
      <c r="B1" s="20" t="s">
        <v>711</v>
      </c>
      <c r="C1" s="13" t="s">
        <v>712</v>
      </c>
      <c r="D1" s="13" t="s">
        <v>713</v>
      </c>
      <c r="F1" s="3"/>
      <c r="G1" s="20" t="s">
        <v>710</v>
      </c>
      <c r="H1" s="20" t="s">
        <v>711</v>
      </c>
      <c r="I1" s="13" t="s">
        <v>712</v>
      </c>
      <c r="J1" s="13" t="s">
        <v>713</v>
      </c>
      <c r="L1" s="19"/>
      <c r="M1" s="3"/>
    </row>
    <row r="2" spans="1:13" x14ac:dyDescent="0.2">
      <c r="A2" s="3">
        <v>45775</v>
      </c>
      <c r="B2" s="3">
        <v>45775</v>
      </c>
      <c r="C2">
        <v>0</v>
      </c>
      <c r="D2">
        <v>0</v>
      </c>
      <c r="F2" s="3"/>
      <c r="G2" s="3">
        <v>45775</v>
      </c>
      <c r="H2" s="3">
        <v>45775</v>
      </c>
      <c r="I2">
        <v>0</v>
      </c>
      <c r="J2">
        <v>0</v>
      </c>
      <c r="L2" s="3"/>
      <c r="M2" s="3"/>
    </row>
    <row r="3" spans="1:13" x14ac:dyDescent="0.2">
      <c r="A3" s="3">
        <v>45776</v>
      </c>
      <c r="B3" s="3">
        <v>45776</v>
      </c>
      <c r="C3">
        <v>-151.97597577912165</v>
      </c>
      <c r="D3">
        <v>66.402647332633933</v>
      </c>
      <c r="F3" s="3"/>
      <c r="G3" s="3">
        <v>45776</v>
      </c>
      <c r="H3" s="3">
        <v>45776</v>
      </c>
      <c r="I3">
        <v>-151.97597577912165</v>
      </c>
      <c r="J3">
        <v>66.402647332633933</v>
      </c>
      <c r="L3" s="3"/>
      <c r="M3" s="3"/>
    </row>
    <row r="4" spans="1:13" x14ac:dyDescent="0.2">
      <c r="A4" s="3">
        <v>45777</v>
      </c>
      <c r="B4" s="3">
        <v>45777</v>
      </c>
      <c r="C4">
        <v>-261.1822441275981</v>
      </c>
      <c r="D4">
        <v>-354.27025161518395</v>
      </c>
      <c r="F4" s="3"/>
      <c r="G4" s="3">
        <v>45777</v>
      </c>
      <c r="H4" s="3">
        <v>45777</v>
      </c>
      <c r="I4">
        <v>-261.1822441275981</v>
      </c>
      <c r="J4">
        <v>-354.27025161518395</v>
      </c>
      <c r="L4" s="3"/>
      <c r="M4" s="3"/>
    </row>
    <row r="5" spans="1:13" x14ac:dyDescent="0.2">
      <c r="A5" s="3">
        <v>45778</v>
      </c>
      <c r="B5" s="3">
        <v>45778</v>
      </c>
      <c r="C5">
        <v>27.491863173127058</v>
      </c>
      <c r="D5">
        <v>-87.236390385256527</v>
      </c>
      <c r="F5" s="3"/>
      <c r="G5" s="3">
        <v>45778</v>
      </c>
      <c r="H5" s="3">
        <v>45778</v>
      </c>
      <c r="I5">
        <v>27.491863173127058</v>
      </c>
      <c r="J5">
        <v>-87.236390385256527</v>
      </c>
      <c r="L5" s="3"/>
      <c r="M5" s="3"/>
    </row>
    <row r="6" spans="1:13" x14ac:dyDescent="0.2">
      <c r="A6" s="3">
        <v>45779</v>
      </c>
      <c r="B6" s="3">
        <v>45779</v>
      </c>
      <c r="C6">
        <v>231.71584888967118</v>
      </c>
      <c r="D6">
        <v>200.64749591079453</v>
      </c>
      <c r="F6" s="3"/>
      <c r="G6" s="3">
        <v>45779</v>
      </c>
      <c r="H6" s="3">
        <v>45779</v>
      </c>
      <c r="I6">
        <v>231.71584888967118</v>
      </c>
      <c r="J6">
        <v>200.64749591079453</v>
      </c>
      <c r="L6" s="3"/>
      <c r="M6" s="3"/>
    </row>
    <row r="7" spans="1:13" x14ac:dyDescent="0.2">
      <c r="A7" s="3">
        <v>45783</v>
      </c>
      <c r="B7" s="3">
        <v>45783</v>
      </c>
      <c r="C7">
        <v>34.137910026820464</v>
      </c>
      <c r="D7">
        <v>-125.07852225080933</v>
      </c>
      <c r="F7" s="3"/>
      <c r="G7" s="3">
        <v>45782</v>
      </c>
      <c r="H7" s="3">
        <v>45782</v>
      </c>
      <c r="I7">
        <v>169.88365010805501</v>
      </c>
      <c r="J7">
        <v>0</v>
      </c>
      <c r="L7" s="3"/>
      <c r="M7" s="3"/>
    </row>
    <row r="8" spans="1:13" x14ac:dyDescent="0.2">
      <c r="A8" s="3">
        <v>45784</v>
      </c>
      <c r="B8" s="3">
        <v>45784</v>
      </c>
      <c r="C8">
        <v>-266.20915261434857</v>
      </c>
      <c r="D8">
        <v>120.26600179975139</v>
      </c>
      <c r="F8" s="3"/>
      <c r="G8" s="3">
        <v>45783</v>
      </c>
      <c r="H8" s="3">
        <v>45783</v>
      </c>
      <c r="I8">
        <v>34.137910026820464</v>
      </c>
      <c r="J8">
        <v>-125.07852225080933</v>
      </c>
      <c r="L8" s="3"/>
      <c r="M8" s="3"/>
    </row>
    <row r="9" spans="1:13" x14ac:dyDescent="0.2">
      <c r="A9" s="3">
        <v>45785</v>
      </c>
      <c r="B9" s="3">
        <v>45785</v>
      </c>
      <c r="C9">
        <v>-58.273247526885825</v>
      </c>
      <c r="D9">
        <v>163.92435457036845</v>
      </c>
      <c r="F9" s="3"/>
      <c r="G9" s="3">
        <v>45784</v>
      </c>
      <c r="H9" s="3">
        <v>45784</v>
      </c>
      <c r="I9">
        <v>-266.20915261434857</v>
      </c>
      <c r="J9">
        <v>120.26600179975139</v>
      </c>
      <c r="L9" s="3"/>
      <c r="M9" s="3"/>
    </row>
    <row r="10" spans="1:13" x14ac:dyDescent="0.2">
      <c r="A10" s="3">
        <v>45786</v>
      </c>
      <c r="B10" s="3">
        <v>45786</v>
      </c>
      <c r="C10">
        <v>24.373871494299237</v>
      </c>
      <c r="D10">
        <v>437.81941919786914</v>
      </c>
      <c r="F10" s="3"/>
      <c r="G10" s="3">
        <v>45785</v>
      </c>
      <c r="H10" s="3">
        <v>45785</v>
      </c>
      <c r="I10">
        <v>-58.273247526885825</v>
      </c>
      <c r="J10">
        <v>163.92435457036845</v>
      </c>
      <c r="L10" s="3"/>
      <c r="M10" s="3"/>
    </row>
    <row r="11" spans="1:13" x14ac:dyDescent="0.2">
      <c r="A11" s="3">
        <v>45789</v>
      </c>
      <c r="B11" s="3">
        <v>45789</v>
      </c>
      <c r="C11">
        <v>-266.16265989699241</v>
      </c>
      <c r="D11">
        <v>-10.428465542940103</v>
      </c>
      <c r="F11" s="3"/>
      <c r="G11" s="3">
        <v>45786</v>
      </c>
      <c r="H11" s="3">
        <v>45786</v>
      </c>
      <c r="I11">
        <v>24.373871494299237</v>
      </c>
      <c r="J11">
        <v>437.81941919786914</v>
      </c>
      <c r="L11" s="3"/>
      <c r="M11" s="3"/>
    </row>
    <row r="12" spans="1:13" x14ac:dyDescent="0.2">
      <c r="A12" s="3">
        <v>45790</v>
      </c>
      <c r="B12" s="3">
        <v>45790</v>
      </c>
      <c r="C12">
        <v>312.3459957652085</v>
      </c>
      <c r="D12">
        <v>-32.492329244465509</v>
      </c>
      <c r="F12" s="3"/>
      <c r="G12" s="3">
        <v>45789</v>
      </c>
      <c r="H12" s="3">
        <v>45789</v>
      </c>
      <c r="I12">
        <v>-266.16265989699241</v>
      </c>
      <c r="J12">
        <v>-10.428465542940103</v>
      </c>
      <c r="L12" s="3"/>
      <c r="M12" s="3"/>
    </row>
    <row r="13" spans="1:13" x14ac:dyDescent="0.2">
      <c r="A13" s="3">
        <v>45791</v>
      </c>
      <c r="B13" s="3">
        <v>45791</v>
      </c>
      <c r="C13">
        <v>178.94198511592549</v>
      </c>
      <c r="D13">
        <v>76.59280625476822</v>
      </c>
      <c r="F13" s="3"/>
      <c r="G13" s="3">
        <v>45790</v>
      </c>
      <c r="H13" s="3">
        <v>45790</v>
      </c>
      <c r="I13">
        <v>312.3459957652085</v>
      </c>
      <c r="J13">
        <v>-32.492329244465509</v>
      </c>
      <c r="L13" s="3"/>
      <c r="M13" s="3"/>
    </row>
    <row r="14" spans="1:13" x14ac:dyDescent="0.2">
      <c r="A14" s="3">
        <v>45792</v>
      </c>
      <c r="B14" s="3">
        <v>45792</v>
      </c>
      <c r="C14">
        <v>-107.07632984298107</v>
      </c>
      <c r="D14">
        <v>42.771761327556305</v>
      </c>
      <c r="F14" s="3"/>
      <c r="G14" s="3">
        <v>45791</v>
      </c>
      <c r="H14" s="3">
        <v>45791</v>
      </c>
      <c r="I14">
        <v>178.94198511592549</v>
      </c>
      <c r="J14">
        <v>76.59280625476822</v>
      </c>
      <c r="L14" s="3"/>
      <c r="M14" s="3"/>
    </row>
    <row r="15" spans="1:13" x14ac:dyDescent="0.2">
      <c r="A15" s="3">
        <v>45793</v>
      </c>
      <c r="B15" s="3">
        <v>45793</v>
      </c>
      <c r="C15">
        <v>146.52582772693495</v>
      </c>
      <c r="D15">
        <v>-106.85829236561403</v>
      </c>
      <c r="F15" s="3"/>
      <c r="G15" s="3">
        <v>45792</v>
      </c>
      <c r="H15" s="3">
        <v>45792</v>
      </c>
      <c r="I15">
        <v>-107.07632984298107</v>
      </c>
      <c r="J15">
        <v>42.771761327556305</v>
      </c>
      <c r="L15" s="3"/>
      <c r="M15" s="3"/>
    </row>
    <row r="16" spans="1:13" x14ac:dyDescent="0.2">
      <c r="A16" s="3">
        <v>45796</v>
      </c>
      <c r="B16" s="3">
        <v>45796</v>
      </c>
      <c r="C16">
        <v>83.606083100265096</v>
      </c>
      <c r="D16">
        <v>197.36478288520448</v>
      </c>
      <c r="F16" s="3"/>
      <c r="G16" s="3">
        <v>45793</v>
      </c>
      <c r="H16" s="3">
        <v>45793</v>
      </c>
      <c r="I16">
        <v>146.52582772693495</v>
      </c>
      <c r="J16">
        <v>-106.85829236561403</v>
      </c>
      <c r="L16" s="3"/>
      <c r="M16" s="3"/>
    </row>
    <row r="17" spans="1:13" x14ac:dyDescent="0.2">
      <c r="A17" s="3">
        <v>45797</v>
      </c>
      <c r="B17" s="3">
        <v>45797</v>
      </c>
      <c r="C17">
        <v>-142.42353073631966</v>
      </c>
      <c r="D17">
        <v>-165.3715326821839</v>
      </c>
      <c r="F17" s="3"/>
      <c r="G17" s="3">
        <v>45796</v>
      </c>
      <c r="H17" s="3">
        <v>45796</v>
      </c>
      <c r="I17">
        <v>83.606083100265096</v>
      </c>
      <c r="J17">
        <v>197.36478288520448</v>
      </c>
      <c r="L17" s="3"/>
      <c r="M17" s="3"/>
    </row>
    <row r="18" spans="1:13" x14ac:dyDescent="0.2">
      <c r="A18" s="3">
        <v>45798</v>
      </c>
      <c r="B18" s="3">
        <v>45798</v>
      </c>
      <c r="C18">
        <v>-119.28825715477069</v>
      </c>
      <c r="D18">
        <v>201.92109828862158</v>
      </c>
      <c r="F18" s="3"/>
      <c r="G18" s="3">
        <v>45797</v>
      </c>
      <c r="H18" s="3">
        <v>45797</v>
      </c>
      <c r="I18">
        <v>-142.42353073631966</v>
      </c>
      <c r="J18">
        <v>-165.3715326821839</v>
      </c>
      <c r="L18" s="3"/>
      <c r="M18" s="3"/>
    </row>
    <row r="19" spans="1:13" x14ac:dyDescent="0.2">
      <c r="A19" s="3">
        <v>45799</v>
      </c>
      <c r="B19" s="3">
        <v>45799</v>
      </c>
      <c r="C19">
        <v>37.203566351847257</v>
      </c>
      <c r="D19">
        <v>301.03290155992727</v>
      </c>
      <c r="F19" s="3"/>
      <c r="G19" s="3">
        <v>45798</v>
      </c>
      <c r="H19" s="3">
        <v>45798</v>
      </c>
      <c r="I19">
        <v>-119.28825715477069</v>
      </c>
      <c r="J19">
        <v>201.92109828862158</v>
      </c>
      <c r="L19" s="3"/>
      <c r="M19" s="3"/>
    </row>
    <row r="20" spans="1:13" x14ac:dyDescent="0.2">
      <c r="A20" s="3">
        <v>45800</v>
      </c>
      <c r="B20" s="3">
        <v>45800</v>
      </c>
      <c r="C20">
        <v>228.2259053904927</v>
      </c>
      <c r="D20">
        <v>-146.97405642107697</v>
      </c>
      <c r="F20" s="3"/>
      <c r="G20" s="3">
        <v>45799</v>
      </c>
      <c r="H20" s="3">
        <v>45799</v>
      </c>
      <c r="I20">
        <v>37.203566351847257</v>
      </c>
      <c r="J20">
        <v>301.03290155992727</v>
      </c>
      <c r="L20" s="3"/>
      <c r="M20" s="3"/>
    </row>
    <row r="21" spans="1:13" x14ac:dyDescent="0.2">
      <c r="A21" s="3">
        <v>45804</v>
      </c>
      <c r="B21" s="3">
        <v>45804</v>
      </c>
      <c r="C21">
        <v>207.63663207204081</v>
      </c>
      <c r="D21">
        <v>268.48417954171236</v>
      </c>
      <c r="F21" s="3"/>
      <c r="G21" s="3">
        <v>45800</v>
      </c>
      <c r="H21" s="3">
        <v>45800</v>
      </c>
      <c r="I21">
        <v>228.2259053904927</v>
      </c>
      <c r="J21">
        <v>-146.97405642107697</v>
      </c>
      <c r="L21" s="3"/>
      <c r="M21" s="3"/>
    </row>
    <row r="22" spans="1:13" x14ac:dyDescent="0.2">
      <c r="A22" s="3">
        <v>45805</v>
      </c>
      <c r="B22" s="3">
        <v>45805</v>
      </c>
      <c r="C22">
        <v>60.646449755589856</v>
      </c>
      <c r="D22">
        <v>133.47045875556068</v>
      </c>
      <c r="F22" s="3"/>
      <c r="G22" s="3">
        <v>45804</v>
      </c>
      <c r="H22" s="3">
        <v>45804</v>
      </c>
      <c r="I22">
        <v>207.63663207204081</v>
      </c>
      <c r="J22">
        <v>268.48417954171236</v>
      </c>
      <c r="L22" s="3"/>
      <c r="M22" s="3"/>
    </row>
    <row r="23" spans="1:13" x14ac:dyDescent="0.2">
      <c r="A23" s="3">
        <v>45806</v>
      </c>
      <c r="B23" s="3">
        <v>45806</v>
      </c>
      <c r="C23">
        <v>-126.87896378397636</v>
      </c>
      <c r="D23">
        <v>-77.701619756906439</v>
      </c>
      <c r="F23" s="3"/>
      <c r="G23" s="3">
        <v>45805</v>
      </c>
      <c r="H23" s="3">
        <v>45805</v>
      </c>
      <c r="I23">
        <v>60.646449755589856</v>
      </c>
      <c r="J23">
        <v>133.47045875556068</v>
      </c>
      <c r="L23" s="3"/>
      <c r="M23" s="3"/>
    </row>
    <row r="24" spans="1:13" x14ac:dyDescent="0.2">
      <c r="A24" s="3">
        <v>45807</v>
      </c>
      <c r="B24" s="3">
        <v>45807</v>
      </c>
      <c r="C24">
        <v>45.367821410389297</v>
      </c>
      <c r="D24">
        <v>-35.673981954569172</v>
      </c>
      <c r="F24" s="3"/>
      <c r="G24" s="3">
        <v>45806</v>
      </c>
      <c r="H24" s="3">
        <v>45806</v>
      </c>
      <c r="I24">
        <v>-126.87896378397636</v>
      </c>
      <c r="J24">
        <v>-77.701619756906439</v>
      </c>
      <c r="L24" s="3"/>
      <c r="M24" s="3"/>
    </row>
    <row r="25" spans="1:13" x14ac:dyDescent="0.2">
      <c r="A25" s="3">
        <v>45810</v>
      </c>
      <c r="B25" s="3">
        <v>45810</v>
      </c>
      <c r="C25">
        <v>291.18902688241724</v>
      </c>
      <c r="D25">
        <v>206.76573869735148</v>
      </c>
      <c r="F25" s="3"/>
      <c r="G25" s="3">
        <v>45807</v>
      </c>
      <c r="H25" s="3">
        <v>45807</v>
      </c>
      <c r="I25">
        <v>45.367821410389297</v>
      </c>
      <c r="J25">
        <v>-35.673981954569172</v>
      </c>
      <c r="L25" s="3"/>
      <c r="M25" s="3"/>
    </row>
    <row r="26" spans="1:13" x14ac:dyDescent="0.2">
      <c r="A26" s="3">
        <v>45811</v>
      </c>
      <c r="B26" s="3">
        <v>45811</v>
      </c>
      <c r="C26">
        <v>-167.53862455748094</v>
      </c>
      <c r="D26">
        <v>242.52867126891579</v>
      </c>
      <c r="F26" s="3"/>
      <c r="G26" s="3">
        <v>45810</v>
      </c>
      <c r="H26" s="3">
        <v>45810</v>
      </c>
      <c r="I26">
        <v>291.18902688241724</v>
      </c>
      <c r="J26">
        <v>206.76573869735148</v>
      </c>
      <c r="L26" s="3"/>
      <c r="M26" s="3"/>
    </row>
    <row r="27" spans="1:13" x14ac:dyDescent="0.2">
      <c r="A27" s="3">
        <v>45812</v>
      </c>
      <c r="B27" s="3">
        <v>45812</v>
      </c>
      <c r="C27">
        <v>-72.406206688796374</v>
      </c>
      <c r="D27">
        <v>-324.43871397332259</v>
      </c>
      <c r="F27" s="3"/>
      <c r="G27" s="3">
        <v>45811</v>
      </c>
      <c r="H27" s="3">
        <v>45811</v>
      </c>
      <c r="I27">
        <v>-167.53862455748094</v>
      </c>
      <c r="J27">
        <v>242.52867126891579</v>
      </c>
      <c r="L27" s="3"/>
      <c r="M27" s="3"/>
    </row>
    <row r="28" spans="1:13" x14ac:dyDescent="0.2">
      <c r="A28" s="3">
        <v>45813</v>
      </c>
      <c r="B28" s="3">
        <v>45813</v>
      </c>
      <c r="C28">
        <v>251.56231180842951</v>
      </c>
      <c r="D28">
        <v>222.70373206555814</v>
      </c>
      <c r="F28" s="3"/>
      <c r="G28" s="3">
        <v>45812</v>
      </c>
      <c r="H28" s="3">
        <v>45812</v>
      </c>
      <c r="I28">
        <v>-72.406206688796374</v>
      </c>
      <c r="J28">
        <v>-324.43871397332259</v>
      </c>
      <c r="L28" s="3"/>
      <c r="M28" s="3"/>
    </row>
    <row r="29" spans="1:13" x14ac:dyDescent="0.2">
      <c r="A29" s="3">
        <v>45814</v>
      </c>
      <c r="B29" s="3">
        <v>45814</v>
      </c>
      <c r="C29">
        <v>91.460619338115066</v>
      </c>
      <c r="D29">
        <v>43.076143943872012</v>
      </c>
      <c r="F29" s="3"/>
      <c r="G29" s="3">
        <v>45813</v>
      </c>
      <c r="H29" s="3">
        <v>45813</v>
      </c>
      <c r="I29">
        <v>251.56231180842951</v>
      </c>
      <c r="J29">
        <v>222.70373206555814</v>
      </c>
      <c r="L29" s="3"/>
      <c r="M29" s="3"/>
    </row>
    <row r="30" spans="1:13" x14ac:dyDescent="0.2">
      <c r="A30" s="3">
        <v>45817</v>
      </c>
      <c r="B30" s="3">
        <v>45817</v>
      </c>
      <c r="C30">
        <v>-60.484979586912232</v>
      </c>
      <c r="D30">
        <v>-102.04477903985753</v>
      </c>
      <c r="F30" s="3"/>
      <c r="G30" s="3">
        <v>45814</v>
      </c>
      <c r="H30" s="3">
        <v>45814</v>
      </c>
      <c r="I30">
        <v>91.460619338115066</v>
      </c>
      <c r="J30">
        <v>43.076143943872012</v>
      </c>
      <c r="L30" s="3"/>
      <c r="M30" s="3"/>
    </row>
    <row r="31" spans="1:13" x14ac:dyDescent="0.2">
      <c r="A31" s="3">
        <v>45818</v>
      </c>
      <c r="B31" s="3">
        <v>45818</v>
      </c>
      <c r="C31">
        <v>-361.92668490398501</v>
      </c>
      <c r="D31">
        <v>-413.46701226011646</v>
      </c>
      <c r="F31" s="3"/>
      <c r="G31" s="3">
        <v>45817</v>
      </c>
      <c r="H31" s="3">
        <v>45817</v>
      </c>
      <c r="I31">
        <v>-60.484979586912232</v>
      </c>
      <c r="J31">
        <v>-102.04477903985753</v>
      </c>
      <c r="L31" s="3"/>
      <c r="M31" s="3"/>
    </row>
    <row r="32" spans="1:13" x14ac:dyDescent="0.2">
      <c r="A32" s="3">
        <v>45819</v>
      </c>
      <c r="B32" s="3">
        <v>45819</v>
      </c>
      <c r="C32">
        <v>57.726784759237489</v>
      </c>
      <c r="D32">
        <v>128.45580826574587</v>
      </c>
      <c r="F32" s="3"/>
      <c r="G32" s="3">
        <v>45818</v>
      </c>
      <c r="H32" s="3">
        <v>45818</v>
      </c>
      <c r="I32">
        <v>-361.92668490398501</v>
      </c>
      <c r="J32">
        <v>-413.46701226011646</v>
      </c>
      <c r="L32" s="3"/>
      <c r="M32" s="3"/>
    </row>
    <row r="33" spans="1:13" x14ac:dyDescent="0.2">
      <c r="A33" s="3">
        <v>45820</v>
      </c>
      <c r="B33" s="3">
        <v>45820</v>
      </c>
      <c r="C33">
        <v>-12.226850634768198</v>
      </c>
      <c r="D33">
        <v>121.96666914942398</v>
      </c>
      <c r="F33" s="3"/>
      <c r="G33" s="3">
        <v>45819</v>
      </c>
      <c r="H33" s="3">
        <v>45819</v>
      </c>
      <c r="I33">
        <v>57.726784759237489</v>
      </c>
      <c r="J33">
        <v>128.45580826574587</v>
      </c>
      <c r="L33" s="3"/>
      <c r="M33" s="3"/>
    </row>
    <row r="34" spans="1:13" x14ac:dyDescent="0.2">
      <c r="A34" s="3">
        <v>45821</v>
      </c>
      <c r="B34" s="3">
        <v>45821</v>
      </c>
      <c r="C34">
        <v>130.11112346127265</v>
      </c>
      <c r="D34">
        <v>-72.217206980592891</v>
      </c>
      <c r="F34" s="3"/>
      <c r="G34" s="3">
        <v>45820</v>
      </c>
      <c r="H34" s="3">
        <v>45820</v>
      </c>
      <c r="I34">
        <v>-12.226850634768198</v>
      </c>
      <c r="J34">
        <v>121.96666914942398</v>
      </c>
      <c r="L34" s="3"/>
      <c r="M34" s="3"/>
    </row>
    <row r="35" spans="1:13" x14ac:dyDescent="0.2">
      <c r="A35" s="3">
        <v>45824</v>
      </c>
      <c r="B35" s="3">
        <v>45824</v>
      </c>
      <c r="C35">
        <v>5.3807710593318916</v>
      </c>
      <c r="D35">
        <v>436.81889486689033</v>
      </c>
      <c r="F35" s="3"/>
      <c r="G35" s="3">
        <v>45821</v>
      </c>
      <c r="H35" s="3">
        <v>45821</v>
      </c>
      <c r="I35">
        <v>130.11112346127265</v>
      </c>
      <c r="J35">
        <v>-72.217206980592891</v>
      </c>
      <c r="L35" s="3"/>
      <c r="M35" s="3"/>
    </row>
    <row r="36" spans="1:13" x14ac:dyDescent="0.2">
      <c r="A36" s="3">
        <v>45825</v>
      </c>
      <c r="B36" s="3">
        <v>45825</v>
      </c>
      <c r="C36">
        <v>-4.9361226376458944</v>
      </c>
      <c r="D36">
        <v>-197.56137172984745</v>
      </c>
      <c r="F36" s="3"/>
      <c r="G36" s="3">
        <v>45824</v>
      </c>
      <c r="H36" s="3">
        <v>45824</v>
      </c>
      <c r="I36">
        <v>5.3807710593318916</v>
      </c>
      <c r="J36">
        <v>436.81889486689033</v>
      </c>
      <c r="L36" s="3"/>
      <c r="M36" s="3"/>
    </row>
    <row r="37" spans="1:13" x14ac:dyDescent="0.2">
      <c r="A37" s="3">
        <v>45826</v>
      </c>
      <c r="B37" s="3">
        <v>45826</v>
      </c>
      <c r="C37">
        <v>88.058600200474757</v>
      </c>
      <c r="D37">
        <v>188.61458435148234</v>
      </c>
      <c r="F37" s="3"/>
      <c r="G37" s="3">
        <v>45825</v>
      </c>
      <c r="H37" s="3">
        <v>45825</v>
      </c>
      <c r="I37">
        <v>-4.9361226376458944</v>
      </c>
      <c r="J37">
        <v>-197.56137172984745</v>
      </c>
      <c r="L37" s="3"/>
      <c r="M37" s="3"/>
    </row>
    <row r="38" spans="1:13" x14ac:dyDescent="0.2">
      <c r="A38" s="3">
        <v>45828</v>
      </c>
      <c r="B38" s="3">
        <v>45828</v>
      </c>
      <c r="C38">
        <v>128.93275003677991</v>
      </c>
      <c r="D38">
        <v>165.23467542366416</v>
      </c>
      <c r="F38" s="3"/>
      <c r="G38" s="3">
        <v>45826</v>
      </c>
      <c r="H38" s="3">
        <v>45826</v>
      </c>
      <c r="I38">
        <v>88.058600200474757</v>
      </c>
      <c r="J38">
        <v>188.61458435148234</v>
      </c>
      <c r="L38" s="3"/>
      <c r="M38" s="3"/>
    </row>
    <row r="39" spans="1:13" x14ac:dyDescent="0.2">
      <c r="A39" s="3">
        <v>45831</v>
      </c>
      <c r="B39" s="3">
        <v>45831</v>
      </c>
      <c r="C39">
        <v>-306.90085053462462</v>
      </c>
      <c r="D39">
        <v>-139.60218531384453</v>
      </c>
      <c r="F39" s="3"/>
      <c r="G39" s="3">
        <v>45827</v>
      </c>
      <c r="H39" s="3">
        <v>45827</v>
      </c>
      <c r="I39">
        <v>0</v>
      </c>
      <c r="J39">
        <v>-210.83838336622648</v>
      </c>
      <c r="L39" s="3"/>
      <c r="M39" s="3"/>
    </row>
    <row r="40" spans="1:13" x14ac:dyDescent="0.2">
      <c r="A40" s="3">
        <v>45832</v>
      </c>
      <c r="B40" s="3">
        <v>45832</v>
      </c>
      <c r="C40">
        <v>302.7994231565317</v>
      </c>
      <c r="D40">
        <v>192.96714773972417</v>
      </c>
      <c r="F40" s="3"/>
      <c r="G40" s="3">
        <v>45828</v>
      </c>
      <c r="H40" s="3">
        <v>45828</v>
      </c>
      <c r="I40">
        <v>128.93275003677991</v>
      </c>
      <c r="J40">
        <v>165.23467542366416</v>
      </c>
      <c r="L40" s="3"/>
      <c r="M40" s="3"/>
    </row>
    <row r="41" spans="1:13" x14ac:dyDescent="0.2">
      <c r="A41" s="3">
        <v>45833</v>
      </c>
      <c r="B41" s="3">
        <v>45833</v>
      </c>
      <c r="C41">
        <v>303.98097592058184</v>
      </c>
      <c r="D41">
        <v>93.832948864794162</v>
      </c>
      <c r="F41" s="3"/>
      <c r="G41" s="3">
        <v>45831</v>
      </c>
      <c r="H41" s="3">
        <v>45831</v>
      </c>
      <c r="I41">
        <v>-306.90085053462462</v>
      </c>
      <c r="J41">
        <v>-139.60218531384453</v>
      </c>
      <c r="L41" s="3"/>
      <c r="M41" s="3"/>
    </row>
    <row r="42" spans="1:13" x14ac:dyDescent="0.2">
      <c r="A42" s="3">
        <v>45834</v>
      </c>
      <c r="B42" s="3">
        <v>45834</v>
      </c>
      <c r="C42">
        <v>389.31344053282373</v>
      </c>
      <c r="D42">
        <v>167.25041083252654</v>
      </c>
      <c r="F42" s="3"/>
      <c r="G42" s="3">
        <v>45832</v>
      </c>
      <c r="H42" s="3">
        <v>45832</v>
      </c>
      <c r="I42">
        <v>302.7994231565317</v>
      </c>
      <c r="J42">
        <v>192.96714773972417</v>
      </c>
      <c r="L42" s="3"/>
      <c r="M42" s="3"/>
    </row>
    <row r="43" spans="1:13" x14ac:dyDescent="0.2">
      <c r="A43" s="3">
        <v>45835</v>
      </c>
      <c r="B43" s="3">
        <v>45835</v>
      </c>
      <c r="C43">
        <v>67.814351557215559</v>
      </c>
      <c r="D43">
        <v>6.9637914213853946</v>
      </c>
      <c r="F43" s="3"/>
      <c r="G43" s="3">
        <v>45833</v>
      </c>
      <c r="H43" s="3">
        <v>45833</v>
      </c>
      <c r="I43">
        <v>303.98097592058184</v>
      </c>
      <c r="J43">
        <v>93.832948864794162</v>
      </c>
      <c r="L43" s="3"/>
      <c r="M43" s="3"/>
    </row>
    <row r="44" spans="1:13" x14ac:dyDescent="0.2">
      <c r="A44" s="3">
        <v>45838</v>
      </c>
      <c r="B44" s="3">
        <v>45838</v>
      </c>
      <c r="C44">
        <v>111.95986926931073</v>
      </c>
      <c r="D44">
        <v>476.71175746483641</v>
      </c>
      <c r="F44" s="3"/>
      <c r="G44" s="3">
        <v>45834</v>
      </c>
      <c r="H44" s="3">
        <v>45834</v>
      </c>
      <c r="I44">
        <v>389.31344053282373</v>
      </c>
      <c r="J44">
        <v>167.25041083252654</v>
      </c>
      <c r="L44" s="3"/>
      <c r="M44" s="3"/>
    </row>
    <row r="45" spans="1:13" x14ac:dyDescent="0.2">
      <c r="A45" s="3">
        <v>45839</v>
      </c>
      <c r="B45" s="3">
        <v>45839</v>
      </c>
      <c r="C45">
        <v>-546.68966817148976</v>
      </c>
      <c r="D45">
        <v>-615.26116129885122</v>
      </c>
      <c r="F45" s="3"/>
      <c r="G45" s="3">
        <v>45835</v>
      </c>
      <c r="H45" s="3">
        <v>45835</v>
      </c>
      <c r="I45">
        <v>67.814351557215559</v>
      </c>
      <c r="J45">
        <v>6.9637914213853946</v>
      </c>
      <c r="L45" s="3"/>
      <c r="M45" s="3"/>
    </row>
    <row r="46" spans="1:13" x14ac:dyDescent="0.2">
      <c r="A46" s="3">
        <v>45840</v>
      </c>
      <c r="B46" s="3">
        <v>45840</v>
      </c>
      <c r="C46">
        <v>275.07790788695638</v>
      </c>
      <c r="D46">
        <v>-1.5440130643873999</v>
      </c>
      <c r="F46" s="3"/>
      <c r="G46" s="3">
        <v>45838</v>
      </c>
      <c r="H46" s="3">
        <v>45838</v>
      </c>
      <c r="I46">
        <v>111.95986926931073</v>
      </c>
      <c r="J46">
        <v>476.71175746483641</v>
      </c>
      <c r="L46" s="3"/>
      <c r="M46" s="3"/>
    </row>
    <row r="47" spans="1:13" x14ac:dyDescent="0.2">
      <c r="A47" s="3">
        <v>45841</v>
      </c>
      <c r="B47" s="3">
        <v>45841</v>
      </c>
      <c r="C47">
        <v>170.44693309157446</v>
      </c>
      <c r="D47">
        <v>132.50371718010865</v>
      </c>
      <c r="F47" s="3"/>
      <c r="G47" s="3">
        <v>45839</v>
      </c>
      <c r="H47" s="3">
        <v>45839</v>
      </c>
      <c r="I47">
        <v>-546.68966817148976</v>
      </c>
      <c r="J47">
        <v>-615.26116129885122</v>
      </c>
      <c r="L47" s="3"/>
      <c r="M47" s="3"/>
    </row>
    <row r="48" spans="1:13" x14ac:dyDescent="0.2">
      <c r="A48" s="3">
        <v>45845</v>
      </c>
      <c r="B48" s="3">
        <v>45845</v>
      </c>
      <c r="C48">
        <v>100.84761302078914</v>
      </c>
      <c r="D48">
        <v>373.06596872567388</v>
      </c>
      <c r="F48" s="3"/>
      <c r="G48" s="3">
        <v>45840</v>
      </c>
      <c r="H48" s="3">
        <v>45840</v>
      </c>
      <c r="I48">
        <v>275.07790788695638</v>
      </c>
      <c r="J48">
        <v>-1.5440130643873999</v>
      </c>
      <c r="L48" s="3"/>
      <c r="M48" s="3"/>
    </row>
    <row r="49" spans="1:13" x14ac:dyDescent="0.2">
      <c r="A49" s="3">
        <v>45846</v>
      </c>
      <c r="B49" s="3">
        <v>45846</v>
      </c>
      <c r="C49">
        <v>72.068343530412676</v>
      </c>
      <c r="D49">
        <v>-190.15685903966732</v>
      </c>
      <c r="F49" s="3"/>
      <c r="G49" s="3">
        <v>45841</v>
      </c>
      <c r="H49" s="3">
        <v>45841</v>
      </c>
      <c r="I49">
        <v>170.44693309157446</v>
      </c>
      <c r="J49">
        <v>132.50371718010865</v>
      </c>
      <c r="L49" s="3"/>
      <c r="M49" s="3"/>
    </row>
    <row r="50" spans="1:13" x14ac:dyDescent="0.2">
      <c r="A50" s="3">
        <v>45847</v>
      </c>
      <c r="B50" s="3">
        <v>45847</v>
      </c>
      <c r="C50">
        <v>0.21107868170292932</v>
      </c>
      <c r="D50">
        <v>170.79819131240947</v>
      </c>
      <c r="F50" s="3"/>
      <c r="G50" s="3">
        <v>45842</v>
      </c>
      <c r="H50" s="3">
        <v>45842</v>
      </c>
      <c r="I50">
        <v>0</v>
      </c>
      <c r="J50">
        <v>-24.032783989277998</v>
      </c>
      <c r="L50" s="3"/>
      <c r="M50" s="3"/>
    </row>
    <row r="51" spans="1:13" x14ac:dyDescent="0.2">
      <c r="A51" s="3">
        <v>45848</v>
      </c>
      <c r="B51" s="3">
        <v>45848</v>
      </c>
      <c r="C51">
        <v>263.24120820908138</v>
      </c>
      <c r="D51">
        <v>-513.93495127625283</v>
      </c>
      <c r="F51" s="3"/>
      <c r="G51" s="3">
        <v>45845</v>
      </c>
      <c r="H51" s="3">
        <v>45845</v>
      </c>
      <c r="I51">
        <v>100.84761302078914</v>
      </c>
      <c r="J51">
        <v>373.06596872567388</v>
      </c>
      <c r="L51" s="3"/>
      <c r="M51" s="3"/>
    </row>
    <row r="52" spans="1:13" x14ac:dyDescent="0.2">
      <c r="A52" s="3">
        <v>45849</v>
      </c>
      <c r="B52" s="3">
        <v>45849</v>
      </c>
      <c r="C52">
        <v>44.552426045233005</v>
      </c>
      <c r="D52">
        <v>51.991268734487676</v>
      </c>
      <c r="F52" s="3"/>
      <c r="G52" s="3">
        <v>45846</v>
      </c>
      <c r="H52" s="3">
        <v>45846</v>
      </c>
      <c r="I52">
        <v>72.068343530412676</v>
      </c>
      <c r="J52">
        <v>-190.15685903966732</v>
      </c>
      <c r="L52" s="3"/>
      <c r="M52" s="3"/>
    </row>
    <row r="53" spans="1:13" x14ac:dyDescent="0.2">
      <c r="A53" s="3">
        <v>45852</v>
      </c>
      <c r="B53" s="3">
        <v>45852</v>
      </c>
      <c r="C53">
        <v>270.93113791275027</v>
      </c>
      <c r="D53">
        <v>313.89072921780462</v>
      </c>
      <c r="F53" s="3"/>
      <c r="G53" s="3">
        <v>45847</v>
      </c>
      <c r="H53" s="3">
        <v>45847</v>
      </c>
      <c r="I53">
        <v>0.21107868170292932</v>
      </c>
      <c r="J53">
        <v>170.79819131240947</v>
      </c>
      <c r="L53" s="3"/>
      <c r="M53" s="3"/>
    </row>
    <row r="54" spans="1:13" x14ac:dyDescent="0.2">
      <c r="A54" s="3">
        <v>45853</v>
      </c>
      <c r="B54" s="3">
        <v>45853</v>
      </c>
      <c r="C54">
        <v>34.964201764491008</v>
      </c>
      <c r="D54">
        <v>3.5962027468340239</v>
      </c>
      <c r="F54" s="3"/>
      <c r="G54" s="3">
        <v>45848</v>
      </c>
      <c r="H54" s="3">
        <v>45848</v>
      </c>
      <c r="I54">
        <v>263.24120820908138</v>
      </c>
      <c r="J54">
        <v>-513.93495127625283</v>
      </c>
      <c r="L54" s="3"/>
      <c r="M54" s="3"/>
    </row>
    <row r="55" spans="1:13" x14ac:dyDescent="0.2">
      <c r="A55" s="3">
        <v>45854</v>
      </c>
      <c r="B55" s="3">
        <v>45854</v>
      </c>
      <c r="C55">
        <v>-114.81380359555624</v>
      </c>
      <c r="D55">
        <v>92.99745794428236</v>
      </c>
      <c r="F55" s="3"/>
      <c r="G55" s="3">
        <v>45849</v>
      </c>
      <c r="H55" s="3">
        <v>45849</v>
      </c>
      <c r="I55">
        <v>44.552426045233005</v>
      </c>
      <c r="J55">
        <v>51.991268734487676</v>
      </c>
      <c r="L55" s="3"/>
      <c r="M55" s="3"/>
    </row>
    <row r="56" spans="1:13" x14ac:dyDescent="0.2">
      <c r="A56" s="3">
        <v>45855</v>
      </c>
      <c r="B56" s="3">
        <v>45855</v>
      </c>
      <c r="C56">
        <v>108.74031569130602</v>
      </c>
      <c r="D56">
        <v>334.19193674271082</v>
      </c>
      <c r="F56" s="3"/>
      <c r="G56" s="3">
        <v>45852</v>
      </c>
      <c r="H56" s="3">
        <v>45852</v>
      </c>
      <c r="I56">
        <v>270.93113791275027</v>
      </c>
      <c r="J56">
        <v>313.89072921780462</v>
      </c>
      <c r="L56" s="3"/>
      <c r="M56" s="3"/>
    </row>
    <row r="57" spans="1:13" x14ac:dyDescent="0.2">
      <c r="A57" s="3">
        <v>45856</v>
      </c>
      <c r="B57" s="3">
        <v>45856</v>
      </c>
      <c r="C57">
        <v>118.9774383214899</v>
      </c>
      <c r="D57">
        <v>14.184688455683499</v>
      </c>
      <c r="F57" s="3"/>
      <c r="G57" s="3">
        <v>45853</v>
      </c>
      <c r="H57" s="3">
        <v>45853</v>
      </c>
      <c r="I57">
        <v>34.964201764491008</v>
      </c>
      <c r="J57">
        <v>3.5962027468340239</v>
      </c>
      <c r="L57" s="3"/>
      <c r="M57" s="3"/>
    </row>
    <row r="58" spans="1:13" x14ac:dyDescent="0.2">
      <c r="A58" s="3">
        <v>45859</v>
      </c>
      <c r="B58" s="3">
        <v>45859</v>
      </c>
      <c r="C58">
        <v>-41.231714081379323</v>
      </c>
      <c r="D58">
        <v>-139.94522413338927</v>
      </c>
      <c r="F58" s="3"/>
      <c r="G58" s="3">
        <v>45854</v>
      </c>
      <c r="H58" s="3">
        <v>45854</v>
      </c>
      <c r="I58">
        <v>-114.81380359555624</v>
      </c>
      <c r="J58">
        <v>92.99745794428236</v>
      </c>
      <c r="L58" s="3"/>
      <c r="M58" s="3"/>
    </row>
    <row r="59" spans="1:13" x14ac:dyDescent="0.2">
      <c r="A59" s="3">
        <v>45860</v>
      </c>
      <c r="B59" s="3">
        <v>45860</v>
      </c>
      <c r="C59">
        <v>-253.60853572942142</v>
      </c>
      <c r="D59">
        <v>72.51404606505821</v>
      </c>
      <c r="F59" s="3"/>
      <c r="G59" s="3">
        <v>45855</v>
      </c>
      <c r="H59" s="3">
        <v>45855</v>
      </c>
      <c r="I59">
        <v>108.74031569130602</v>
      </c>
      <c r="J59">
        <v>334.19193674271082</v>
      </c>
      <c r="L59" s="3"/>
      <c r="M59" s="3"/>
    </row>
    <row r="60" spans="1:13" x14ac:dyDescent="0.2">
      <c r="A60" s="3">
        <v>45861</v>
      </c>
      <c r="B60" s="3">
        <v>45861</v>
      </c>
      <c r="C60">
        <v>257.81257455788727</v>
      </c>
      <c r="D60">
        <v>50.375353955445462</v>
      </c>
      <c r="F60" s="3"/>
      <c r="G60" s="3">
        <v>45856</v>
      </c>
      <c r="H60" s="3">
        <v>45856</v>
      </c>
      <c r="I60">
        <v>118.9774383214899</v>
      </c>
      <c r="J60">
        <v>14.184688455683499</v>
      </c>
      <c r="L60" s="3"/>
      <c r="M60" s="3"/>
    </row>
    <row r="61" spans="1:13" x14ac:dyDescent="0.2">
      <c r="A61" s="3">
        <v>45862</v>
      </c>
      <c r="B61" s="3">
        <v>45862</v>
      </c>
      <c r="C61">
        <v>120.91840106092059</v>
      </c>
      <c r="D61">
        <v>243.90468868746029</v>
      </c>
      <c r="F61" s="3"/>
      <c r="G61" s="3">
        <v>45859</v>
      </c>
      <c r="H61" s="3">
        <v>45859</v>
      </c>
      <c r="I61">
        <v>-41.231714081379323</v>
      </c>
      <c r="J61">
        <v>-139.94522413338927</v>
      </c>
      <c r="L61" s="3"/>
      <c r="M61" s="3"/>
    </row>
    <row r="62" spans="1:13" x14ac:dyDescent="0.2">
      <c r="A62" s="3">
        <v>45863</v>
      </c>
      <c r="B62" s="3">
        <v>45863</v>
      </c>
      <c r="C62">
        <v>193.57466393815776</v>
      </c>
      <c r="D62">
        <v>-24.166090502516454</v>
      </c>
      <c r="F62" s="3"/>
      <c r="G62" s="3">
        <v>45860</v>
      </c>
      <c r="H62" s="3">
        <v>45860</v>
      </c>
      <c r="I62">
        <v>-253.60853572942142</v>
      </c>
      <c r="J62">
        <v>72.51404606505821</v>
      </c>
      <c r="L62" s="3"/>
      <c r="M62" s="3"/>
    </row>
    <row r="63" spans="1:13" x14ac:dyDescent="0.2">
      <c r="A63" s="3">
        <v>45866</v>
      </c>
      <c r="B63" s="3">
        <v>45866</v>
      </c>
      <c r="C63">
        <v>99.107600310326234</v>
      </c>
      <c r="D63">
        <v>55.336456546508998</v>
      </c>
      <c r="F63" s="3"/>
      <c r="G63" s="3">
        <v>45861</v>
      </c>
      <c r="H63" s="3">
        <v>45861</v>
      </c>
      <c r="I63">
        <v>257.81257455788727</v>
      </c>
      <c r="J63">
        <v>50.375353955445462</v>
      </c>
      <c r="L63" s="3"/>
      <c r="M63" s="3"/>
    </row>
    <row r="64" spans="1:13" x14ac:dyDescent="0.2">
      <c r="A64" s="3">
        <v>45867</v>
      </c>
      <c r="B64" s="3">
        <v>45867</v>
      </c>
      <c r="C64">
        <v>-352.44411289060372</v>
      </c>
      <c r="D64">
        <v>808.42338771164214</v>
      </c>
      <c r="F64" s="3"/>
      <c r="G64" s="3">
        <v>45862</v>
      </c>
      <c r="H64" s="3">
        <v>45862</v>
      </c>
      <c r="I64">
        <v>120.91840106092059</v>
      </c>
      <c r="J64">
        <v>243.90468868746029</v>
      </c>
      <c r="L64" s="3"/>
      <c r="M64" s="3"/>
    </row>
    <row r="65" spans="1:13" x14ac:dyDescent="0.2">
      <c r="A65" s="3">
        <v>45868</v>
      </c>
      <c r="B65" s="3">
        <v>45868</v>
      </c>
      <c r="C65">
        <v>60.117548020596587</v>
      </c>
      <c r="D65">
        <v>381.14355264606638</v>
      </c>
      <c r="F65" s="3"/>
      <c r="G65" s="3">
        <v>45863</v>
      </c>
      <c r="H65" s="3">
        <v>45863</v>
      </c>
      <c r="I65">
        <v>193.57466393815776</v>
      </c>
      <c r="J65">
        <v>-24.166090502516454</v>
      </c>
      <c r="L65" s="3"/>
      <c r="M65" s="3"/>
    </row>
    <row r="66" spans="1:13" x14ac:dyDescent="0.2">
      <c r="A66" s="3">
        <v>45869</v>
      </c>
      <c r="B66" s="3">
        <v>45869</v>
      </c>
      <c r="C66">
        <v>-334.92154378958003</v>
      </c>
      <c r="D66">
        <v>185.31525177813819</v>
      </c>
      <c r="F66" s="3"/>
      <c r="G66" s="3">
        <v>45866</v>
      </c>
      <c r="H66" s="3">
        <v>45866</v>
      </c>
      <c r="I66">
        <v>99.107600310326234</v>
      </c>
      <c r="J66">
        <v>55.336456546508998</v>
      </c>
      <c r="L66" s="3"/>
      <c r="M66" s="3"/>
    </row>
    <row r="67" spans="1:13" x14ac:dyDescent="0.2">
      <c r="A67" s="3">
        <v>45873</v>
      </c>
      <c r="B67" s="3">
        <v>45873</v>
      </c>
      <c r="C67">
        <v>79.646816983997269</v>
      </c>
      <c r="D67">
        <v>-313.6439530655407</v>
      </c>
      <c r="F67" s="3"/>
      <c r="G67" s="3">
        <v>45867</v>
      </c>
      <c r="H67" s="3">
        <v>45867</v>
      </c>
      <c r="I67">
        <v>-352.44411289060372</v>
      </c>
      <c r="J67">
        <v>808.42338771164214</v>
      </c>
      <c r="L67" s="3"/>
      <c r="M67" s="3"/>
    </row>
    <row r="68" spans="1:13" x14ac:dyDescent="0.2">
      <c r="A68" s="3">
        <v>45874</v>
      </c>
      <c r="B68" s="3">
        <v>45874</v>
      </c>
      <c r="C68">
        <v>-61.586330695790821</v>
      </c>
      <c r="D68">
        <v>-183.40606857009698</v>
      </c>
      <c r="F68" s="3"/>
      <c r="G68" s="3">
        <v>45868</v>
      </c>
      <c r="H68" s="3">
        <v>45868</v>
      </c>
      <c r="I68">
        <v>60.117548020596587</v>
      </c>
      <c r="J68">
        <v>381.14355264606638</v>
      </c>
      <c r="L68" s="3"/>
      <c r="M68" s="3"/>
    </row>
    <row r="69" spans="1:13" x14ac:dyDescent="0.2">
      <c r="A69" s="3">
        <v>45875</v>
      </c>
      <c r="B69" s="3">
        <v>45875</v>
      </c>
      <c r="C69">
        <v>-252.90471517193873</v>
      </c>
      <c r="D69">
        <v>549.16029255231479</v>
      </c>
      <c r="F69" s="3"/>
      <c r="G69" s="3">
        <v>45869</v>
      </c>
      <c r="H69" s="3">
        <v>45869</v>
      </c>
      <c r="I69">
        <v>-334.92154378958003</v>
      </c>
      <c r="J69">
        <v>185.31525177813819</v>
      </c>
      <c r="L69" s="3"/>
      <c r="M69" s="3"/>
    </row>
    <row r="70" spans="1:13" x14ac:dyDescent="0.2">
      <c r="A70" s="3">
        <v>45876</v>
      </c>
      <c r="B70" s="3">
        <v>45876</v>
      </c>
      <c r="C70">
        <v>-71.569512885209406</v>
      </c>
      <c r="D70">
        <v>122.76780310150934</v>
      </c>
      <c r="F70" s="3"/>
      <c r="G70" s="3">
        <v>45870</v>
      </c>
      <c r="H70" s="3">
        <v>45870</v>
      </c>
      <c r="I70">
        <v>-122.899751353743</v>
      </c>
      <c r="J70">
        <v>0</v>
      </c>
      <c r="L70" s="3"/>
      <c r="M70" s="3"/>
    </row>
    <row r="71" spans="1:13" x14ac:dyDescent="0.2">
      <c r="A71" s="3">
        <v>45877</v>
      </c>
      <c r="B71" s="3">
        <v>45877</v>
      </c>
      <c r="C71">
        <v>-391.14051371052119</v>
      </c>
      <c r="D71">
        <v>257.62805362818472</v>
      </c>
      <c r="F71" s="3"/>
      <c r="G71" s="3">
        <v>45873</v>
      </c>
      <c r="H71" s="3">
        <v>45873</v>
      </c>
      <c r="I71">
        <v>79.646816983997269</v>
      </c>
      <c r="J71">
        <v>-313.6439530655407</v>
      </c>
      <c r="L71" s="3"/>
      <c r="M71" s="3"/>
    </row>
    <row r="72" spans="1:13" x14ac:dyDescent="0.2">
      <c r="A72" s="3">
        <v>45880</v>
      </c>
      <c r="B72" s="3">
        <v>45880</v>
      </c>
      <c r="C72">
        <v>127.27885129543574</v>
      </c>
      <c r="D72">
        <v>709.14114179629178</v>
      </c>
      <c r="F72" s="3"/>
      <c r="G72" s="3">
        <v>45874</v>
      </c>
      <c r="H72" s="3">
        <v>45874</v>
      </c>
      <c r="I72">
        <v>-61.586330695790821</v>
      </c>
      <c r="J72">
        <v>-183.40606857009698</v>
      </c>
      <c r="L72" s="3"/>
      <c r="M72" s="3"/>
    </row>
    <row r="73" spans="1:13" x14ac:dyDescent="0.2">
      <c r="A73" s="3">
        <v>45881</v>
      </c>
      <c r="B73" s="3">
        <v>45881</v>
      </c>
      <c r="C73">
        <v>194.14525666015106</v>
      </c>
      <c r="D73">
        <v>224.90520385585114</v>
      </c>
      <c r="F73" s="3"/>
      <c r="G73" s="3">
        <v>45875</v>
      </c>
      <c r="H73" s="3">
        <v>45875</v>
      </c>
      <c r="I73">
        <v>-252.90471517193873</v>
      </c>
      <c r="J73">
        <v>549.16029255231479</v>
      </c>
      <c r="L73" s="3"/>
      <c r="M73" s="3"/>
    </row>
    <row r="74" spans="1:13" x14ac:dyDescent="0.2">
      <c r="A74" s="3">
        <v>45882</v>
      </c>
      <c r="B74" s="3">
        <v>45882</v>
      </c>
      <c r="C74">
        <v>-362.29252564188937</v>
      </c>
      <c r="D74">
        <v>-90.728387969465984</v>
      </c>
      <c r="F74" s="3"/>
      <c r="G74" s="3">
        <v>45876</v>
      </c>
      <c r="H74" s="3">
        <v>45876</v>
      </c>
      <c r="I74">
        <v>-71.569512885209406</v>
      </c>
      <c r="J74">
        <v>122.76780310150934</v>
      </c>
      <c r="L74" s="3"/>
      <c r="M74" s="3"/>
    </row>
    <row r="75" spans="1:13" x14ac:dyDescent="0.2">
      <c r="A75" s="3">
        <v>45883</v>
      </c>
      <c r="B75" s="3">
        <v>45883</v>
      </c>
      <c r="C75">
        <v>298.07831963729768</v>
      </c>
      <c r="D75">
        <v>45.998531346911477</v>
      </c>
      <c r="F75" s="3"/>
      <c r="G75" s="3">
        <v>45877</v>
      </c>
      <c r="H75" s="3">
        <v>45877</v>
      </c>
      <c r="I75">
        <v>-391.14051371052119</v>
      </c>
      <c r="J75">
        <v>257.62805362818472</v>
      </c>
      <c r="L75" s="3"/>
      <c r="M75" s="3"/>
    </row>
    <row r="76" spans="1:13" x14ac:dyDescent="0.2">
      <c r="A76" s="3">
        <v>45884</v>
      </c>
      <c r="B76" s="3">
        <v>45884</v>
      </c>
      <c r="C76">
        <v>179.98956873089264</v>
      </c>
      <c r="D76">
        <v>-275.77704979820555</v>
      </c>
      <c r="F76" s="3"/>
      <c r="G76" s="3">
        <v>45880</v>
      </c>
      <c r="H76" s="3">
        <v>45880</v>
      </c>
      <c r="I76">
        <v>127.27885129543574</v>
      </c>
      <c r="J76">
        <v>709.14114179629178</v>
      </c>
      <c r="L76" s="3"/>
      <c r="M76" s="3"/>
    </row>
    <row r="77" spans="1:13" x14ac:dyDescent="0.2">
      <c r="A77" s="3">
        <v>45887</v>
      </c>
      <c r="B77" s="3">
        <v>45887</v>
      </c>
      <c r="C77">
        <v>192.13149813514246</v>
      </c>
      <c r="D77">
        <v>162.77781853953638</v>
      </c>
      <c r="F77" s="3"/>
      <c r="G77" s="3">
        <v>45881</v>
      </c>
      <c r="H77" s="3">
        <v>45881</v>
      </c>
      <c r="I77">
        <v>194.14525666015106</v>
      </c>
      <c r="J77">
        <v>224.90520385585114</v>
      </c>
      <c r="L77" s="3"/>
      <c r="M77" s="3"/>
    </row>
    <row r="78" spans="1:13" x14ac:dyDescent="0.2">
      <c r="A78" s="3">
        <v>45888</v>
      </c>
      <c r="B78" s="3">
        <v>45888</v>
      </c>
      <c r="C78">
        <v>-167.27543826520559</v>
      </c>
      <c r="D78">
        <v>-363.86782968860643</v>
      </c>
      <c r="F78" s="3"/>
      <c r="G78" s="3">
        <v>45882</v>
      </c>
      <c r="H78" s="3">
        <v>45882</v>
      </c>
      <c r="I78">
        <v>-362.29252564188937</v>
      </c>
      <c r="J78">
        <v>-90.728387969465984</v>
      </c>
      <c r="L78" s="3"/>
      <c r="M78" s="3"/>
    </row>
    <row r="79" spans="1:13" x14ac:dyDescent="0.2">
      <c r="A79" s="3">
        <v>45889</v>
      </c>
      <c r="B79" s="3">
        <v>45889</v>
      </c>
      <c r="C79">
        <v>159.80139026464167</v>
      </c>
      <c r="D79">
        <v>-514.49802173389617</v>
      </c>
      <c r="F79" s="3"/>
      <c r="G79" s="3">
        <v>45883</v>
      </c>
      <c r="H79" s="3">
        <v>45883</v>
      </c>
      <c r="I79">
        <v>298.07831963729768</v>
      </c>
      <c r="J79">
        <v>45.998531346911477</v>
      </c>
      <c r="L79" s="3"/>
      <c r="M79" s="3"/>
    </row>
    <row r="80" spans="1:13" x14ac:dyDescent="0.2">
      <c r="A80" s="3">
        <v>45890</v>
      </c>
      <c r="B80" s="3">
        <v>45890</v>
      </c>
      <c r="C80">
        <v>-31.908375673476257</v>
      </c>
      <c r="D80">
        <v>330.37755106325858</v>
      </c>
      <c r="F80" s="3"/>
      <c r="G80" s="3">
        <v>45884</v>
      </c>
      <c r="H80" s="3">
        <v>45884</v>
      </c>
      <c r="I80">
        <v>179.98956873089264</v>
      </c>
      <c r="J80">
        <v>-275.77704979820555</v>
      </c>
      <c r="L80" s="3"/>
      <c r="M80" s="3"/>
    </row>
    <row r="81" spans="1:13" x14ac:dyDescent="0.2">
      <c r="A81" s="3">
        <v>45891</v>
      </c>
      <c r="B81" s="3">
        <v>45891</v>
      </c>
      <c r="C81">
        <v>55.426038821431575</v>
      </c>
      <c r="D81">
        <v>-301.94363659465307</v>
      </c>
      <c r="F81" s="3"/>
      <c r="G81" s="3">
        <v>45887</v>
      </c>
      <c r="H81" s="3">
        <v>45887</v>
      </c>
      <c r="I81">
        <v>192.13149813514246</v>
      </c>
      <c r="J81">
        <v>162.77781853953638</v>
      </c>
      <c r="L81" s="3"/>
      <c r="M81" s="3"/>
    </row>
    <row r="82" spans="1:13" x14ac:dyDescent="0.2">
      <c r="A82" s="3">
        <v>45895</v>
      </c>
      <c r="B82" s="3">
        <v>45895</v>
      </c>
      <c r="C82">
        <v>256.25161796796601</v>
      </c>
      <c r="D82">
        <v>254.62701552814906</v>
      </c>
      <c r="F82" s="3"/>
      <c r="G82" s="3">
        <v>45888</v>
      </c>
      <c r="H82" s="3">
        <v>45888</v>
      </c>
      <c r="I82">
        <v>-167.27543826520559</v>
      </c>
      <c r="J82">
        <v>-363.86782968860643</v>
      </c>
      <c r="L82" s="3"/>
      <c r="M82" s="3"/>
    </row>
    <row r="83" spans="1:13" x14ac:dyDescent="0.2">
      <c r="A83" s="3">
        <v>45896</v>
      </c>
      <c r="B83" s="3">
        <v>45896</v>
      </c>
      <c r="C83">
        <v>-74.930110397239332</v>
      </c>
      <c r="D83">
        <v>-374.63325017661919</v>
      </c>
      <c r="F83" s="3"/>
      <c r="G83" s="3">
        <v>45889</v>
      </c>
      <c r="H83" s="3">
        <v>45889</v>
      </c>
      <c r="I83">
        <v>159.80139026464167</v>
      </c>
      <c r="J83">
        <v>-514.49802173389617</v>
      </c>
      <c r="L83" s="3"/>
      <c r="M83" s="3"/>
    </row>
    <row r="84" spans="1:13" x14ac:dyDescent="0.2">
      <c r="A84" s="3">
        <v>45897</v>
      </c>
      <c r="B84" s="3">
        <v>45897</v>
      </c>
      <c r="C84">
        <v>198.59268217388308</v>
      </c>
      <c r="D84">
        <v>-77.975558389221987</v>
      </c>
      <c r="F84" s="3"/>
      <c r="G84" s="3">
        <v>45890</v>
      </c>
      <c r="H84" s="3">
        <v>45890</v>
      </c>
      <c r="I84">
        <v>-31.908375673476257</v>
      </c>
      <c r="J84">
        <v>330.37755106325858</v>
      </c>
      <c r="L84" s="3"/>
      <c r="M84" s="3"/>
    </row>
    <row r="85" spans="1:13" x14ac:dyDescent="0.2">
      <c r="A85" s="3">
        <v>45898</v>
      </c>
      <c r="B85" s="3">
        <v>45898</v>
      </c>
      <c r="C85">
        <v>7.9830652162563638</v>
      </c>
      <c r="D85">
        <v>39.366494297210011</v>
      </c>
      <c r="F85" s="3"/>
      <c r="G85" s="3">
        <v>45891</v>
      </c>
      <c r="H85" s="3">
        <v>45891</v>
      </c>
      <c r="I85">
        <v>55.426038821431575</v>
      </c>
      <c r="J85">
        <v>-301.94363659465307</v>
      </c>
      <c r="L85" s="3"/>
      <c r="M85" s="3"/>
    </row>
    <row r="86" spans="1:13" x14ac:dyDescent="0.2">
      <c r="A86" s="3">
        <v>45902</v>
      </c>
      <c r="B86" s="3">
        <v>45902</v>
      </c>
      <c r="C86">
        <v>199.97756216497146</v>
      </c>
      <c r="D86">
        <v>-344.95248534224811</v>
      </c>
      <c r="F86" s="3"/>
      <c r="G86" s="3">
        <v>45894</v>
      </c>
      <c r="H86" s="3">
        <v>45894</v>
      </c>
      <c r="I86">
        <v>142.66911493056614</v>
      </c>
      <c r="J86">
        <v>0</v>
      </c>
      <c r="L86" s="3"/>
      <c r="M86" s="3"/>
    </row>
    <row r="87" spans="1:13" x14ac:dyDescent="0.2">
      <c r="A87" s="3">
        <v>45903</v>
      </c>
      <c r="B87" s="3">
        <v>45903</v>
      </c>
      <c r="C87">
        <v>5.2383416586199019</v>
      </c>
      <c r="D87">
        <v>43.897597064402362</v>
      </c>
      <c r="F87" s="3"/>
      <c r="G87" s="3">
        <v>45895</v>
      </c>
      <c r="H87" s="3">
        <v>45895</v>
      </c>
      <c r="I87">
        <v>256.25161796796601</v>
      </c>
      <c r="J87">
        <v>254.62701552814906</v>
      </c>
      <c r="L87" s="3"/>
      <c r="M87" s="3"/>
    </row>
    <row r="88" spans="1:13" x14ac:dyDescent="0.2">
      <c r="A88" s="3">
        <v>45904</v>
      </c>
      <c r="B88" s="3">
        <v>45904</v>
      </c>
      <c r="C88">
        <v>-58.31681856405703</v>
      </c>
      <c r="D88">
        <v>91.232148311995843</v>
      </c>
      <c r="F88" s="3"/>
      <c r="G88" s="3">
        <v>45896</v>
      </c>
      <c r="H88" s="3">
        <v>45896</v>
      </c>
      <c r="I88">
        <v>-74.930110397239332</v>
      </c>
      <c r="J88">
        <v>-374.63325017661919</v>
      </c>
      <c r="L88" s="3"/>
      <c r="M88" s="3"/>
    </row>
    <row r="89" spans="1:13" x14ac:dyDescent="0.2">
      <c r="A89" s="3">
        <v>45905</v>
      </c>
      <c r="B89" s="3">
        <v>45905</v>
      </c>
      <c r="C89">
        <v>-191.44499218853525</v>
      </c>
      <c r="D89">
        <v>-219.28096683066178</v>
      </c>
      <c r="F89" s="3"/>
      <c r="G89" s="3">
        <v>45897</v>
      </c>
      <c r="H89" s="3">
        <v>45897</v>
      </c>
      <c r="I89">
        <v>198.59268217388308</v>
      </c>
      <c r="J89">
        <v>-77.975558389221987</v>
      </c>
      <c r="L89" s="3"/>
      <c r="M89" s="3"/>
    </row>
    <row r="90" spans="1:13" x14ac:dyDescent="0.2">
      <c r="A90" s="3">
        <v>45908</v>
      </c>
      <c r="B90" s="3">
        <v>45908</v>
      </c>
      <c r="C90">
        <v>-94.224541468924144</v>
      </c>
      <c r="D90">
        <v>242.41355775329066</v>
      </c>
      <c r="F90" s="3"/>
      <c r="G90" s="3">
        <v>45898</v>
      </c>
      <c r="H90" s="3">
        <v>45898</v>
      </c>
      <c r="I90">
        <v>7.9830652162563638</v>
      </c>
      <c r="J90">
        <v>39.366494297210011</v>
      </c>
      <c r="L90" s="3"/>
      <c r="M90" s="3"/>
    </row>
    <row r="91" spans="1:13" x14ac:dyDescent="0.2">
      <c r="A91" s="3">
        <v>45909</v>
      </c>
      <c r="B91" s="3">
        <v>45909</v>
      </c>
      <c r="C91">
        <v>105.03172408988758</v>
      </c>
      <c r="D91">
        <v>185.09630185215428</v>
      </c>
      <c r="F91" s="3"/>
      <c r="G91" s="3">
        <v>45901</v>
      </c>
      <c r="H91" s="3">
        <v>45901</v>
      </c>
      <c r="I91">
        <v>0</v>
      </c>
      <c r="J91">
        <v>239.67885781079895</v>
      </c>
      <c r="L91" s="3"/>
      <c r="M91" s="3"/>
    </row>
    <row r="92" spans="1:13" x14ac:dyDescent="0.2">
      <c r="A92" s="3">
        <v>45910</v>
      </c>
      <c r="B92" s="3">
        <v>45910</v>
      </c>
      <c r="C92">
        <v>793.10367971065716</v>
      </c>
      <c r="D92">
        <v>432.53663808031342</v>
      </c>
      <c r="F92" s="3"/>
      <c r="G92" s="3">
        <v>45902</v>
      </c>
      <c r="H92" s="3">
        <v>45902</v>
      </c>
      <c r="I92">
        <v>199.97756216497146</v>
      </c>
      <c r="J92">
        <v>-344.95248534224811</v>
      </c>
      <c r="L92" s="3"/>
      <c r="M92" s="3"/>
    </row>
    <row r="93" spans="1:13" x14ac:dyDescent="0.2">
      <c r="A93" s="3">
        <v>45911</v>
      </c>
      <c r="B93" s="3">
        <v>45911</v>
      </c>
      <c r="C93">
        <v>-22.211766302196338</v>
      </c>
      <c r="D93">
        <v>104.70384252694203</v>
      </c>
      <c r="F93" s="3"/>
      <c r="G93" s="3">
        <v>45903</v>
      </c>
      <c r="H93" s="3">
        <v>45903</v>
      </c>
      <c r="I93">
        <v>5.2383416586199019</v>
      </c>
      <c r="J93">
        <v>43.897597064402362</v>
      </c>
      <c r="L93" s="3"/>
      <c r="M93" s="3"/>
    </row>
    <row r="94" spans="1:13" x14ac:dyDescent="0.2">
      <c r="A94" s="3">
        <v>45912</v>
      </c>
      <c r="B94" s="3">
        <v>45912</v>
      </c>
      <c r="C94">
        <v>-0.93071859565679915</v>
      </c>
      <c r="D94">
        <v>258.98554110695841</v>
      </c>
      <c r="F94" s="3"/>
      <c r="G94" s="3">
        <v>45904</v>
      </c>
      <c r="H94" s="3">
        <v>45904</v>
      </c>
      <c r="I94">
        <v>-58.31681856405703</v>
      </c>
      <c r="J94">
        <v>91.232148311995843</v>
      </c>
      <c r="L94" s="3"/>
      <c r="M94" s="3"/>
    </row>
    <row r="95" spans="1:13" x14ac:dyDescent="0.2">
      <c r="A95" s="3">
        <v>45915</v>
      </c>
      <c r="B95" s="3">
        <v>45915</v>
      </c>
      <c r="C95">
        <v>-60.336626499843987</v>
      </c>
      <c r="D95">
        <v>282.55434937871178</v>
      </c>
      <c r="F95" s="3"/>
      <c r="G95" s="3">
        <v>45905</v>
      </c>
      <c r="H95" s="3">
        <v>45905</v>
      </c>
      <c r="I95">
        <v>-191.44499218853525</v>
      </c>
      <c r="J95">
        <v>-219.28096683066178</v>
      </c>
      <c r="L95" s="3"/>
      <c r="M95" s="3"/>
    </row>
    <row r="96" spans="1:13" x14ac:dyDescent="0.2">
      <c r="A96" s="3">
        <v>45916</v>
      </c>
      <c r="B96" s="3">
        <v>45916</v>
      </c>
      <c r="C96">
        <v>-309.69306520314422</v>
      </c>
      <c r="D96">
        <v>-232.07048298076188</v>
      </c>
      <c r="F96" s="3"/>
      <c r="G96" s="3">
        <v>45908</v>
      </c>
      <c r="H96" s="3">
        <v>45908</v>
      </c>
      <c r="I96">
        <v>-94.224541468924144</v>
      </c>
      <c r="J96">
        <v>242.41355775329066</v>
      </c>
      <c r="L96" s="3"/>
      <c r="M96" s="3"/>
    </row>
    <row r="97" spans="1:13" x14ac:dyDescent="0.2">
      <c r="A97" s="3">
        <v>45917</v>
      </c>
      <c r="B97" s="3">
        <v>45917</v>
      </c>
      <c r="C97">
        <v>-221.8237621588305</v>
      </c>
      <c r="D97">
        <v>-248.54197607667084</v>
      </c>
      <c r="F97" s="3"/>
      <c r="G97" s="3">
        <v>45909</v>
      </c>
      <c r="H97" s="3">
        <v>45909</v>
      </c>
      <c r="I97">
        <v>105.03172408988758</v>
      </c>
      <c r="J97">
        <v>185.09630185215428</v>
      </c>
      <c r="L97" s="3"/>
      <c r="M97" s="3"/>
    </row>
    <row r="98" spans="1:13" x14ac:dyDescent="0.2">
      <c r="A98" s="3">
        <v>45918</v>
      </c>
      <c r="B98" s="3">
        <v>45918</v>
      </c>
      <c r="C98">
        <v>18.272757616086892</v>
      </c>
      <c r="D98">
        <v>-53.446826520888862</v>
      </c>
      <c r="F98" s="3"/>
      <c r="G98" s="3">
        <v>45910</v>
      </c>
      <c r="H98" s="3">
        <v>45910</v>
      </c>
      <c r="I98">
        <v>793.10367971065716</v>
      </c>
      <c r="J98">
        <v>432.53663808031342</v>
      </c>
      <c r="L98" s="3"/>
      <c r="M98" s="3"/>
    </row>
    <row r="99" spans="1:13" x14ac:dyDescent="0.2">
      <c r="A99" s="3">
        <v>45919</v>
      </c>
      <c r="B99" s="3">
        <v>45919</v>
      </c>
      <c r="C99">
        <v>62.896241548420221</v>
      </c>
      <c r="D99">
        <v>257.10193840977445</v>
      </c>
      <c r="F99" s="3"/>
      <c r="G99" s="3">
        <v>45911</v>
      </c>
      <c r="H99" s="3">
        <v>45911</v>
      </c>
      <c r="I99">
        <v>-22.211766302196338</v>
      </c>
      <c r="J99">
        <v>104.70384252694203</v>
      </c>
      <c r="L99" s="3"/>
      <c r="M99" s="3"/>
    </row>
    <row r="100" spans="1:13" x14ac:dyDescent="0.2">
      <c r="A100" s="3">
        <v>45922</v>
      </c>
      <c r="B100" s="3">
        <v>45922</v>
      </c>
      <c r="C100">
        <v>110.07270823826912</v>
      </c>
      <c r="D100">
        <v>-86.230596283930936</v>
      </c>
      <c r="F100" s="3"/>
      <c r="G100" s="3">
        <v>45912</v>
      </c>
      <c r="H100" s="3">
        <v>45912</v>
      </c>
      <c r="I100">
        <v>-0.93071859565679915</v>
      </c>
      <c r="J100">
        <v>258.98554110695841</v>
      </c>
      <c r="L100" s="3"/>
      <c r="M100" s="3"/>
    </row>
    <row r="101" spans="1:13" x14ac:dyDescent="0.2">
      <c r="A101" s="3">
        <v>45923</v>
      </c>
      <c r="B101" s="3">
        <v>45923</v>
      </c>
      <c r="C101">
        <v>114.67705098791703</v>
      </c>
      <c r="D101">
        <v>-73.772331497129926</v>
      </c>
      <c r="F101" s="3"/>
      <c r="G101" s="3">
        <v>45915</v>
      </c>
      <c r="H101" s="3">
        <v>45915</v>
      </c>
      <c r="I101">
        <v>-60.336626499843987</v>
      </c>
      <c r="J101">
        <v>282.55434937871178</v>
      </c>
      <c r="L101" s="3"/>
      <c r="M101" s="3"/>
    </row>
    <row r="102" spans="1:13" x14ac:dyDescent="0.2">
      <c r="A102" s="3">
        <v>45924</v>
      </c>
      <c r="B102" s="3">
        <v>45924</v>
      </c>
      <c r="C102">
        <v>-95.570341660109989</v>
      </c>
      <c r="D102">
        <v>523.13543708739235</v>
      </c>
      <c r="F102" s="3"/>
      <c r="G102" s="3">
        <v>45916</v>
      </c>
      <c r="H102" s="3">
        <v>45916</v>
      </c>
      <c r="I102">
        <v>-309.69306520314422</v>
      </c>
      <c r="J102">
        <v>-232.07048298076188</v>
      </c>
      <c r="L102" s="3"/>
      <c r="M102" s="3"/>
    </row>
    <row r="103" spans="1:13" x14ac:dyDescent="0.2">
      <c r="A103" s="3">
        <v>45925</v>
      </c>
      <c r="B103" s="3">
        <v>45925</v>
      </c>
      <c r="C103">
        <v>-153.33233978210774</v>
      </c>
      <c r="D103">
        <v>26.057464048226393</v>
      </c>
      <c r="F103" s="3"/>
      <c r="G103" s="3">
        <v>45917</v>
      </c>
      <c r="H103" s="3">
        <v>45917</v>
      </c>
      <c r="I103">
        <v>-221.8237621588305</v>
      </c>
      <c r="J103">
        <v>-248.54197607667084</v>
      </c>
      <c r="L103" s="3"/>
      <c r="M103" s="3"/>
    </row>
    <row r="104" spans="1:13" x14ac:dyDescent="0.2">
      <c r="A104" s="3">
        <v>45926</v>
      </c>
      <c r="B104" s="3">
        <v>45926</v>
      </c>
      <c r="C104">
        <v>82.678272561533959</v>
      </c>
      <c r="D104">
        <v>286.79017057527017</v>
      </c>
      <c r="F104" s="3"/>
      <c r="G104" s="3">
        <v>45918</v>
      </c>
      <c r="H104" s="3">
        <v>45918</v>
      </c>
      <c r="I104">
        <v>18.272757616086892</v>
      </c>
      <c r="J104">
        <v>-53.446826520888862</v>
      </c>
      <c r="L104" s="3"/>
      <c r="M104" s="3"/>
    </row>
    <row r="105" spans="1:13" x14ac:dyDescent="0.2">
      <c r="A105" s="3">
        <v>45929</v>
      </c>
      <c r="B105" s="3">
        <v>45929</v>
      </c>
      <c r="C105">
        <v>-95.665809850299411</v>
      </c>
      <c r="D105">
        <v>-278.84868946157076</v>
      </c>
      <c r="F105" s="3"/>
      <c r="G105" s="3">
        <v>45919</v>
      </c>
      <c r="H105" s="3">
        <v>45919</v>
      </c>
      <c r="I105">
        <v>62.896241548420221</v>
      </c>
      <c r="J105">
        <v>257.10193840977445</v>
      </c>
      <c r="L105" s="3"/>
      <c r="M105" s="3"/>
    </row>
    <row r="106" spans="1:13" x14ac:dyDescent="0.2">
      <c r="A106" s="3">
        <v>45930</v>
      </c>
      <c r="B106" s="3">
        <v>45930</v>
      </c>
      <c r="C106">
        <v>51.654693477921683</v>
      </c>
      <c r="D106">
        <v>44.332405603032385</v>
      </c>
      <c r="F106" s="3"/>
      <c r="G106" s="3">
        <v>45922</v>
      </c>
      <c r="H106" s="3">
        <v>45922</v>
      </c>
      <c r="I106">
        <v>110.07270823826912</v>
      </c>
      <c r="J106">
        <v>-86.230596283930936</v>
      </c>
      <c r="L106" s="3"/>
      <c r="M106" s="3"/>
    </row>
    <row r="107" spans="1:13" x14ac:dyDescent="0.2">
      <c r="A107" s="3">
        <v>45931</v>
      </c>
      <c r="B107" s="3">
        <v>45931</v>
      </c>
      <c r="C107">
        <v>248.56122445113215</v>
      </c>
      <c r="D107">
        <v>-5.532471653950779</v>
      </c>
      <c r="F107" s="3"/>
      <c r="G107" s="3">
        <v>45923</v>
      </c>
      <c r="H107" s="3">
        <v>45923</v>
      </c>
      <c r="I107">
        <v>114.67705098791703</v>
      </c>
      <c r="J107">
        <v>-73.772331497129926</v>
      </c>
      <c r="L107" s="3"/>
      <c r="M107" s="3"/>
    </row>
    <row r="108" spans="1:13" x14ac:dyDescent="0.2">
      <c r="A108" s="3">
        <v>45932</v>
      </c>
      <c r="B108" s="3">
        <v>45932</v>
      </c>
      <c r="C108">
        <v>59.023650734528928</v>
      </c>
      <c r="D108">
        <v>46.685755881142541</v>
      </c>
      <c r="F108" s="3"/>
      <c r="G108" s="3">
        <v>45924</v>
      </c>
      <c r="H108" s="3">
        <v>45924</v>
      </c>
      <c r="I108">
        <v>-95.570341660109989</v>
      </c>
      <c r="J108">
        <v>523.13543708739235</v>
      </c>
      <c r="L108" s="3"/>
      <c r="M108" s="3"/>
    </row>
    <row r="109" spans="1:13" x14ac:dyDescent="0.2">
      <c r="A109" s="3">
        <v>45933</v>
      </c>
      <c r="B109" s="3">
        <v>45933</v>
      </c>
      <c r="C109">
        <v>-56.748668234828074</v>
      </c>
      <c r="D109">
        <v>-106.82019524931457</v>
      </c>
      <c r="F109" s="3"/>
      <c r="G109" s="3">
        <v>45925</v>
      </c>
      <c r="H109" s="3">
        <v>45925</v>
      </c>
      <c r="I109">
        <v>-153.33233978210774</v>
      </c>
      <c r="J109">
        <v>26.057464048226393</v>
      </c>
      <c r="L109" s="3"/>
      <c r="M109" s="3"/>
    </row>
    <row r="110" spans="1:13" x14ac:dyDescent="0.2">
      <c r="A110" s="3">
        <v>45936</v>
      </c>
      <c r="B110" s="3">
        <v>45936</v>
      </c>
      <c r="C110">
        <v>192.44373218367764</v>
      </c>
      <c r="D110">
        <v>20.995912392365426</v>
      </c>
      <c r="F110" s="3"/>
      <c r="G110" s="3">
        <v>45926</v>
      </c>
      <c r="H110" s="3">
        <v>45926</v>
      </c>
      <c r="I110">
        <v>82.678272561533959</v>
      </c>
      <c r="J110">
        <v>286.79017057527017</v>
      </c>
      <c r="L110" s="3"/>
      <c r="M110" s="3"/>
    </row>
    <row r="111" spans="1:13" x14ac:dyDescent="0.2">
      <c r="A111" s="3">
        <v>45937</v>
      </c>
      <c r="B111" s="3">
        <v>45937</v>
      </c>
      <c r="C111">
        <v>-101.38381978639518</v>
      </c>
      <c r="D111">
        <v>-147.97864933176606</v>
      </c>
      <c r="F111" s="3"/>
      <c r="G111" s="3">
        <v>45929</v>
      </c>
      <c r="H111" s="3">
        <v>45929</v>
      </c>
      <c r="I111">
        <v>-95.665809850299411</v>
      </c>
      <c r="J111">
        <v>-278.84868946157076</v>
      </c>
      <c r="L111" s="3"/>
      <c r="M111" s="3"/>
    </row>
    <row r="112" spans="1:13" x14ac:dyDescent="0.2">
      <c r="A112" s="3">
        <v>45938</v>
      </c>
      <c r="B112" s="3">
        <v>45938</v>
      </c>
      <c r="C112">
        <v>-26.214959200322483</v>
      </c>
      <c r="D112">
        <v>305.36931759744766</v>
      </c>
      <c r="F112" s="3"/>
      <c r="G112" s="3">
        <v>45930</v>
      </c>
      <c r="H112" s="3">
        <v>45930</v>
      </c>
      <c r="I112">
        <v>51.654693477921683</v>
      </c>
      <c r="J112">
        <v>44.332405603032385</v>
      </c>
      <c r="L112" s="3"/>
      <c r="M112" s="3"/>
    </row>
    <row r="113" spans="1:13" x14ac:dyDescent="0.2">
      <c r="A113" s="3">
        <v>45939</v>
      </c>
      <c r="B113" s="3">
        <v>45939</v>
      </c>
      <c r="C113">
        <v>44.045749986573355</v>
      </c>
      <c r="D113">
        <v>101.31221254956836</v>
      </c>
      <c r="F113" s="3"/>
      <c r="G113" s="3">
        <v>45931</v>
      </c>
      <c r="H113" s="3">
        <v>45931</v>
      </c>
      <c r="I113">
        <v>248.56122445113215</v>
      </c>
      <c r="J113">
        <v>-5.532471653950779</v>
      </c>
      <c r="L113" s="3"/>
      <c r="M113" s="3"/>
    </row>
    <row r="114" spans="1:13" x14ac:dyDescent="0.2">
      <c r="A114" s="3">
        <v>45940</v>
      </c>
      <c r="B114" s="3">
        <v>45940</v>
      </c>
      <c r="C114">
        <v>75.394374922736461</v>
      </c>
      <c r="D114">
        <v>-404.63920579021578</v>
      </c>
      <c r="F114" s="3"/>
      <c r="G114" s="3">
        <v>45932</v>
      </c>
      <c r="H114" s="3">
        <v>45932</v>
      </c>
      <c r="I114">
        <v>59.023650734528928</v>
      </c>
      <c r="J114">
        <v>46.685755881142541</v>
      </c>
      <c r="L114" s="3"/>
      <c r="M114" s="3"/>
    </row>
    <row r="115" spans="1:13" x14ac:dyDescent="0.2">
      <c r="A115" s="3">
        <v>45943</v>
      </c>
      <c r="B115" s="3">
        <v>45943</v>
      </c>
      <c r="C115">
        <v>-93.202531453600386</v>
      </c>
      <c r="D115">
        <v>122.87136727102188</v>
      </c>
      <c r="F115" s="3"/>
      <c r="G115" s="3">
        <v>45933</v>
      </c>
      <c r="H115" s="3">
        <v>45933</v>
      </c>
      <c r="I115">
        <v>-56.748668234828074</v>
      </c>
      <c r="J115">
        <v>-106.82019524931457</v>
      </c>
      <c r="L115" s="3"/>
      <c r="M115" s="3"/>
    </row>
    <row r="116" spans="1:13" x14ac:dyDescent="0.2">
      <c r="A116" s="3">
        <v>45944</v>
      </c>
      <c r="B116" s="3">
        <v>45944</v>
      </c>
      <c r="C116">
        <v>5.4301217747815826</v>
      </c>
      <c r="D116">
        <v>103.01174108974374</v>
      </c>
      <c r="F116" s="3"/>
      <c r="G116" s="3">
        <v>45936</v>
      </c>
      <c r="H116" s="3">
        <v>45936</v>
      </c>
      <c r="I116">
        <v>192.44373218367764</v>
      </c>
      <c r="J116">
        <v>20.995912392365426</v>
      </c>
      <c r="L116" s="3"/>
      <c r="M116" s="3"/>
    </row>
    <row r="117" spans="1:13" x14ac:dyDescent="0.2">
      <c r="A117" s="3">
        <v>45945</v>
      </c>
      <c r="B117" s="3">
        <v>45945</v>
      </c>
      <c r="C117">
        <v>-60.548106264301168</v>
      </c>
      <c r="D117">
        <v>-280.68573273343645</v>
      </c>
      <c r="F117" s="3"/>
      <c r="G117" s="3">
        <v>45937</v>
      </c>
      <c r="H117" s="3">
        <v>45937</v>
      </c>
      <c r="I117">
        <v>-101.38381978639518</v>
      </c>
      <c r="J117">
        <v>-147.97864933176606</v>
      </c>
      <c r="L117" s="3"/>
      <c r="M117" s="3"/>
    </row>
    <row r="118" spans="1:13" x14ac:dyDescent="0.2">
      <c r="A118" s="3">
        <v>45946</v>
      </c>
      <c r="B118" s="3">
        <v>45946</v>
      </c>
      <c r="C118">
        <v>-245.17489568574456</v>
      </c>
      <c r="D118">
        <v>-180.01186493779824</v>
      </c>
      <c r="F118" s="3"/>
      <c r="G118" s="3">
        <v>45938</v>
      </c>
      <c r="H118" s="3">
        <v>45938</v>
      </c>
      <c r="I118">
        <v>-26.214959200322483</v>
      </c>
      <c r="J118">
        <v>305.36931759744766</v>
      </c>
      <c r="L118" s="3"/>
      <c r="M118" s="3"/>
    </row>
    <row r="119" spans="1:13" x14ac:dyDescent="0.2">
      <c r="A119" s="3">
        <v>45947</v>
      </c>
      <c r="B119" s="3">
        <v>45947</v>
      </c>
      <c r="C119">
        <v>-326.33519490756225</v>
      </c>
      <c r="D119">
        <v>-532.67087092222937</v>
      </c>
      <c r="F119" s="3"/>
      <c r="G119" s="3">
        <v>45939</v>
      </c>
      <c r="H119" s="3">
        <v>45939</v>
      </c>
      <c r="I119">
        <v>44.045749986573355</v>
      </c>
      <c r="J119">
        <v>101.31221254956836</v>
      </c>
      <c r="L119" s="3"/>
      <c r="M119" s="3"/>
    </row>
    <row r="120" spans="1:13" x14ac:dyDescent="0.2">
      <c r="A120" s="3">
        <v>45950</v>
      </c>
      <c r="B120" s="3">
        <v>45950</v>
      </c>
      <c r="C120">
        <v>296.45407064872052</v>
      </c>
      <c r="D120">
        <v>469.68858636495133</v>
      </c>
      <c r="F120" s="3"/>
      <c r="G120" s="3">
        <v>45940</v>
      </c>
      <c r="H120" s="3">
        <v>45940</v>
      </c>
      <c r="I120">
        <v>75.394374922736461</v>
      </c>
      <c r="J120">
        <v>-404.63920579021578</v>
      </c>
      <c r="L120" s="3"/>
      <c r="M120" s="3"/>
    </row>
    <row r="121" spans="1:13" x14ac:dyDescent="0.2">
      <c r="A121" s="3">
        <v>45951</v>
      </c>
      <c r="B121" s="3">
        <v>45951</v>
      </c>
      <c r="C121">
        <v>-10.354664315418631</v>
      </c>
      <c r="D121">
        <v>-286.90356764123135</v>
      </c>
      <c r="F121" s="3"/>
      <c r="G121" s="3">
        <v>45943</v>
      </c>
      <c r="H121" s="3">
        <v>45943</v>
      </c>
      <c r="I121">
        <v>-93.202531453600386</v>
      </c>
      <c r="J121">
        <v>122.87136727102188</v>
      </c>
      <c r="L121" s="3"/>
      <c r="M121" s="3"/>
    </row>
    <row r="122" spans="1:13" x14ac:dyDescent="0.2">
      <c r="A122" s="3">
        <v>45952</v>
      </c>
      <c r="B122" s="3">
        <v>45952</v>
      </c>
      <c r="C122">
        <v>-85.362065859280847</v>
      </c>
      <c r="D122">
        <v>-439.61140756513123</v>
      </c>
      <c r="F122" s="3"/>
      <c r="G122" s="3">
        <v>45944</v>
      </c>
      <c r="H122" s="3">
        <v>45944</v>
      </c>
      <c r="I122">
        <v>5.4301217747815826</v>
      </c>
      <c r="J122">
        <v>103.01174108974374</v>
      </c>
      <c r="L122" s="3"/>
      <c r="M122" s="3"/>
    </row>
    <row r="123" spans="1:13" x14ac:dyDescent="0.2">
      <c r="A123" s="3">
        <v>45953</v>
      </c>
      <c r="B123" s="3">
        <v>45953</v>
      </c>
      <c r="C123">
        <v>-410.00684443641876</v>
      </c>
      <c r="D123">
        <v>108.42076952131538</v>
      </c>
      <c r="F123" s="3"/>
      <c r="G123" s="3">
        <v>45945</v>
      </c>
      <c r="H123" s="3">
        <v>45945</v>
      </c>
      <c r="I123">
        <v>-60.548106264301168</v>
      </c>
      <c r="J123">
        <v>-280.68573273343645</v>
      </c>
      <c r="L123" s="3"/>
      <c r="M123" s="3"/>
    </row>
    <row r="124" spans="1:13" x14ac:dyDescent="0.2">
      <c r="A124" s="3">
        <v>45954</v>
      </c>
      <c r="B124" s="3">
        <v>45954</v>
      </c>
      <c r="C124">
        <v>5.1374444725406647</v>
      </c>
      <c r="D124">
        <v>147.63298810879496</v>
      </c>
      <c r="F124" s="3"/>
      <c r="G124" s="3">
        <v>45946</v>
      </c>
      <c r="H124" s="3">
        <v>45946</v>
      </c>
      <c r="I124">
        <v>-245.17489568574456</v>
      </c>
      <c r="J124">
        <v>-180.01186493779824</v>
      </c>
      <c r="L124" s="3"/>
      <c r="M124" s="3"/>
    </row>
    <row r="125" spans="1:13" x14ac:dyDescent="0.2">
      <c r="A125" s="3">
        <v>45957</v>
      </c>
      <c r="B125" s="3">
        <v>45957</v>
      </c>
      <c r="C125">
        <v>156.27751937076755</v>
      </c>
      <c r="D125">
        <v>228.33647107246361</v>
      </c>
      <c r="F125" s="3"/>
      <c r="G125" s="3">
        <v>45947</v>
      </c>
      <c r="H125" s="3">
        <v>45947</v>
      </c>
      <c r="I125">
        <v>-326.33519490756225</v>
      </c>
      <c r="J125">
        <v>-532.67087092222937</v>
      </c>
      <c r="L125" s="3"/>
      <c r="M125" s="3"/>
    </row>
    <row r="126" spans="1:13" x14ac:dyDescent="0.2">
      <c r="A126" s="3">
        <v>45958</v>
      </c>
      <c r="B126" s="3">
        <v>45958</v>
      </c>
      <c r="C126">
        <v>-520.08650094890618</v>
      </c>
      <c r="D126">
        <v>387.12034292974568</v>
      </c>
      <c r="F126" s="3"/>
      <c r="G126" s="3">
        <v>45950</v>
      </c>
      <c r="H126" s="3">
        <v>45950</v>
      </c>
      <c r="I126">
        <v>296.45407064872052</v>
      </c>
      <c r="J126">
        <v>469.68858636495133</v>
      </c>
      <c r="L126" s="3"/>
      <c r="M126" s="3"/>
    </row>
    <row r="127" spans="1:13" x14ac:dyDescent="0.2">
      <c r="A127" s="3">
        <v>45959</v>
      </c>
      <c r="B127" s="3">
        <v>45959</v>
      </c>
      <c r="C127">
        <v>89.200825586376595</v>
      </c>
      <c r="D127">
        <v>533.0256712790142</v>
      </c>
      <c r="F127" s="3"/>
      <c r="G127" s="3">
        <v>45951</v>
      </c>
      <c r="H127" s="3">
        <v>45951</v>
      </c>
      <c r="I127">
        <v>-10.354664315418631</v>
      </c>
      <c r="J127">
        <v>-286.90356764123135</v>
      </c>
      <c r="L127" s="3"/>
      <c r="M127" s="3"/>
    </row>
    <row r="128" spans="1:13" x14ac:dyDescent="0.2">
      <c r="A128" s="3">
        <v>45960</v>
      </c>
      <c r="B128" s="3">
        <v>45960</v>
      </c>
      <c r="C128">
        <v>183.39323804844025</v>
      </c>
      <c r="D128">
        <v>164.09252723684403</v>
      </c>
      <c r="F128" s="3"/>
      <c r="G128" s="3">
        <v>45952</v>
      </c>
      <c r="H128" s="3">
        <v>45952</v>
      </c>
      <c r="I128">
        <v>-85.362065859280847</v>
      </c>
      <c r="J128">
        <v>-439.61140756513123</v>
      </c>
      <c r="L128" s="3"/>
      <c r="M128" s="3"/>
    </row>
    <row r="129" spans="1:13" x14ac:dyDescent="0.2">
      <c r="A129" s="3">
        <v>45961</v>
      </c>
      <c r="B129" s="3">
        <v>45961</v>
      </c>
      <c r="C129">
        <v>300.3305351494455</v>
      </c>
      <c r="D129">
        <v>283.66985252818631</v>
      </c>
      <c r="F129" s="3"/>
      <c r="G129" s="3">
        <v>45953</v>
      </c>
      <c r="H129" s="3">
        <v>45953</v>
      </c>
      <c r="I129">
        <v>-410.00684443641876</v>
      </c>
      <c r="J129">
        <v>108.42076952131538</v>
      </c>
      <c r="L129" s="3"/>
      <c r="M129" s="3"/>
    </row>
    <row r="130" spans="1:13" x14ac:dyDescent="0.2">
      <c r="A130" s="3">
        <v>45964</v>
      </c>
      <c r="B130" s="3">
        <v>45964</v>
      </c>
      <c r="C130">
        <v>253.34619796317565</v>
      </c>
      <c r="D130">
        <v>274.54081220953231</v>
      </c>
      <c r="F130" s="3"/>
      <c r="G130" s="3">
        <v>45954</v>
      </c>
      <c r="H130" s="3">
        <v>45954</v>
      </c>
      <c r="I130">
        <v>5.1374444725406647</v>
      </c>
      <c r="J130">
        <v>147.63298810879496</v>
      </c>
      <c r="L130" s="3"/>
      <c r="M130" s="3"/>
    </row>
    <row r="131" spans="1:13" x14ac:dyDescent="0.2">
      <c r="A131" s="3">
        <v>45965</v>
      </c>
      <c r="B131" s="3">
        <v>45965</v>
      </c>
      <c r="C131">
        <v>-810.13234997775726</v>
      </c>
      <c r="D131">
        <v>-41.194269802166673</v>
      </c>
      <c r="F131" s="3"/>
      <c r="G131" s="3">
        <v>45957</v>
      </c>
      <c r="H131" s="3">
        <v>45957</v>
      </c>
      <c r="I131">
        <v>156.27751937076755</v>
      </c>
      <c r="J131">
        <v>228.33647107246361</v>
      </c>
      <c r="L131" s="3"/>
      <c r="M131" s="3"/>
    </row>
    <row r="132" spans="1:13" x14ac:dyDescent="0.2">
      <c r="A132" s="3">
        <v>45966</v>
      </c>
      <c r="B132" s="3">
        <v>45966</v>
      </c>
      <c r="C132">
        <v>1.1488125434552785</v>
      </c>
      <c r="D132">
        <v>-310.42625734307148</v>
      </c>
      <c r="F132" s="3"/>
      <c r="G132" s="3">
        <v>45958</v>
      </c>
      <c r="H132" s="3">
        <v>45958</v>
      </c>
      <c r="I132">
        <v>-520.08650094890618</v>
      </c>
      <c r="J132">
        <v>387.12034292974568</v>
      </c>
      <c r="L132" s="3"/>
      <c r="M132" s="3"/>
    </row>
    <row r="133" spans="1:13" x14ac:dyDescent="0.2">
      <c r="A133" s="3">
        <v>45967</v>
      </c>
      <c r="B133" s="3">
        <v>45967</v>
      </c>
      <c r="C133">
        <v>221.06702481545653</v>
      </c>
      <c r="D133">
        <v>79.63954326682142</v>
      </c>
      <c r="F133" s="3"/>
      <c r="G133" s="3">
        <v>45959</v>
      </c>
      <c r="H133" s="3">
        <v>45959</v>
      </c>
      <c r="I133">
        <v>89.200825586376595</v>
      </c>
      <c r="J133">
        <v>533.0256712790142</v>
      </c>
      <c r="L133" s="3"/>
      <c r="M133" s="3"/>
    </row>
    <row r="134" spans="1:13" x14ac:dyDescent="0.2">
      <c r="A134" s="3">
        <v>45968</v>
      </c>
      <c r="B134" s="3">
        <v>45968</v>
      </c>
      <c r="C134">
        <v>315.30597071778902</v>
      </c>
      <c r="D134">
        <v>-217.86596017209013</v>
      </c>
      <c r="F134" s="3"/>
      <c r="G134" s="3">
        <v>45960</v>
      </c>
      <c r="H134" s="3">
        <v>45960</v>
      </c>
      <c r="I134">
        <v>183.39323804844025</v>
      </c>
      <c r="J134">
        <v>164.09252723684403</v>
      </c>
      <c r="L134" s="3"/>
      <c r="M134" s="3"/>
    </row>
    <row r="135" spans="1:13" x14ac:dyDescent="0.2">
      <c r="A135" s="3">
        <v>45971</v>
      </c>
      <c r="B135" s="3">
        <v>45971</v>
      </c>
      <c r="C135">
        <v>123.29535866608421</v>
      </c>
      <c r="D135">
        <v>468.07404664564092</v>
      </c>
      <c r="F135" s="3"/>
      <c r="G135" s="3">
        <v>45961</v>
      </c>
      <c r="H135" s="3">
        <v>45961</v>
      </c>
      <c r="I135">
        <v>300.3305351494455</v>
      </c>
      <c r="J135">
        <v>283.66985252818631</v>
      </c>
      <c r="L135" s="3"/>
      <c r="M135" s="3"/>
    </row>
    <row r="136" spans="1:13" x14ac:dyDescent="0.2">
      <c r="A136" s="3">
        <v>45972</v>
      </c>
      <c r="B136" s="3">
        <v>45972</v>
      </c>
      <c r="C136">
        <v>-78.369638344229315</v>
      </c>
      <c r="D136">
        <v>17.540147850249923</v>
      </c>
      <c r="F136" s="3"/>
      <c r="G136" s="3">
        <v>45964</v>
      </c>
      <c r="H136" s="3">
        <v>45964</v>
      </c>
      <c r="I136">
        <v>253.34619796317565</v>
      </c>
      <c r="J136">
        <v>274.54081220953231</v>
      </c>
      <c r="L136" s="3"/>
      <c r="M136" s="3"/>
    </row>
    <row r="137" spans="1:13" x14ac:dyDescent="0.2">
      <c r="A137" s="3">
        <v>45973</v>
      </c>
      <c r="B137" s="3">
        <v>45973</v>
      </c>
      <c r="C137">
        <v>102.69194382577552</v>
      </c>
      <c r="D137">
        <v>-56.999312546035071</v>
      </c>
      <c r="F137" s="3"/>
      <c r="G137" s="3">
        <v>45965</v>
      </c>
      <c r="H137" s="3">
        <v>45965</v>
      </c>
      <c r="I137">
        <v>-810.13234997775726</v>
      </c>
      <c r="J137">
        <v>-41.194269802166673</v>
      </c>
      <c r="L137" s="3"/>
      <c r="M137" s="3"/>
    </row>
    <row r="138" spans="1:13" x14ac:dyDescent="0.2">
      <c r="A138" s="3">
        <v>45974</v>
      </c>
      <c r="B138" s="3">
        <v>45974</v>
      </c>
      <c r="C138">
        <v>-186.64249047146586</v>
      </c>
      <c r="D138">
        <v>-483.29776599783872</v>
      </c>
      <c r="F138" s="3"/>
      <c r="G138" s="3">
        <v>45966</v>
      </c>
      <c r="H138" s="3">
        <v>45966</v>
      </c>
      <c r="I138">
        <v>1.1488125434552785</v>
      </c>
      <c r="J138">
        <v>-310.42625734307148</v>
      </c>
      <c r="L138" s="3"/>
      <c r="M138" s="3"/>
    </row>
    <row r="139" spans="1:13" x14ac:dyDescent="0.2">
      <c r="A139" s="3">
        <v>45975</v>
      </c>
      <c r="B139" s="3">
        <v>45975</v>
      </c>
      <c r="C139">
        <v>82.824056985893549</v>
      </c>
      <c r="D139">
        <v>362.4389175682627</v>
      </c>
      <c r="F139" s="3"/>
      <c r="G139" s="3">
        <v>45967</v>
      </c>
      <c r="H139" s="3">
        <v>45967</v>
      </c>
      <c r="I139">
        <v>221.06702481545653</v>
      </c>
      <c r="J139">
        <v>79.63954326682142</v>
      </c>
      <c r="L139" s="3"/>
      <c r="M139" s="3"/>
    </row>
    <row r="140" spans="1:13" x14ac:dyDescent="0.2">
      <c r="A140" s="3">
        <v>45978</v>
      </c>
      <c r="B140" s="3">
        <v>45978</v>
      </c>
      <c r="C140">
        <v>-74.604278642622376</v>
      </c>
      <c r="D140">
        <v>115.13923052686368</v>
      </c>
      <c r="F140" s="3"/>
      <c r="G140" s="3">
        <v>45968</v>
      </c>
      <c r="H140" s="3">
        <v>45968</v>
      </c>
      <c r="I140">
        <v>315.30597071778902</v>
      </c>
      <c r="J140">
        <v>-217.86596017209013</v>
      </c>
      <c r="L140" s="3"/>
      <c r="M140" s="3"/>
    </row>
    <row r="141" spans="1:13" x14ac:dyDescent="0.2">
      <c r="A141" s="3">
        <v>45979</v>
      </c>
      <c r="B141" s="3">
        <v>45979</v>
      </c>
      <c r="C141">
        <v>455.11924605146851</v>
      </c>
      <c r="D141">
        <v>-612.64206645774902</v>
      </c>
      <c r="F141" s="3"/>
      <c r="G141" s="3">
        <v>45971</v>
      </c>
      <c r="H141" s="3">
        <v>45971</v>
      </c>
      <c r="I141">
        <v>123.29535866608421</v>
      </c>
      <c r="J141">
        <v>468.07404664564092</v>
      </c>
      <c r="L141" s="3"/>
      <c r="M141" s="3"/>
    </row>
    <row r="142" spans="1:13" x14ac:dyDescent="0.2">
      <c r="A142" s="3">
        <v>45980</v>
      </c>
      <c r="B142" s="3">
        <v>45980</v>
      </c>
      <c r="C142">
        <v>162.23624779648162</v>
      </c>
      <c r="D142">
        <v>264.84613462924608</v>
      </c>
      <c r="F142" s="3"/>
      <c r="G142" s="3">
        <v>45972</v>
      </c>
      <c r="H142" s="3">
        <v>45972</v>
      </c>
      <c r="I142">
        <v>-78.369638344229315</v>
      </c>
      <c r="J142">
        <v>17.540147850249923</v>
      </c>
      <c r="L142" s="3"/>
      <c r="M142" s="3"/>
    </row>
    <row r="143" spans="1:13" x14ac:dyDescent="0.2">
      <c r="A143" s="3">
        <v>45981</v>
      </c>
      <c r="B143" s="3">
        <v>45981</v>
      </c>
      <c r="C143">
        <v>-574.0249263430087</v>
      </c>
      <c r="D143">
        <v>92.548893583418248</v>
      </c>
      <c r="F143" s="3"/>
      <c r="G143" s="3">
        <v>45973</v>
      </c>
      <c r="H143" s="3">
        <v>45973</v>
      </c>
      <c r="I143">
        <v>102.69194382577552</v>
      </c>
      <c r="J143">
        <v>-56.999312546035071</v>
      </c>
      <c r="L143" s="3"/>
      <c r="M143" s="3"/>
    </row>
    <row r="144" spans="1:13" x14ac:dyDescent="0.2">
      <c r="A144" s="3">
        <v>45982</v>
      </c>
      <c r="B144" s="3">
        <v>45982</v>
      </c>
      <c r="C144">
        <v>-5.3171624897076981</v>
      </c>
      <c r="D144">
        <v>-866.93585448556041</v>
      </c>
      <c r="F144" s="3"/>
      <c r="G144" s="3">
        <v>45974</v>
      </c>
      <c r="H144" s="3">
        <v>45974</v>
      </c>
      <c r="I144">
        <v>-186.64249047146586</v>
      </c>
      <c r="J144">
        <v>-483.29776599783872</v>
      </c>
      <c r="L144" s="3"/>
      <c r="M144" s="3"/>
    </row>
    <row r="145" spans="1:13" x14ac:dyDescent="0.2">
      <c r="A145" s="3"/>
      <c r="B145" s="3"/>
      <c r="F145" s="3"/>
      <c r="G145" s="3">
        <v>45975</v>
      </c>
      <c r="H145" s="3">
        <v>45975</v>
      </c>
      <c r="I145">
        <v>82.824056985893549</v>
      </c>
      <c r="J145">
        <v>362.4389175682627</v>
      </c>
      <c r="L145" s="3"/>
      <c r="M145" s="3"/>
    </row>
    <row r="146" spans="1:13" x14ac:dyDescent="0.2">
      <c r="A146" s="3"/>
      <c r="B146" s="3"/>
      <c r="F146" s="3"/>
      <c r="G146" s="3">
        <v>45978</v>
      </c>
      <c r="H146" s="3">
        <v>45978</v>
      </c>
      <c r="I146">
        <v>-74.604278642622376</v>
      </c>
      <c r="J146">
        <v>115.13923052686368</v>
      </c>
      <c r="L146" s="3"/>
      <c r="M146" s="3"/>
    </row>
    <row r="147" spans="1:13" x14ac:dyDescent="0.2">
      <c r="A147" s="3"/>
      <c r="B147" s="3"/>
      <c r="F147" s="3"/>
      <c r="G147" s="3">
        <v>45979</v>
      </c>
      <c r="H147" s="3">
        <v>45979</v>
      </c>
      <c r="I147">
        <v>455.11924605146851</v>
      </c>
      <c r="J147">
        <v>-612.64206645774902</v>
      </c>
      <c r="L147" s="3"/>
      <c r="M147" s="3"/>
    </row>
    <row r="148" spans="1:13" x14ac:dyDescent="0.2">
      <c r="F148" s="3"/>
      <c r="G148" s="3">
        <v>45980</v>
      </c>
      <c r="H148" s="3">
        <v>45980</v>
      </c>
      <c r="I148">
        <v>162.23624779648162</v>
      </c>
      <c r="J148">
        <v>264.84613462924608</v>
      </c>
      <c r="K148" s="3"/>
      <c r="M148" s="3"/>
    </row>
    <row r="149" spans="1:13" x14ac:dyDescent="0.2">
      <c r="F149" s="3"/>
      <c r="G149" s="3">
        <v>45981</v>
      </c>
      <c r="H149" s="3">
        <v>45981</v>
      </c>
      <c r="I149">
        <v>-574.0249263430087</v>
      </c>
      <c r="J149">
        <v>92.548893583418248</v>
      </c>
      <c r="K149" s="3"/>
      <c r="M149" s="3"/>
    </row>
    <row r="150" spans="1:13" x14ac:dyDescent="0.2">
      <c r="F150" s="3"/>
      <c r="G150" s="3">
        <v>45982</v>
      </c>
      <c r="H150" s="3">
        <v>45982</v>
      </c>
      <c r="I150">
        <v>-5.3171624897076981</v>
      </c>
      <c r="J150">
        <v>-866.93585448556041</v>
      </c>
      <c r="K150" s="3"/>
      <c r="M150" s="3"/>
    </row>
    <row r="151" spans="1:13" x14ac:dyDescent="0.2">
      <c r="K151" s="3"/>
    </row>
    <row r="152" spans="1:13" x14ac:dyDescent="0.2">
      <c r="H152" t="s">
        <v>716</v>
      </c>
      <c r="I152">
        <f>SUM(I2:I150)</f>
        <v>2374.1402372785856</v>
      </c>
      <c r="J152">
        <f>SUM(J2:J150)</f>
        <v>5481.9594358554641</v>
      </c>
      <c r="K152" s="3"/>
    </row>
    <row r="153" spans="1:13" x14ac:dyDescent="0.2">
      <c r="K153" s="3"/>
    </row>
    <row r="154" spans="1:13" x14ac:dyDescent="0.2">
      <c r="K154" s="3"/>
    </row>
    <row r="155" spans="1:13" x14ac:dyDescent="0.2">
      <c r="K155" s="3"/>
    </row>
    <row r="156" spans="1:13" x14ac:dyDescent="0.2">
      <c r="K156" s="3"/>
    </row>
    <row r="157" spans="1:13" x14ac:dyDescent="0.2">
      <c r="K157" s="3"/>
    </row>
    <row r="158" spans="1:13" x14ac:dyDescent="0.2">
      <c r="K158" s="3"/>
    </row>
    <row r="159" spans="1:13" x14ac:dyDescent="0.2">
      <c r="K159" s="3"/>
    </row>
    <row r="160" spans="1:13" x14ac:dyDescent="0.2">
      <c r="K160" s="3"/>
    </row>
    <row r="161" spans="11:11" x14ac:dyDescent="0.2">
      <c r="K161" s="3"/>
    </row>
    <row r="162" spans="11:11" x14ac:dyDescent="0.2">
      <c r="K162" s="3"/>
    </row>
    <row r="163" spans="11:11" x14ac:dyDescent="0.2">
      <c r="K163" s="3"/>
    </row>
    <row r="164" spans="11:11" x14ac:dyDescent="0.2">
      <c r="K164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EF34-BEE0-4D84-A668-BEC2C582FC12}">
  <dimension ref="A1:M153"/>
  <sheetViews>
    <sheetView topLeftCell="A133" zoomScale="70" zoomScaleNormal="70" workbookViewId="0">
      <selection activeCell="M2" sqref="M2:M150"/>
    </sheetView>
  </sheetViews>
  <sheetFormatPr baseColWidth="10" defaultColWidth="8.83203125" defaultRowHeight="15" x14ac:dyDescent="0.2"/>
  <cols>
    <col min="1" max="1" width="15.6640625" customWidth="1"/>
    <col min="2" max="2" width="17.83203125" customWidth="1"/>
    <col min="3" max="3" width="19.83203125" customWidth="1"/>
    <col min="4" max="4" width="26.5" customWidth="1"/>
    <col min="9" max="9" width="18.83203125" customWidth="1"/>
    <col min="10" max="10" width="27.6640625" customWidth="1"/>
    <col min="13" max="13" width="17.83203125" customWidth="1"/>
  </cols>
  <sheetData>
    <row r="1" spans="1:13" x14ac:dyDescent="0.2">
      <c r="A1" s="13" t="s">
        <v>713</v>
      </c>
      <c r="B1" s="13" t="s">
        <v>712</v>
      </c>
      <c r="C1" s="13" t="s">
        <v>708</v>
      </c>
      <c r="D1" s="20" t="s">
        <v>717</v>
      </c>
      <c r="I1" s="9" t="s">
        <v>23</v>
      </c>
      <c r="J1" s="9" t="s">
        <v>104</v>
      </c>
      <c r="M1" s="13" t="s">
        <v>723</v>
      </c>
    </row>
    <row r="2" spans="1:13" x14ac:dyDescent="0.2">
      <c r="A2">
        <v>0</v>
      </c>
      <c r="B2">
        <v>0</v>
      </c>
      <c r="C2">
        <v>40438.519999999997</v>
      </c>
      <c r="D2" s="3">
        <v>45775</v>
      </c>
      <c r="I2" s="3">
        <v>45775</v>
      </c>
      <c r="J2">
        <v>0</v>
      </c>
      <c r="M2">
        <v>1</v>
      </c>
    </row>
    <row r="3" spans="1:13" x14ac:dyDescent="0.2">
      <c r="A3">
        <v>66.402647332633933</v>
      </c>
      <c r="B3">
        <v>-151.97597577912165</v>
      </c>
      <c r="C3">
        <f>A3+B3+C2</f>
        <v>40352.946671553509</v>
      </c>
      <c r="D3" s="3">
        <v>45776</v>
      </c>
      <c r="I3" s="3">
        <v>45776</v>
      </c>
      <c r="J3">
        <f>C3-$C$2</f>
        <v>-85.573328446487722</v>
      </c>
      <c r="M3">
        <f>C3/$C$2</f>
        <v>0.99788386596624978</v>
      </c>
    </row>
    <row r="4" spans="1:13" x14ac:dyDescent="0.2">
      <c r="A4">
        <v>-354.27025161518395</v>
      </c>
      <c r="B4">
        <v>-261.1822441275981</v>
      </c>
      <c r="C4">
        <f t="shared" ref="C4:C67" si="0">A4+B4+C3</f>
        <v>39737.494175810731</v>
      </c>
      <c r="D4" s="3">
        <v>45777</v>
      </c>
      <c r="I4" s="3">
        <v>45777</v>
      </c>
      <c r="J4">
        <f t="shared" ref="J4:J67" si="1">C4-$C$2</f>
        <v>-701.02582418926613</v>
      </c>
      <c r="M4">
        <f t="shared" ref="M4:M67" si="2">C4/$C$2</f>
        <v>0.9826644045284233</v>
      </c>
    </row>
    <row r="5" spans="1:13" x14ac:dyDescent="0.2">
      <c r="A5">
        <v>-87.236390385256527</v>
      </c>
      <c r="B5">
        <v>27.491863173127058</v>
      </c>
      <c r="C5">
        <f t="shared" si="0"/>
        <v>39677.749648598605</v>
      </c>
      <c r="D5" s="3">
        <v>45778</v>
      </c>
      <c r="I5" s="3">
        <v>45778</v>
      </c>
      <c r="J5">
        <f t="shared" si="1"/>
        <v>-760.77035140139196</v>
      </c>
      <c r="M5">
        <f t="shared" si="2"/>
        <v>0.98118698826264183</v>
      </c>
    </row>
    <row r="6" spans="1:13" x14ac:dyDescent="0.2">
      <c r="A6">
        <v>200.64749591079453</v>
      </c>
      <c r="B6">
        <v>231.71584888967118</v>
      </c>
      <c r="C6">
        <f t="shared" si="0"/>
        <v>40110.112993399074</v>
      </c>
      <c r="D6" s="3">
        <v>45779</v>
      </c>
      <c r="I6" s="3">
        <v>45779</v>
      </c>
      <c r="J6">
        <f t="shared" si="1"/>
        <v>-328.40700660092261</v>
      </c>
      <c r="M6">
        <f t="shared" si="2"/>
        <v>0.9918788569264918</v>
      </c>
    </row>
    <row r="7" spans="1:13" x14ac:dyDescent="0.2">
      <c r="A7">
        <v>0</v>
      </c>
      <c r="B7">
        <v>169.88365010805501</v>
      </c>
      <c r="C7">
        <f t="shared" si="0"/>
        <v>40279.996643507126</v>
      </c>
      <c r="D7" s="3">
        <v>45782</v>
      </c>
      <c r="I7" s="3">
        <v>45782</v>
      </c>
      <c r="J7">
        <f t="shared" si="1"/>
        <v>-158.52335649287124</v>
      </c>
      <c r="M7">
        <f t="shared" si="2"/>
        <v>0.99607989222916982</v>
      </c>
    </row>
    <row r="8" spans="1:13" x14ac:dyDescent="0.2">
      <c r="A8">
        <v>-125.07852225080933</v>
      </c>
      <c r="B8">
        <v>34.137910026820464</v>
      </c>
      <c r="C8">
        <f t="shared" si="0"/>
        <v>40189.056031283137</v>
      </c>
      <c r="D8" s="3">
        <v>45783</v>
      </c>
      <c r="I8" s="3">
        <v>45783</v>
      </c>
      <c r="J8">
        <f t="shared" si="1"/>
        <v>-249.46396871686011</v>
      </c>
      <c r="M8">
        <f t="shared" si="2"/>
        <v>0.99383103118717353</v>
      </c>
    </row>
    <row r="9" spans="1:13" x14ac:dyDescent="0.2">
      <c r="A9">
        <v>120.26600179975139</v>
      </c>
      <c r="B9">
        <v>-266.20915261434857</v>
      </c>
      <c r="C9">
        <f t="shared" si="0"/>
        <v>40043.112880468543</v>
      </c>
      <c r="D9" s="3">
        <v>45784</v>
      </c>
      <c r="I9" s="3">
        <v>45784</v>
      </c>
      <c r="J9">
        <f t="shared" si="1"/>
        <v>-395.40711953145365</v>
      </c>
      <c r="M9">
        <f t="shared" si="2"/>
        <v>0.99022201802807186</v>
      </c>
    </row>
    <row r="10" spans="1:13" x14ac:dyDescent="0.2">
      <c r="A10">
        <v>163.92435457036845</v>
      </c>
      <c r="B10">
        <v>-58.273247526885825</v>
      </c>
      <c r="C10">
        <f t="shared" si="0"/>
        <v>40148.763987512022</v>
      </c>
      <c r="D10" s="3">
        <v>45785</v>
      </c>
      <c r="I10" s="3">
        <v>45785</v>
      </c>
      <c r="J10">
        <f t="shared" si="1"/>
        <v>-289.75601248797466</v>
      </c>
      <c r="M10">
        <f t="shared" si="2"/>
        <v>0.99283465338276533</v>
      </c>
    </row>
    <row r="11" spans="1:13" x14ac:dyDescent="0.2">
      <c r="A11">
        <v>437.81941919786914</v>
      </c>
      <c r="B11">
        <v>24.373871494299237</v>
      </c>
      <c r="C11">
        <f t="shared" si="0"/>
        <v>40610.957278204194</v>
      </c>
      <c r="D11" s="3">
        <v>45786</v>
      </c>
      <c r="I11" s="3">
        <v>45786</v>
      </c>
      <c r="J11">
        <f t="shared" si="1"/>
        <v>172.43727820419736</v>
      </c>
      <c r="M11">
        <f t="shared" si="2"/>
        <v>1.004264183709102</v>
      </c>
    </row>
    <row r="12" spans="1:13" x14ac:dyDescent="0.2">
      <c r="A12">
        <v>-10.428465542940103</v>
      </c>
      <c r="B12">
        <v>-266.16265989699241</v>
      </c>
      <c r="C12">
        <f t="shared" si="0"/>
        <v>40334.366152764262</v>
      </c>
      <c r="D12" s="3">
        <v>45789</v>
      </c>
      <c r="I12" s="3">
        <v>45789</v>
      </c>
      <c r="J12">
        <f t="shared" si="1"/>
        <v>-104.15384723573516</v>
      </c>
      <c r="M12">
        <f t="shared" si="2"/>
        <v>0.99742439022902585</v>
      </c>
    </row>
    <row r="13" spans="1:13" x14ac:dyDescent="0.2">
      <c r="A13">
        <v>-32.492329244465509</v>
      </c>
      <c r="B13">
        <v>312.3459957652085</v>
      </c>
      <c r="C13">
        <f t="shared" si="0"/>
        <v>40614.219819285005</v>
      </c>
      <c r="D13" s="3">
        <v>45790</v>
      </c>
      <c r="I13" s="3">
        <v>45790</v>
      </c>
      <c r="J13">
        <f t="shared" si="1"/>
        <v>175.69981928500783</v>
      </c>
      <c r="M13">
        <f t="shared" si="2"/>
        <v>1.0043448627517775</v>
      </c>
    </row>
    <row r="14" spans="1:13" x14ac:dyDescent="0.2">
      <c r="A14">
        <v>76.59280625476822</v>
      </c>
      <c r="B14">
        <v>178.94198511592549</v>
      </c>
      <c r="C14">
        <f t="shared" si="0"/>
        <v>40869.754610655698</v>
      </c>
      <c r="D14" s="3">
        <v>45791</v>
      </c>
      <c r="I14" s="3">
        <v>45791</v>
      </c>
      <c r="J14">
        <f t="shared" si="1"/>
        <v>431.23461065570154</v>
      </c>
      <c r="M14">
        <f t="shared" si="2"/>
        <v>1.0106639563133295</v>
      </c>
    </row>
    <row r="15" spans="1:13" x14ac:dyDescent="0.2">
      <c r="A15">
        <v>42.771761327556305</v>
      </c>
      <c r="B15">
        <v>-107.07632984298107</v>
      </c>
      <c r="C15">
        <f t="shared" si="0"/>
        <v>40805.450042140277</v>
      </c>
      <c r="D15" s="3">
        <v>45792</v>
      </c>
      <c r="I15" s="3">
        <v>45792</v>
      </c>
      <c r="J15">
        <f t="shared" si="1"/>
        <v>366.93004214028042</v>
      </c>
      <c r="M15">
        <f t="shared" si="2"/>
        <v>1.0090737752553822</v>
      </c>
    </row>
    <row r="16" spans="1:13" x14ac:dyDescent="0.2">
      <c r="A16">
        <v>-106.85829236561403</v>
      </c>
      <c r="B16">
        <v>146.52582772693495</v>
      </c>
      <c r="C16">
        <f t="shared" si="0"/>
        <v>40845.117577501602</v>
      </c>
      <c r="D16" s="3">
        <v>45793</v>
      </c>
      <c r="I16" s="3">
        <v>45793</v>
      </c>
      <c r="J16">
        <f t="shared" si="1"/>
        <v>406.59757750160497</v>
      </c>
      <c r="M16">
        <f t="shared" si="2"/>
        <v>1.0100547096555859</v>
      </c>
    </row>
    <row r="17" spans="1:13" x14ac:dyDescent="0.2">
      <c r="A17">
        <v>197.36478288520448</v>
      </c>
      <c r="B17">
        <v>83.606083100265096</v>
      </c>
      <c r="C17">
        <f t="shared" si="0"/>
        <v>41126.088443487068</v>
      </c>
      <c r="D17" s="3">
        <v>45796</v>
      </c>
      <c r="I17" s="3">
        <v>45796</v>
      </c>
      <c r="J17">
        <f t="shared" si="1"/>
        <v>687.56844348707091</v>
      </c>
      <c r="M17">
        <f t="shared" si="2"/>
        <v>1.017002809288942</v>
      </c>
    </row>
    <row r="18" spans="1:13" x14ac:dyDescent="0.2">
      <c r="A18">
        <v>-165.3715326821839</v>
      </c>
      <c r="B18">
        <v>-142.42353073631966</v>
      </c>
      <c r="C18">
        <f t="shared" si="0"/>
        <v>40818.293380068564</v>
      </c>
      <c r="D18" s="3">
        <v>45797</v>
      </c>
      <c r="I18" s="3">
        <v>45797</v>
      </c>
      <c r="J18">
        <f t="shared" si="1"/>
        <v>379.77338006856735</v>
      </c>
      <c r="M18">
        <f t="shared" si="2"/>
        <v>1.0093913768374452</v>
      </c>
    </row>
    <row r="19" spans="1:13" x14ac:dyDescent="0.2">
      <c r="A19">
        <v>201.92109828862158</v>
      </c>
      <c r="B19">
        <v>-119.28825715477069</v>
      </c>
      <c r="C19">
        <f t="shared" si="0"/>
        <v>40900.926221202419</v>
      </c>
      <c r="D19" s="3">
        <v>45798</v>
      </c>
      <c r="I19" s="3">
        <v>45798</v>
      </c>
      <c r="J19">
        <f t="shared" si="1"/>
        <v>462.40622120242188</v>
      </c>
      <c r="M19">
        <f t="shared" si="2"/>
        <v>1.0114347958630143</v>
      </c>
    </row>
    <row r="20" spans="1:13" x14ac:dyDescent="0.2">
      <c r="A20">
        <v>301.03290155992727</v>
      </c>
      <c r="B20">
        <v>37.203566351847257</v>
      </c>
      <c r="C20">
        <f t="shared" si="0"/>
        <v>41239.162689114193</v>
      </c>
      <c r="D20" s="3">
        <v>45799</v>
      </c>
      <c r="I20" s="3">
        <v>45799</v>
      </c>
      <c r="J20">
        <f t="shared" si="1"/>
        <v>800.6426891141964</v>
      </c>
      <c r="M20">
        <f t="shared" si="2"/>
        <v>1.0197990106738377</v>
      </c>
    </row>
    <row r="21" spans="1:13" x14ac:dyDescent="0.2">
      <c r="A21">
        <v>-146.97405642107697</v>
      </c>
      <c r="B21">
        <v>228.2259053904927</v>
      </c>
      <c r="C21">
        <f t="shared" si="0"/>
        <v>41320.414538083613</v>
      </c>
      <c r="D21" s="3">
        <v>45800</v>
      </c>
      <c r="I21" s="3">
        <v>45800</v>
      </c>
      <c r="J21">
        <f t="shared" si="1"/>
        <v>881.89453808361577</v>
      </c>
      <c r="M21">
        <f t="shared" si="2"/>
        <v>1.021808279286275</v>
      </c>
    </row>
    <row r="22" spans="1:13" x14ac:dyDescent="0.2">
      <c r="A22">
        <v>268.48417954171236</v>
      </c>
      <c r="B22">
        <v>207.63663207204081</v>
      </c>
      <c r="C22">
        <f t="shared" si="0"/>
        <v>41796.535349697369</v>
      </c>
      <c r="D22" s="3">
        <v>45804</v>
      </c>
      <c r="I22" s="3">
        <v>45804</v>
      </c>
      <c r="J22">
        <f t="shared" si="1"/>
        <v>1358.0153496973726</v>
      </c>
      <c r="M22">
        <f t="shared" si="2"/>
        <v>1.0335822218443547</v>
      </c>
    </row>
    <row r="23" spans="1:13" x14ac:dyDescent="0.2">
      <c r="A23">
        <v>133.47045875556068</v>
      </c>
      <c r="B23">
        <v>60.646449755589856</v>
      </c>
      <c r="C23">
        <f t="shared" si="0"/>
        <v>41990.652258208516</v>
      </c>
      <c r="D23" s="3">
        <v>45805</v>
      </c>
      <c r="I23" s="3">
        <v>45805</v>
      </c>
      <c r="J23">
        <f t="shared" si="1"/>
        <v>1552.1322582085195</v>
      </c>
      <c r="M23">
        <f t="shared" si="2"/>
        <v>1.0383825189005067</v>
      </c>
    </row>
    <row r="24" spans="1:13" x14ac:dyDescent="0.2">
      <c r="A24">
        <v>-77.701619756906439</v>
      </c>
      <c r="B24">
        <v>-126.87896378397636</v>
      </c>
      <c r="C24">
        <f t="shared" si="0"/>
        <v>41786.071674667633</v>
      </c>
      <c r="D24" s="3">
        <v>45806</v>
      </c>
      <c r="I24" s="3">
        <v>45806</v>
      </c>
      <c r="J24">
        <f t="shared" si="1"/>
        <v>1347.5516746676367</v>
      </c>
      <c r="M24">
        <f t="shared" si="2"/>
        <v>1.0333234667012452</v>
      </c>
    </row>
    <row r="25" spans="1:13" x14ac:dyDescent="0.2">
      <c r="A25">
        <v>-35.673981954569172</v>
      </c>
      <c r="B25">
        <v>45.367821410389297</v>
      </c>
      <c r="C25">
        <f t="shared" si="0"/>
        <v>41795.765514123457</v>
      </c>
      <c r="D25" s="3">
        <v>45807</v>
      </c>
      <c r="I25" s="3">
        <v>45807</v>
      </c>
      <c r="J25">
        <f t="shared" si="1"/>
        <v>1357.2455141234605</v>
      </c>
      <c r="M25">
        <f t="shared" si="2"/>
        <v>1.0335631846596627</v>
      </c>
    </row>
    <row r="26" spans="1:13" x14ac:dyDescent="0.2">
      <c r="A26">
        <v>206.76573869735148</v>
      </c>
      <c r="B26">
        <v>291.18902688241724</v>
      </c>
      <c r="C26">
        <f t="shared" si="0"/>
        <v>42293.720279703222</v>
      </c>
      <c r="D26" s="3">
        <v>45810</v>
      </c>
      <c r="I26" s="3">
        <v>45810</v>
      </c>
      <c r="J26">
        <f t="shared" si="1"/>
        <v>1855.2002797032255</v>
      </c>
      <c r="M26">
        <f t="shared" si="2"/>
        <v>1.0458770568186775</v>
      </c>
    </row>
    <row r="27" spans="1:13" x14ac:dyDescent="0.2">
      <c r="A27">
        <v>242.52867126891579</v>
      </c>
      <c r="B27">
        <v>-167.53862455748094</v>
      </c>
      <c r="C27">
        <f t="shared" si="0"/>
        <v>42368.710326414657</v>
      </c>
      <c r="D27" s="3">
        <v>45811</v>
      </c>
      <c r="I27" s="3">
        <v>45811</v>
      </c>
      <c r="J27">
        <f t="shared" si="1"/>
        <v>1930.1903264146604</v>
      </c>
      <c r="M27">
        <f t="shared" si="2"/>
        <v>1.0477314779674098</v>
      </c>
    </row>
    <row r="28" spans="1:13" x14ac:dyDescent="0.2">
      <c r="A28">
        <v>-324.43871397332259</v>
      </c>
      <c r="B28">
        <v>-72.406206688796374</v>
      </c>
      <c r="C28">
        <f t="shared" si="0"/>
        <v>41971.865405752542</v>
      </c>
      <c r="D28" s="3">
        <v>45812</v>
      </c>
      <c r="I28" s="3">
        <v>45812</v>
      </c>
      <c r="J28">
        <f t="shared" si="1"/>
        <v>1533.345405752545</v>
      </c>
      <c r="M28">
        <f t="shared" si="2"/>
        <v>1.0379179407592698</v>
      </c>
    </row>
    <row r="29" spans="1:13" x14ac:dyDescent="0.2">
      <c r="A29">
        <v>222.70373206555814</v>
      </c>
      <c r="B29">
        <v>251.56231180842951</v>
      </c>
      <c r="C29">
        <f t="shared" si="0"/>
        <v>42446.131449626526</v>
      </c>
      <c r="D29" s="3">
        <v>45813</v>
      </c>
      <c r="I29" s="3">
        <v>45813</v>
      </c>
      <c r="J29">
        <f t="shared" si="1"/>
        <v>2007.6114496265291</v>
      </c>
      <c r="M29">
        <f t="shared" si="2"/>
        <v>1.0496460169567663</v>
      </c>
    </row>
    <row r="30" spans="1:13" x14ac:dyDescent="0.2">
      <c r="A30">
        <v>43.076143943872012</v>
      </c>
      <c r="B30">
        <v>91.460619338115066</v>
      </c>
      <c r="C30">
        <f t="shared" si="0"/>
        <v>42580.668212908509</v>
      </c>
      <c r="D30" s="3">
        <v>45814</v>
      </c>
      <c r="I30" s="3">
        <v>45814</v>
      </c>
      <c r="J30">
        <f t="shared" si="1"/>
        <v>2142.1482129085125</v>
      </c>
      <c r="M30">
        <f t="shared" si="2"/>
        <v>1.0529729627322788</v>
      </c>
    </row>
    <row r="31" spans="1:13" x14ac:dyDescent="0.2">
      <c r="A31">
        <v>-102.04477903985753</v>
      </c>
      <c r="B31">
        <v>-60.484979586912232</v>
      </c>
      <c r="C31">
        <f t="shared" si="0"/>
        <v>42418.13845428174</v>
      </c>
      <c r="D31" s="3">
        <v>45817</v>
      </c>
      <c r="I31" s="3">
        <v>45817</v>
      </c>
      <c r="J31">
        <f t="shared" si="1"/>
        <v>1979.6184542817427</v>
      </c>
      <c r="M31">
        <f t="shared" si="2"/>
        <v>1.048953781055334</v>
      </c>
    </row>
    <row r="32" spans="1:13" x14ac:dyDescent="0.2">
      <c r="A32">
        <v>-413.46701226011646</v>
      </c>
      <c r="B32">
        <v>-361.92668490398501</v>
      </c>
      <c r="C32">
        <f t="shared" si="0"/>
        <v>41642.744757117638</v>
      </c>
      <c r="D32" s="3">
        <v>45818</v>
      </c>
      <c r="I32" s="3">
        <v>45818</v>
      </c>
      <c r="J32">
        <f t="shared" si="1"/>
        <v>1204.2247571176413</v>
      </c>
      <c r="M32">
        <f t="shared" si="2"/>
        <v>1.0297791501053362</v>
      </c>
    </row>
    <row r="33" spans="1:13" x14ac:dyDescent="0.2">
      <c r="A33">
        <v>128.45580826574587</v>
      </c>
      <c r="B33">
        <v>57.726784759237489</v>
      </c>
      <c r="C33">
        <f t="shared" si="0"/>
        <v>41828.927350142621</v>
      </c>
      <c r="D33" s="3">
        <v>45819</v>
      </c>
      <c r="I33" s="3">
        <v>45819</v>
      </c>
      <c r="J33">
        <f t="shared" si="1"/>
        <v>1390.4073501426246</v>
      </c>
      <c r="M33">
        <f t="shared" si="2"/>
        <v>1.0343832402902635</v>
      </c>
    </row>
    <row r="34" spans="1:13" x14ac:dyDescent="0.2">
      <c r="A34">
        <v>121.96666914942398</v>
      </c>
      <c r="B34">
        <v>-12.226850634768198</v>
      </c>
      <c r="C34">
        <f t="shared" si="0"/>
        <v>41938.667168657281</v>
      </c>
      <c r="D34" s="3">
        <v>45820</v>
      </c>
      <c r="I34" s="3">
        <v>45820</v>
      </c>
      <c r="J34">
        <f t="shared" si="1"/>
        <v>1500.1471686572841</v>
      </c>
      <c r="M34">
        <f t="shared" si="2"/>
        <v>1.0370969849702039</v>
      </c>
    </row>
    <row r="35" spans="1:13" x14ac:dyDescent="0.2">
      <c r="A35">
        <v>-72.217206980592891</v>
      </c>
      <c r="B35">
        <v>130.11112346127265</v>
      </c>
      <c r="C35">
        <f t="shared" si="0"/>
        <v>41996.561085137961</v>
      </c>
      <c r="D35" s="3">
        <v>45821</v>
      </c>
      <c r="I35" s="3">
        <v>45821</v>
      </c>
      <c r="J35">
        <f t="shared" si="1"/>
        <v>1558.0410851379638</v>
      </c>
      <c r="M35">
        <f t="shared" si="2"/>
        <v>1.0385286376736331</v>
      </c>
    </row>
    <row r="36" spans="1:13" x14ac:dyDescent="0.2">
      <c r="A36">
        <v>436.81889486689033</v>
      </c>
      <c r="B36">
        <v>5.3807710593318916</v>
      </c>
      <c r="C36">
        <f t="shared" si="0"/>
        <v>42438.760751064183</v>
      </c>
      <c r="D36" s="3">
        <v>45824</v>
      </c>
      <c r="I36" s="3">
        <v>45824</v>
      </c>
      <c r="J36">
        <f t="shared" si="1"/>
        <v>2000.240751064186</v>
      </c>
      <c r="M36">
        <f t="shared" si="2"/>
        <v>1.0494637477104549</v>
      </c>
    </row>
    <row r="37" spans="1:13" x14ac:dyDescent="0.2">
      <c r="A37">
        <v>-197.56137172984745</v>
      </c>
      <c r="B37">
        <v>-4.9361226376458944</v>
      </c>
      <c r="C37">
        <f t="shared" si="0"/>
        <v>42236.263256696693</v>
      </c>
      <c r="D37" s="3">
        <v>45825</v>
      </c>
      <c r="I37" s="3">
        <v>45825</v>
      </c>
      <c r="J37">
        <f t="shared" si="1"/>
        <v>1797.7432566966963</v>
      </c>
      <c r="M37">
        <f t="shared" si="2"/>
        <v>1.0444562080090145</v>
      </c>
    </row>
    <row r="38" spans="1:13" x14ac:dyDescent="0.2">
      <c r="A38">
        <v>188.61458435148234</v>
      </c>
      <c r="B38">
        <v>88.058600200474757</v>
      </c>
      <c r="C38">
        <f t="shared" si="0"/>
        <v>42512.936441248647</v>
      </c>
      <c r="D38" s="3">
        <v>45826</v>
      </c>
      <c r="I38" s="3">
        <v>45826</v>
      </c>
      <c r="J38">
        <f t="shared" si="1"/>
        <v>2074.4164412486498</v>
      </c>
      <c r="M38">
        <f t="shared" si="2"/>
        <v>1.0512980307204283</v>
      </c>
    </row>
    <row r="39" spans="1:13" x14ac:dyDescent="0.2">
      <c r="A39">
        <v>-210.83838336622648</v>
      </c>
      <c r="B39">
        <v>0</v>
      </c>
      <c r="C39">
        <f t="shared" si="0"/>
        <v>42302.098057882424</v>
      </c>
      <c r="D39" s="3">
        <v>45827</v>
      </c>
      <c r="I39" s="3">
        <v>45827</v>
      </c>
      <c r="J39">
        <f t="shared" si="1"/>
        <v>1863.5780578824269</v>
      </c>
      <c r="M39">
        <f t="shared" si="2"/>
        <v>1.0460842300332067</v>
      </c>
    </row>
    <row r="40" spans="1:13" x14ac:dyDescent="0.2">
      <c r="A40">
        <v>165.23467542366416</v>
      </c>
      <c r="B40">
        <v>128.93275003677991</v>
      </c>
      <c r="C40">
        <f t="shared" si="0"/>
        <v>42596.265483342868</v>
      </c>
      <c r="D40" s="3">
        <v>45828</v>
      </c>
      <c r="I40" s="3">
        <v>45828</v>
      </c>
      <c r="J40">
        <f t="shared" si="1"/>
        <v>2157.745483342871</v>
      </c>
      <c r="M40">
        <f t="shared" si="2"/>
        <v>1.0533586660279077</v>
      </c>
    </row>
    <row r="41" spans="1:13" x14ac:dyDescent="0.2">
      <c r="A41">
        <v>-139.60218531384453</v>
      </c>
      <c r="B41">
        <v>-306.90085053462462</v>
      </c>
      <c r="C41">
        <f t="shared" si="0"/>
        <v>42149.762447494402</v>
      </c>
      <c r="D41" s="3">
        <v>45831</v>
      </c>
      <c r="I41" s="3">
        <v>45831</v>
      </c>
      <c r="J41">
        <f t="shared" si="1"/>
        <v>1711.2424474944055</v>
      </c>
      <c r="M41">
        <f t="shared" si="2"/>
        <v>1.042317138399091</v>
      </c>
    </row>
    <row r="42" spans="1:13" x14ac:dyDescent="0.2">
      <c r="A42">
        <v>192.96714773972417</v>
      </c>
      <c r="B42">
        <v>302.7994231565317</v>
      </c>
      <c r="C42">
        <f t="shared" si="0"/>
        <v>42645.529018390662</v>
      </c>
      <c r="D42" s="3">
        <v>45832</v>
      </c>
      <c r="I42" s="3">
        <v>45832</v>
      </c>
      <c r="J42">
        <f t="shared" si="1"/>
        <v>2207.009018390665</v>
      </c>
      <c r="M42">
        <f t="shared" si="2"/>
        <v>1.0545768989169402</v>
      </c>
    </row>
    <row r="43" spans="1:13" x14ac:dyDescent="0.2">
      <c r="A43">
        <v>93.832948864794162</v>
      </c>
      <c r="B43">
        <v>303.98097592058184</v>
      </c>
      <c r="C43">
        <f t="shared" si="0"/>
        <v>43043.342943176038</v>
      </c>
      <c r="D43" s="3">
        <v>45833</v>
      </c>
      <c r="I43" s="3">
        <v>45833</v>
      </c>
      <c r="J43">
        <f t="shared" si="1"/>
        <v>2604.822943176041</v>
      </c>
      <c r="M43">
        <f t="shared" si="2"/>
        <v>1.064414398528335</v>
      </c>
    </row>
    <row r="44" spans="1:13" x14ac:dyDescent="0.2">
      <c r="A44">
        <v>167.25041083252654</v>
      </c>
      <c r="B44">
        <v>389.31344053282373</v>
      </c>
      <c r="C44">
        <f t="shared" si="0"/>
        <v>43599.906794541384</v>
      </c>
      <c r="D44" s="3">
        <v>45834</v>
      </c>
      <c r="I44" s="3">
        <v>45834</v>
      </c>
      <c r="J44">
        <f t="shared" si="1"/>
        <v>3161.3867945413876</v>
      </c>
      <c r="M44">
        <f t="shared" si="2"/>
        <v>1.0781776087389299</v>
      </c>
    </row>
    <row r="45" spans="1:13" x14ac:dyDescent="0.2">
      <c r="A45">
        <v>6.9637914213853946</v>
      </c>
      <c r="B45">
        <v>67.814351557215559</v>
      </c>
      <c r="C45">
        <f t="shared" si="0"/>
        <v>43674.684937519982</v>
      </c>
      <c r="D45" s="3">
        <v>45835</v>
      </c>
      <c r="I45" s="3">
        <v>45835</v>
      </c>
      <c r="J45">
        <f t="shared" si="1"/>
        <v>3236.164937519985</v>
      </c>
      <c r="M45">
        <f t="shared" si="2"/>
        <v>1.0800267897420575</v>
      </c>
    </row>
    <row r="46" spans="1:13" x14ac:dyDescent="0.2">
      <c r="A46">
        <v>476.71175746483641</v>
      </c>
      <c r="B46">
        <v>111.95986926931073</v>
      </c>
      <c r="C46">
        <f t="shared" si="0"/>
        <v>44263.356564254129</v>
      </c>
      <c r="D46" s="3">
        <v>45838</v>
      </c>
      <c r="I46" s="3">
        <v>45838</v>
      </c>
      <c r="J46">
        <f t="shared" si="1"/>
        <v>3824.8365642541321</v>
      </c>
      <c r="M46">
        <f t="shared" si="2"/>
        <v>1.094583989825892</v>
      </c>
    </row>
    <row r="47" spans="1:13" x14ac:dyDescent="0.2">
      <c r="A47">
        <v>-615.26116129885122</v>
      </c>
      <c r="B47">
        <v>-546.68966817148976</v>
      </c>
      <c r="C47">
        <f t="shared" si="0"/>
        <v>43101.405734783788</v>
      </c>
      <c r="D47" s="3">
        <v>45839</v>
      </c>
      <c r="I47" s="3">
        <v>45839</v>
      </c>
      <c r="J47">
        <f t="shared" si="1"/>
        <v>2662.8857347837911</v>
      </c>
      <c r="M47">
        <f t="shared" si="2"/>
        <v>1.0658502273274044</v>
      </c>
    </row>
    <row r="48" spans="1:13" x14ac:dyDescent="0.2">
      <c r="A48">
        <v>-1.5440130643873999</v>
      </c>
      <c r="B48">
        <v>275.07790788695638</v>
      </c>
      <c r="C48">
        <f t="shared" si="0"/>
        <v>43374.939629606357</v>
      </c>
      <c r="D48" s="3">
        <v>45840</v>
      </c>
      <c r="I48" s="3">
        <v>45840</v>
      </c>
      <c r="J48">
        <f t="shared" si="1"/>
        <v>2936.4196296063601</v>
      </c>
      <c r="M48">
        <f t="shared" si="2"/>
        <v>1.0726144188661297</v>
      </c>
    </row>
    <row r="49" spans="1:13" x14ac:dyDescent="0.2">
      <c r="A49">
        <v>132.50371718010865</v>
      </c>
      <c r="B49">
        <v>170.44693309157446</v>
      </c>
      <c r="C49">
        <f t="shared" si="0"/>
        <v>43677.89027987804</v>
      </c>
      <c r="D49" s="3">
        <v>45841</v>
      </c>
      <c r="I49" s="3">
        <v>45841</v>
      </c>
      <c r="J49">
        <f t="shared" si="1"/>
        <v>3239.3702798780432</v>
      </c>
      <c r="M49">
        <f t="shared" si="2"/>
        <v>1.0801060543234036</v>
      </c>
    </row>
    <row r="50" spans="1:13" x14ac:dyDescent="0.2">
      <c r="A50">
        <v>-24.032783989277998</v>
      </c>
      <c r="B50">
        <v>0</v>
      </c>
      <c r="C50">
        <f t="shared" si="0"/>
        <v>43653.857495888762</v>
      </c>
      <c r="D50" s="3">
        <v>45842</v>
      </c>
      <c r="I50" s="3">
        <v>45842</v>
      </c>
      <c r="J50">
        <f t="shared" si="1"/>
        <v>3215.3374958887653</v>
      </c>
      <c r="M50">
        <f t="shared" si="2"/>
        <v>1.0795117500810802</v>
      </c>
    </row>
    <row r="51" spans="1:13" x14ac:dyDescent="0.2">
      <c r="A51">
        <v>373.06596872567388</v>
      </c>
      <c r="B51">
        <v>100.84761302078914</v>
      </c>
      <c r="C51">
        <f t="shared" si="0"/>
        <v>44127.771077635225</v>
      </c>
      <c r="D51" s="3">
        <v>45845</v>
      </c>
      <c r="I51" s="3">
        <v>45845</v>
      </c>
      <c r="J51">
        <f t="shared" si="1"/>
        <v>3689.2510776352283</v>
      </c>
      <c r="M51">
        <f t="shared" si="2"/>
        <v>1.0912311102788932</v>
      </c>
    </row>
    <row r="52" spans="1:13" x14ac:dyDescent="0.2">
      <c r="A52">
        <v>-190.15685903966732</v>
      </c>
      <c r="B52">
        <v>72.068343530412676</v>
      </c>
      <c r="C52">
        <f t="shared" si="0"/>
        <v>44009.68256212597</v>
      </c>
      <c r="D52" s="3">
        <v>45846</v>
      </c>
      <c r="I52" s="3">
        <v>45846</v>
      </c>
      <c r="J52">
        <f t="shared" si="1"/>
        <v>3571.1625621259736</v>
      </c>
      <c r="M52">
        <f t="shared" si="2"/>
        <v>1.0883109115300456</v>
      </c>
    </row>
    <row r="53" spans="1:13" x14ac:dyDescent="0.2">
      <c r="A53">
        <v>170.79819131240947</v>
      </c>
      <c r="B53">
        <v>0.21107868170292932</v>
      </c>
      <c r="C53">
        <f t="shared" si="0"/>
        <v>44180.691832120079</v>
      </c>
      <c r="D53" s="3">
        <v>45847</v>
      </c>
      <c r="I53" s="3">
        <v>45847</v>
      </c>
      <c r="J53">
        <f t="shared" si="1"/>
        <v>3742.1718321200824</v>
      </c>
      <c r="M53">
        <f t="shared" si="2"/>
        <v>1.0925397821710607</v>
      </c>
    </row>
    <row r="54" spans="1:13" x14ac:dyDescent="0.2">
      <c r="A54">
        <v>-513.93495127625283</v>
      </c>
      <c r="B54">
        <v>263.24120820908138</v>
      </c>
      <c r="C54">
        <f t="shared" si="0"/>
        <v>43929.998089052911</v>
      </c>
      <c r="D54" s="3">
        <v>45848</v>
      </c>
      <c r="I54" s="3">
        <v>45848</v>
      </c>
      <c r="J54">
        <f t="shared" si="1"/>
        <v>3491.4780890529146</v>
      </c>
      <c r="M54">
        <f t="shared" si="2"/>
        <v>1.086340402394868</v>
      </c>
    </row>
    <row r="55" spans="1:13" x14ac:dyDescent="0.2">
      <c r="A55">
        <v>51.991268734487676</v>
      </c>
      <c r="B55">
        <v>44.552426045233005</v>
      </c>
      <c r="C55">
        <f t="shared" si="0"/>
        <v>44026.541783832632</v>
      </c>
      <c r="D55" s="3">
        <v>45849</v>
      </c>
      <c r="I55" s="3">
        <v>45849</v>
      </c>
      <c r="J55">
        <f t="shared" si="1"/>
        <v>3588.0217838326353</v>
      </c>
      <c r="M55">
        <f t="shared" si="2"/>
        <v>1.0887278214888338</v>
      </c>
    </row>
    <row r="56" spans="1:13" x14ac:dyDescent="0.2">
      <c r="A56">
        <v>313.89072921780462</v>
      </c>
      <c r="B56">
        <v>270.93113791275027</v>
      </c>
      <c r="C56">
        <f t="shared" si="0"/>
        <v>44611.363650963191</v>
      </c>
      <c r="D56" s="3">
        <v>45852</v>
      </c>
      <c r="I56" s="3">
        <v>45852</v>
      </c>
      <c r="J56">
        <f t="shared" si="1"/>
        <v>4172.8436509631938</v>
      </c>
      <c r="M56">
        <f t="shared" si="2"/>
        <v>1.1031898212635673</v>
      </c>
    </row>
    <row r="57" spans="1:13" x14ac:dyDescent="0.2">
      <c r="A57">
        <v>3.5962027468340239</v>
      </c>
      <c r="B57">
        <v>34.964201764491008</v>
      </c>
      <c r="C57">
        <f t="shared" si="0"/>
        <v>44649.924055474519</v>
      </c>
      <c r="D57" s="3">
        <v>45853</v>
      </c>
      <c r="I57" s="3">
        <v>45853</v>
      </c>
      <c r="J57">
        <f t="shared" si="1"/>
        <v>4211.4040554745225</v>
      </c>
      <c r="M57">
        <f t="shared" si="2"/>
        <v>1.104143377538904</v>
      </c>
    </row>
    <row r="58" spans="1:13" x14ac:dyDescent="0.2">
      <c r="A58">
        <v>92.99745794428236</v>
      </c>
      <c r="B58">
        <v>-114.81380359555624</v>
      </c>
      <c r="C58">
        <f t="shared" si="0"/>
        <v>44628.107709823249</v>
      </c>
      <c r="D58" s="3">
        <v>45854</v>
      </c>
      <c r="I58" s="3">
        <v>45854</v>
      </c>
      <c r="J58">
        <f t="shared" si="1"/>
        <v>4189.5877098232522</v>
      </c>
      <c r="M58">
        <f t="shared" si="2"/>
        <v>1.1036038833721722</v>
      </c>
    </row>
    <row r="59" spans="1:13" x14ac:dyDescent="0.2">
      <c r="A59">
        <v>334.19193674271082</v>
      </c>
      <c r="B59">
        <v>108.74031569130602</v>
      </c>
      <c r="C59">
        <f t="shared" si="0"/>
        <v>45071.039962257266</v>
      </c>
      <c r="D59" s="3">
        <v>45855</v>
      </c>
      <c r="I59" s="3">
        <v>45855</v>
      </c>
      <c r="J59">
        <f t="shared" si="1"/>
        <v>4632.5199622572691</v>
      </c>
      <c r="M59">
        <f t="shared" si="2"/>
        <v>1.114557109465363</v>
      </c>
    </row>
    <row r="60" spans="1:13" x14ac:dyDescent="0.2">
      <c r="A60">
        <v>14.184688455683499</v>
      </c>
      <c r="B60">
        <v>118.9774383214899</v>
      </c>
      <c r="C60">
        <f t="shared" si="0"/>
        <v>45204.202089034443</v>
      </c>
      <c r="D60" s="3">
        <v>45856</v>
      </c>
      <c r="I60" s="3">
        <v>45856</v>
      </c>
      <c r="J60">
        <f t="shared" si="1"/>
        <v>4765.6820890344461</v>
      </c>
      <c r="M60">
        <f t="shared" si="2"/>
        <v>1.1178500619961969</v>
      </c>
    </row>
    <row r="61" spans="1:13" x14ac:dyDescent="0.2">
      <c r="A61">
        <v>-139.94522413338927</v>
      </c>
      <c r="B61">
        <v>-41.231714081379323</v>
      </c>
      <c r="C61">
        <f t="shared" si="0"/>
        <v>45023.025150819674</v>
      </c>
      <c r="D61" s="3">
        <v>45859</v>
      </c>
      <c r="I61" s="3">
        <v>45859</v>
      </c>
      <c r="J61">
        <f t="shared" si="1"/>
        <v>4584.5051508196775</v>
      </c>
      <c r="M61">
        <f t="shared" si="2"/>
        <v>1.113369756133995</v>
      </c>
    </row>
    <row r="62" spans="1:13" x14ac:dyDescent="0.2">
      <c r="A62">
        <v>72.51404606505821</v>
      </c>
      <c r="B62">
        <v>-253.60853572942142</v>
      </c>
      <c r="C62">
        <f t="shared" si="0"/>
        <v>44841.930661155311</v>
      </c>
      <c r="D62" s="3">
        <v>45860</v>
      </c>
      <c r="I62" s="3">
        <v>45860</v>
      </c>
      <c r="J62">
        <f t="shared" si="1"/>
        <v>4403.4106611553143</v>
      </c>
      <c r="M62">
        <f t="shared" si="2"/>
        <v>1.1088914891335122</v>
      </c>
    </row>
    <row r="63" spans="1:13" x14ac:dyDescent="0.2">
      <c r="A63">
        <v>50.375353955445462</v>
      </c>
      <c r="B63">
        <v>257.81257455788727</v>
      </c>
      <c r="C63">
        <f t="shared" si="0"/>
        <v>45150.118589668644</v>
      </c>
      <c r="D63" s="3">
        <v>45861</v>
      </c>
      <c r="I63" s="3">
        <v>45861</v>
      </c>
      <c r="J63">
        <f t="shared" si="1"/>
        <v>4711.598589668647</v>
      </c>
      <c r="M63">
        <f t="shared" si="2"/>
        <v>1.1165126367055136</v>
      </c>
    </row>
    <row r="64" spans="1:13" x14ac:dyDescent="0.2">
      <c r="A64">
        <v>243.90468868746029</v>
      </c>
      <c r="B64">
        <v>120.91840106092059</v>
      </c>
      <c r="C64">
        <f t="shared" si="0"/>
        <v>45514.941679417025</v>
      </c>
      <c r="D64" s="3">
        <v>45862</v>
      </c>
      <c r="I64" s="3">
        <v>45862</v>
      </c>
      <c r="J64">
        <f t="shared" si="1"/>
        <v>5076.4216794170279</v>
      </c>
      <c r="M64">
        <f t="shared" si="2"/>
        <v>1.1255343093519998</v>
      </c>
    </row>
    <row r="65" spans="1:13" x14ac:dyDescent="0.2">
      <c r="A65">
        <v>-24.166090502516454</v>
      </c>
      <c r="B65">
        <v>193.57466393815776</v>
      </c>
      <c r="C65">
        <f t="shared" si="0"/>
        <v>45684.350252852666</v>
      </c>
      <c r="D65" s="3">
        <v>45863</v>
      </c>
      <c r="I65" s="3">
        <v>45863</v>
      </c>
      <c r="J65">
        <f t="shared" si="1"/>
        <v>5245.8302528526692</v>
      </c>
      <c r="M65">
        <f t="shared" si="2"/>
        <v>1.1297235965325305</v>
      </c>
    </row>
    <row r="66" spans="1:13" x14ac:dyDescent="0.2">
      <c r="A66">
        <v>55.336456546508998</v>
      </c>
      <c r="B66">
        <v>99.107600310326234</v>
      </c>
      <c r="C66">
        <f t="shared" si="0"/>
        <v>45838.794309709498</v>
      </c>
      <c r="D66" s="3">
        <v>45866</v>
      </c>
      <c r="I66" s="3">
        <v>45866</v>
      </c>
      <c r="J66">
        <f t="shared" si="1"/>
        <v>5400.2743097095008</v>
      </c>
      <c r="M66">
        <f t="shared" si="2"/>
        <v>1.1335428277224167</v>
      </c>
    </row>
    <row r="67" spans="1:13" x14ac:dyDescent="0.2">
      <c r="A67">
        <v>808.42338771164214</v>
      </c>
      <c r="B67">
        <v>-352.44411289060372</v>
      </c>
      <c r="C67">
        <f t="shared" si="0"/>
        <v>46294.773584530536</v>
      </c>
      <c r="D67" s="3">
        <v>45867</v>
      </c>
      <c r="I67" s="3">
        <v>45867</v>
      </c>
      <c r="J67">
        <f t="shared" si="1"/>
        <v>5856.2535845305392</v>
      </c>
      <c r="M67">
        <f t="shared" si="2"/>
        <v>1.1448186922896917</v>
      </c>
    </row>
    <row r="68" spans="1:13" x14ac:dyDescent="0.2">
      <c r="A68">
        <v>381.14355264606638</v>
      </c>
      <c r="B68">
        <v>60.117548020596587</v>
      </c>
      <c r="C68">
        <f t="shared" ref="C68:C131" si="3">A68+B68+C67</f>
        <v>46736.034685197199</v>
      </c>
      <c r="D68" s="3">
        <v>45868</v>
      </c>
      <c r="I68" s="3">
        <v>45868</v>
      </c>
      <c r="J68">
        <f t="shared" ref="J68:J131" si="4">C68-$C$2</f>
        <v>6297.5146851972022</v>
      </c>
      <c r="M68">
        <f t="shared" ref="M68:M131" si="5">C68/$C$2</f>
        <v>1.1557305926427872</v>
      </c>
    </row>
    <row r="69" spans="1:13" x14ac:dyDescent="0.2">
      <c r="A69">
        <v>185.31525177813819</v>
      </c>
      <c r="B69">
        <v>-334.92154378958003</v>
      </c>
      <c r="C69">
        <f t="shared" si="3"/>
        <v>46586.428393185757</v>
      </c>
      <c r="D69" s="3">
        <v>45869</v>
      </c>
      <c r="I69" s="3">
        <v>45869</v>
      </c>
      <c r="J69">
        <f t="shared" si="4"/>
        <v>6147.9083931857604</v>
      </c>
      <c r="M69">
        <f t="shared" si="5"/>
        <v>1.152030994041962</v>
      </c>
    </row>
    <row r="70" spans="1:13" x14ac:dyDescent="0.2">
      <c r="A70">
        <v>0</v>
      </c>
      <c r="B70">
        <v>-122.899751353743</v>
      </c>
      <c r="C70">
        <f t="shared" si="3"/>
        <v>46463.528641832017</v>
      </c>
      <c r="D70" s="3">
        <v>45870</v>
      </c>
      <c r="I70" s="3">
        <v>45870</v>
      </c>
      <c r="J70">
        <f t="shared" si="4"/>
        <v>6025.0086418320207</v>
      </c>
      <c r="M70">
        <f t="shared" si="5"/>
        <v>1.148991818736987</v>
      </c>
    </row>
    <row r="71" spans="1:13" x14ac:dyDescent="0.2">
      <c r="A71">
        <v>-313.6439530655407</v>
      </c>
      <c r="B71">
        <v>79.646816983997269</v>
      </c>
      <c r="C71">
        <f t="shared" si="3"/>
        <v>46229.531505750478</v>
      </c>
      <c r="D71" s="3">
        <v>45873</v>
      </c>
      <c r="I71" s="3">
        <v>45873</v>
      </c>
      <c r="J71">
        <f t="shared" si="4"/>
        <v>5791.0115057504809</v>
      </c>
      <c r="M71">
        <f t="shared" si="5"/>
        <v>1.143205327636879</v>
      </c>
    </row>
    <row r="72" spans="1:13" x14ac:dyDescent="0.2">
      <c r="A72">
        <v>-183.40606857009698</v>
      </c>
      <c r="B72">
        <v>-61.586330695790821</v>
      </c>
      <c r="C72">
        <f t="shared" si="3"/>
        <v>45984.53910648459</v>
      </c>
      <c r="D72" s="3">
        <v>45874</v>
      </c>
      <c r="I72" s="3">
        <v>45874</v>
      </c>
      <c r="J72">
        <f t="shared" si="4"/>
        <v>5546.0191064845931</v>
      </c>
      <c r="M72">
        <f t="shared" si="5"/>
        <v>1.1371469358048858</v>
      </c>
    </row>
    <row r="73" spans="1:13" x14ac:dyDescent="0.2">
      <c r="A73">
        <v>549.16029255231479</v>
      </c>
      <c r="B73">
        <v>-252.90471517193873</v>
      </c>
      <c r="C73">
        <f t="shared" si="3"/>
        <v>46280.794683864966</v>
      </c>
      <c r="D73" s="3">
        <v>45875</v>
      </c>
      <c r="I73" s="3">
        <v>45875</v>
      </c>
      <c r="J73">
        <f t="shared" si="4"/>
        <v>5842.2746838649691</v>
      </c>
      <c r="M73">
        <f t="shared" si="5"/>
        <v>1.1444730094935465</v>
      </c>
    </row>
    <row r="74" spans="1:13" x14ac:dyDescent="0.2">
      <c r="A74">
        <v>122.76780310150934</v>
      </c>
      <c r="B74">
        <v>-71.569512885209406</v>
      </c>
      <c r="C74">
        <f t="shared" si="3"/>
        <v>46331.992974081266</v>
      </c>
      <c r="D74" s="3">
        <v>45876</v>
      </c>
      <c r="I74" s="3">
        <v>45876</v>
      </c>
      <c r="J74">
        <f t="shared" si="4"/>
        <v>5893.4729740812691</v>
      </c>
      <c r="M74">
        <f t="shared" si="5"/>
        <v>1.1457390867440567</v>
      </c>
    </row>
    <row r="75" spans="1:13" x14ac:dyDescent="0.2">
      <c r="A75">
        <v>257.62805362818472</v>
      </c>
      <c r="B75">
        <v>-391.14051371052119</v>
      </c>
      <c r="C75">
        <f t="shared" si="3"/>
        <v>46198.480513998933</v>
      </c>
      <c r="D75" s="3">
        <v>45877</v>
      </c>
      <c r="I75" s="3">
        <v>45877</v>
      </c>
      <c r="J75">
        <f t="shared" si="4"/>
        <v>5759.9605139989362</v>
      </c>
      <c r="M75">
        <f t="shared" si="5"/>
        <v>1.1424374708569685</v>
      </c>
    </row>
    <row r="76" spans="1:13" x14ac:dyDescent="0.2">
      <c r="A76">
        <v>709.14114179629178</v>
      </c>
      <c r="B76">
        <v>127.27885129543574</v>
      </c>
      <c r="C76">
        <f t="shared" si="3"/>
        <v>47034.900507090657</v>
      </c>
      <c r="D76" s="3">
        <v>45880</v>
      </c>
      <c r="I76" s="3">
        <v>45880</v>
      </c>
      <c r="J76">
        <f t="shared" si="4"/>
        <v>6596.3805070906601</v>
      </c>
      <c r="M76">
        <f t="shared" si="5"/>
        <v>1.1631212147994205</v>
      </c>
    </row>
    <row r="77" spans="1:13" x14ac:dyDescent="0.2">
      <c r="A77">
        <v>224.90520385585114</v>
      </c>
      <c r="B77">
        <v>194.14525666015106</v>
      </c>
      <c r="C77">
        <f t="shared" si="3"/>
        <v>47453.950967606659</v>
      </c>
      <c r="D77" s="3">
        <v>45881</v>
      </c>
      <c r="I77" s="3">
        <v>45881</v>
      </c>
      <c r="J77">
        <f t="shared" si="4"/>
        <v>7015.4309676066623</v>
      </c>
      <c r="M77">
        <f t="shared" si="5"/>
        <v>1.1734838705176813</v>
      </c>
    </row>
    <row r="78" spans="1:13" x14ac:dyDescent="0.2">
      <c r="A78">
        <v>-90.728387969465984</v>
      </c>
      <c r="B78">
        <v>-362.29252564188937</v>
      </c>
      <c r="C78">
        <f t="shared" si="3"/>
        <v>47000.930053995304</v>
      </c>
      <c r="D78" s="3">
        <v>45882</v>
      </c>
      <c r="I78" s="3">
        <v>45882</v>
      </c>
      <c r="J78">
        <f t="shared" si="4"/>
        <v>6562.410053995307</v>
      </c>
      <c r="M78">
        <f t="shared" si="5"/>
        <v>1.1622811629603484</v>
      </c>
    </row>
    <row r="79" spans="1:13" x14ac:dyDescent="0.2">
      <c r="A79">
        <v>45.998531346911477</v>
      </c>
      <c r="B79">
        <v>298.07831963729768</v>
      </c>
      <c r="C79">
        <f t="shared" si="3"/>
        <v>47345.006904979513</v>
      </c>
      <c r="D79" s="3">
        <v>45883</v>
      </c>
      <c r="I79" s="3">
        <v>45883</v>
      </c>
      <c r="J79">
        <f t="shared" si="4"/>
        <v>6906.4869049795161</v>
      </c>
      <c r="M79">
        <f t="shared" si="5"/>
        <v>1.1707898040032008</v>
      </c>
    </row>
    <row r="80" spans="1:13" x14ac:dyDescent="0.2">
      <c r="A80">
        <v>-275.77704979820555</v>
      </c>
      <c r="B80">
        <v>179.98956873089264</v>
      </c>
      <c r="C80">
        <f t="shared" si="3"/>
        <v>47249.219423912204</v>
      </c>
      <c r="D80" s="3">
        <v>45884</v>
      </c>
      <c r="I80" s="3">
        <v>45884</v>
      </c>
      <c r="J80">
        <f t="shared" si="4"/>
        <v>6810.6994239122068</v>
      </c>
      <c r="M80">
        <f t="shared" si="5"/>
        <v>1.1684210852403156</v>
      </c>
    </row>
    <row r="81" spans="1:13" x14ac:dyDescent="0.2">
      <c r="A81">
        <v>162.77781853953638</v>
      </c>
      <c r="B81">
        <v>192.13149813514246</v>
      </c>
      <c r="C81">
        <f t="shared" si="3"/>
        <v>47604.128740586879</v>
      </c>
      <c r="D81" s="3">
        <v>45887</v>
      </c>
      <c r="I81" s="3">
        <v>45887</v>
      </c>
      <c r="J81">
        <f t="shared" si="4"/>
        <v>7165.608740586882</v>
      </c>
      <c r="M81">
        <f t="shared" si="5"/>
        <v>1.1771976012125787</v>
      </c>
    </row>
    <row r="82" spans="1:13" x14ac:dyDescent="0.2">
      <c r="A82">
        <v>-363.86782968860643</v>
      </c>
      <c r="B82">
        <v>-167.27543826520559</v>
      </c>
      <c r="C82">
        <f t="shared" si="3"/>
        <v>47072.985472633067</v>
      </c>
      <c r="D82" s="3">
        <v>45888</v>
      </c>
      <c r="I82" s="3">
        <v>45888</v>
      </c>
      <c r="J82">
        <f t="shared" si="4"/>
        <v>6634.46547263307</v>
      </c>
      <c r="M82">
        <f t="shared" si="5"/>
        <v>1.1640630139934169</v>
      </c>
    </row>
    <row r="83" spans="1:13" x14ac:dyDescent="0.2">
      <c r="A83">
        <v>-514.49802173389617</v>
      </c>
      <c r="B83">
        <v>159.80139026464167</v>
      </c>
      <c r="C83">
        <f t="shared" si="3"/>
        <v>46718.288841163812</v>
      </c>
      <c r="D83" s="3">
        <v>45889</v>
      </c>
      <c r="I83" s="3">
        <v>45889</v>
      </c>
      <c r="J83">
        <f t="shared" si="4"/>
        <v>6279.7688411638155</v>
      </c>
      <c r="M83">
        <f t="shared" si="5"/>
        <v>1.1552917574917136</v>
      </c>
    </row>
    <row r="84" spans="1:13" x14ac:dyDescent="0.2">
      <c r="A84">
        <v>330.37755106325858</v>
      </c>
      <c r="B84">
        <v>-31.908375673476257</v>
      </c>
      <c r="C84">
        <f t="shared" si="3"/>
        <v>47016.758016553591</v>
      </c>
      <c r="D84" s="3">
        <v>45890</v>
      </c>
      <c r="I84" s="3">
        <v>45890</v>
      </c>
      <c r="J84">
        <f t="shared" si="4"/>
        <v>6578.2380165535942</v>
      </c>
      <c r="M84">
        <f t="shared" si="5"/>
        <v>1.1626725710177721</v>
      </c>
    </row>
    <row r="85" spans="1:13" x14ac:dyDescent="0.2">
      <c r="A85">
        <v>-301.94363659465307</v>
      </c>
      <c r="B85">
        <v>55.426038821431575</v>
      </c>
      <c r="C85">
        <f t="shared" si="3"/>
        <v>46770.24041878037</v>
      </c>
      <c r="D85" s="3">
        <v>45891</v>
      </c>
      <c r="I85" s="3">
        <v>45891</v>
      </c>
      <c r="J85">
        <f t="shared" si="4"/>
        <v>6331.7204187803727</v>
      </c>
      <c r="M85">
        <f t="shared" si="5"/>
        <v>1.1565764627088324</v>
      </c>
    </row>
    <row r="86" spans="1:13" x14ac:dyDescent="0.2">
      <c r="A86">
        <v>0</v>
      </c>
      <c r="B86">
        <v>142.66911493056614</v>
      </c>
      <c r="C86">
        <f t="shared" si="3"/>
        <v>46912.909533710932</v>
      </c>
      <c r="D86" s="3">
        <v>45894</v>
      </c>
      <c r="I86" s="3">
        <v>45894</v>
      </c>
      <c r="J86">
        <f t="shared" si="4"/>
        <v>6474.3895337109352</v>
      </c>
      <c r="M86">
        <f t="shared" si="5"/>
        <v>1.1601045125714526</v>
      </c>
    </row>
    <row r="87" spans="1:13" x14ac:dyDescent="0.2">
      <c r="A87">
        <v>254.62701552814906</v>
      </c>
      <c r="B87">
        <v>256.25161796796601</v>
      </c>
      <c r="C87">
        <f t="shared" si="3"/>
        <v>47423.788167207051</v>
      </c>
      <c r="D87" s="3">
        <v>45895</v>
      </c>
      <c r="I87" s="3">
        <v>45895</v>
      </c>
      <c r="J87">
        <f t="shared" si="4"/>
        <v>6985.2681672070539</v>
      </c>
      <c r="M87">
        <f t="shared" si="5"/>
        <v>1.1727379777303188</v>
      </c>
    </row>
    <row r="88" spans="1:13" x14ac:dyDescent="0.2">
      <c r="A88">
        <v>-374.63325017661919</v>
      </c>
      <c r="B88">
        <v>-74.930110397239332</v>
      </c>
      <c r="C88">
        <f t="shared" si="3"/>
        <v>46974.224806633196</v>
      </c>
      <c r="D88" s="3">
        <v>45896</v>
      </c>
      <c r="I88" s="3">
        <v>45896</v>
      </c>
      <c r="J88">
        <f t="shared" si="4"/>
        <v>6535.704806633199</v>
      </c>
      <c r="M88">
        <f t="shared" si="5"/>
        <v>1.1616207716462719</v>
      </c>
    </row>
    <row r="89" spans="1:13" x14ac:dyDescent="0.2">
      <c r="A89">
        <v>-77.975558389221987</v>
      </c>
      <c r="B89">
        <v>198.59268217388308</v>
      </c>
      <c r="C89">
        <f t="shared" si="3"/>
        <v>47094.841930417853</v>
      </c>
      <c r="D89" s="3">
        <v>45897</v>
      </c>
      <c r="I89" s="3">
        <v>45897</v>
      </c>
      <c r="J89">
        <f t="shared" si="4"/>
        <v>6656.3219304178565</v>
      </c>
      <c r="M89">
        <f t="shared" si="5"/>
        <v>1.164603500088971</v>
      </c>
    </row>
    <row r="90" spans="1:13" x14ac:dyDescent="0.2">
      <c r="A90">
        <v>39.366494297210011</v>
      </c>
      <c r="B90">
        <v>7.9830652162563638</v>
      </c>
      <c r="C90">
        <f t="shared" si="3"/>
        <v>47142.19148993132</v>
      </c>
      <c r="D90" s="3">
        <v>45898</v>
      </c>
      <c r="I90" s="3">
        <v>45898</v>
      </c>
      <c r="J90">
        <f t="shared" si="4"/>
        <v>6703.6714899313229</v>
      </c>
      <c r="M90">
        <f t="shared" si="5"/>
        <v>1.1657744024739611</v>
      </c>
    </row>
    <row r="91" spans="1:13" x14ac:dyDescent="0.2">
      <c r="A91">
        <v>239.67885781079895</v>
      </c>
      <c r="B91">
        <v>0</v>
      </c>
      <c r="C91">
        <f t="shared" si="3"/>
        <v>47381.870347742122</v>
      </c>
      <c r="D91" s="3">
        <v>45901</v>
      </c>
      <c r="I91" s="3">
        <v>45901</v>
      </c>
      <c r="J91">
        <f t="shared" si="4"/>
        <v>6943.3503477421255</v>
      </c>
      <c r="M91">
        <f t="shared" si="5"/>
        <v>1.171701396286069</v>
      </c>
    </row>
    <row r="92" spans="1:13" x14ac:dyDescent="0.2">
      <c r="A92">
        <v>-344.95248534224811</v>
      </c>
      <c r="B92">
        <v>199.97756216497146</v>
      </c>
      <c r="C92">
        <f t="shared" si="3"/>
        <v>47236.895424564849</v>
      </c>
      <c r="D92" s="3">
        <v>45902</v>
      </c>
      <c r="I92" s="3">
        <v>45902</v>
      </c>
      <c r="J92">
        <f t="shared" si="4"/>
        <v>6798.3754245648524</v>
      </c>
      <c r="M92">
        <f t="shared" si="5"/>
        <v>1.1681163263285812</v>
      </c>
    </row>
    <row r="93" spans="1:13" x14ac:dyDescent="0.2">
      <c r="A93">
        <v>43.897597064402362</v>
      </c>
      <c r="B93">
        <v>5.2383416586199019</v>
      </c>
      <c r="C93">
        <f t="shared" si="3"/>
        <v>47286.031363287868</v>
      </c>
      <c r="D93" s="3">
        <v>45903</v>
      </c>
      <c r="I93" s="3">
        <v>45903</v>
      </c>
      <c r="J93">
        <f t="shared" si="4"/>
        <v>6847.5113632878711</v>
      </c>
      <c r="M93">
        <f t="shared" si="5"/>
        <v>1.1693314039012277</v>
      </c>
    </row>
    <row r="94" spans="1:13" x14ac:dyDescent="0.2">
      <c r="A94">
        <v>91.232148311995843</v>
      </c>
      <c r="B94">
        <v>-58.31681856405703</v>
      </c>
      <c r="C94">
        <f t="shared" si="3"/>
        <v>47318.946693035803</v>
      </c>
      <c r="D94" s="3">
        <v>45904</v>
      </c>
      <c r="I94" s="3">
        <v>45904</v>
      </c>
      <c r="J94">
        <f t="shared" si="4"/>
        <v>6880.4266930358062</v>
      </c>
      <c r="M94">
        <f t="shared" si="5"/>
        <v>1.1701453637036126</v>
      </c>
    </row>
    <row r="95" spans="1:13" x14ac:dyDescent="0.2">
      <c r="A95">
        <v>-219.28096683066178</v>
      </c>
      <c r="B95">
        <v>-191.44499218853525</v>
      </c>
      <c r="C95">
        <f t="shared" si="3"/>
        <v>46908.220734016606</v>
      </c>
      <c r="D95" s="3">
        <v>45905</v>
      </c>
      <c r="I95" s="3">
        <v>45905</v>
      </c>
      <c r="J95">
        <f t="shared" si="4"/>
        <v>6469.7007340166092</v>
      </c>
      <c r="M95">
        <f t="shared" si="5"/>
        <v>1.1599885637262839</v>
      </c>
    </row>
    <row r="96" spans="1:13" x14ac:dyDescent="0.2">
      <c r="A96">
        <v>242.41355775329066</v>
      </c>
      <c r="B96">
        <v>-94.224541468924144</v>
      </c>
      <c r="C96">
        <f t="shared" si="3"/>
        <v>47056.409750300969</v>
      </c>
      <c r="D96" s="3">
        <v>45908</v>
      </c>
      <c r="I96" s="3">
        <v>45908</v>
      </c>
      <c r="J96">
        <f t="shared" si="4"/>
        <v>6617.8897503009721</v>
      </c>
      <c r="M96">
        <f t="shared" si="5"/>
        <v>1.1636531146614904</v>
      </c>
    </row>
    <row r="97" spans="1:13" x14ac:dyDescent="0.2">
      <c r="A97">
        <v>185.09630185215428</v>
      </c>
      <c r="B97">
        <v>105.03172408988758</v>
      </c>
      <c r="C97">
        <f t="shared" si="3"/>
        <v>47346.537776243014</v>
      </c>
      <c r="D97" s="3">
        <v>45909</v>
      </c>
      <c r="I97" s="3">
        <v>45909</v>
      </c>
      <c r="J97">
        <f t="shared" si="4"/>
        <v>6908.0177762430176</v>
      </c>
      <c r="M97">
        <f t="shared" si="5"/>
        <v>1.170827660761151</v>
      </c>
    </row>
    <row r="98" spans="1:13" x14ac:dyDescent="0.2">
      <c r="A98">
        <v>432.53663808031342</v>
      </c>
      <c r="B98">
        <v>793.10367971065716</v>
      </c>
      <c r="C98">
        <f t="shared" si="3"/>
        <v>48572.178094033981</v>
      </c>
      <c r="D98" s="3">
        <v>45910</v>
      </c>
      <c r="I98" s="3">
        <v>45910</v>
      </c>
      <c r="J98">
        <f t="shared" si="4"/>
        <v>8133.6580940339845</v>
      </c>
      <c r="M98">
        <f t="shared" si="5"/>
        <v>1.2011363940627398</v>
      </c>
    </row>
    <row r="99" spans="1:13" x14ac:dyDescent="0.2">
      <c r="A99">
        <v>104.70384252694203</v>
      </c>
      <c r="B99">
        <v>-22.211766302196338</v>
      </c>
      <c r="C99">
        <f t="shared" si="3"/>
        <v>48654.670170258731</v>
      </c>
      <c r="D99" s="3">
        <v>45911</v>
      </c>
      <c r="I99" s="3">
        <v>45911</v>
      </c>
      <c r="J99">
        <f t="shared" si="4"/>
        <v>8216.1501702587339</v>
      </c>
      <c r="M99">
        <f t="shared" si="5"/>
        <v>1.2031763321273561</v>
      </c>
    </row>
    <row r="100" spans="1:13" x14ac:dyDescent="0.2">
      <c r="A100">
        <v>258.98554110695841</v>
      </c>
      <c r="B100">
        <v>-0.93071859565679915</v>
      </c>
      <c r="C100">
        <f t="shared" si="3"/>
        <v>48912.724992770032</v>
      </c>
      <c r="D100" s="3">
        <v>45912</v>
      </c>
      <c r="I100" s="3">
        <v>45912</v>
      </c>
      <c r="J100">
        <f t="shared" si="4"/>
        <v>8474.2049927700355</v>
      </c>
      <c r="M100">
        <f t="shared" si="5"/>
        <v>1.2095577432796758</v>
      </c>
    </row>
    <row r="101" spans="1:13" x14ac:dyDescent="0.2">
      <c r="A101">
        <v>282.55434937871178</v>
      </c>
      <c r="B101">
        <v>-60.336626499843987</v>
      </c>
      <c r="C101">
        <f t="shared" si="3"/>
        <v>49134.942715648896</v>
      </c>
      <c r="D101" s="3">
        <v>45915</v>
      </c>
      <c r="I101" s="3">
        <v>45915</v>
      </c>
      <c r="J101">
        <f t="shared" si="4"/>
        <v>8696.4227156488996</v>
      </c>
      <c r="M101">
        <f t="shared" si="5"/>
        <v>1.2150529424827838</v>
      </c>
    </row>
    <row r="102" spans="1:13" x14ac:dyDescent="0.2">
      <c r="A102">
        <v>-232.07048298076188</v>
      </c>
      <c r="B102">
        <v>-309.69306520314422</v>
      </c>
      <c r="C102">
        <f t="shared" si="3"/>
        <v>48593.179167464987</v>
      </c>
      <c r="D102" s="3">
        <v>45916</v>
      </c>
      <c r="I102" s="3">
        <v>45916</v>
      </c>
      <c r="J102">
        <f t="shared" si="4"/>
        <v>8154.6591674649899</v>
      </c>
      <c r="M102">
        <f t="shared" si="5"/>
        <v>1.2016557274466273</v>
      </c>
    </row>
    <row r="103" spans="1:13" x14ac:dyDescent="0.2">
      <c r="A103">
        <v>-248.54197607667084</v>
      </c>
      <c r="B103">
        <v>-221.8237621588305</v>
      </c>
      <c r="C103">
        <f t="shared" si="3"/>
        <v>48122.813429229485</v>
      </c>
      <c r="D103" s="3">
        <v>45917</v>
      </c>
      <c r="I103" s="3">
        <v>45917</v>
      </c>
      <c r="J103">
        <f t="shared" si="4"/>
        <v>7684.2934292294885</v>
      </c>
      <c r="M103">
        <f t="shared" si="5"/>
        <v>1.1900241015059276</v>
      </c>
    </row>
    <row r="104" spans="1:13" x14ac:dyDescent="0.2">
      <c r="A104">
        <v>-53.446826520888862</v>
      </c>
      <c r="B104">
        <v>18.272757616086892</v>
      </c>
      <c r="C104">
        <f t="shared" si="3"/>
        <v>48087.639360324683</v>
      </c>
      <c r="D104" s="3">
        <v>45918</v>
      </c>
      <c r="I104" s="3">
        <v>45918</v>
      </c>
      <c r="J104">
        <f t="shared" si="4"/>
        <v>7649.1193603246866</v>
      </c>
      <c r="M104">
        <f t="shared" si="5"/>
        <v>1.1891542855753545</v>
      </c>
    </row>
    <row r="105" spans="1:13" x14ac:dyDescent="0.2">
      <c r="A105">
        <v>257.10193840977445</v>
      </c>
      <c r="B105">
        <v>62.896241548420221</v>
      </c>
      <c r="C105">
        <f t="shared" si="3"/>
        <v>48407.637540282878</v>
      </c>
      <c r="D105" s="3">
        <v>45919</v>
      </c>
      <c r="I105" s="3">
        <v>45919</v>
      </c>
      <c r="J105">
        <f t="shared" si="4"/>
        <v>7969.1175402828812</v>
      </c>
      <c r="M105">
        <f t="shared" si="5"/>
        <v>1.197067487640074</v>
      </c>
    </row>
    <row r="106" spans="1:13" x14ac:dyDescent="0.2">
      <c r="A106">
        <v>-86.230596283930936</v>
      </c>
      <c r="B106">
        <v>110.07270823826912</v>
      </c>
      <c r="C106">
        <f t="shared" si="3"/>
        <v>48431.47965223722</v>
      </c>
      <c r="D106" s="3">
        <v>45922</v>
      </c>
      <c r="I106" s="3">
        <v>45922</v>
      </c>
      <c r="J106">
        <f t="shared" si="4"/>
        <v>7992.9596522372231</v>
      </c>
      <c r="M106">
        <f t="shared" si="5"/>
        <v>1.1976570767732653</v>
      </c>
    </row>
    <row r="107" spans="1:13" x14ac:dyDescent="0.2">
      <c r="A107">
        <v>-73.772331497129926</v>
      </c>
      <c r="B107">
        <v>114.67705098791703</v>
      </c>
      <c r="C107">
        <f t="shared" si="3"/>
        <v>48472.384371728011</v>
      </c>
      <c r="D107" s="3">
        <v>45923</v>
      </c>
      <c r="I107" s="3">
        <v>45923</v>
      </c>
      <c r="J107">
        <f t="shared" si="4"/>
        <v>8033.8643717280138</v>
      </c>
      <c r="M107">
        <f t="shared" si="5"/>
        <v>1.1986686053725015</v>
      </c>
    </row>
    <row r="108" spans="1:13" x14ac:dyDescent="0.2">
      <c r="A108">
        <v>523.13543708739235</v>
      </c>
      <c r="B108">
        <v>-95.570341660109989</v>
      </c>
      <c r="C108">
        <f t="shared" si="3"/>
        <v>48899.949467155297</v>
      </c>
      <c r="D108" s="3">
        <v>45924</v>
      </c>
      <c r="I108" s="3">
        <v>45924</v>
      </c>
      <c r="J108">
        <f t="shared" si="4"/>
        <v>8461.4294671552998</v>
      </c>
      <c r="M108">
        <f t="shared" si="5"/>
        <v>1.2092418186213367</v>
      </c>
    </row>
    <row r="109" spans="1:13" x14ac:dyDescent="0.2">
      <c r="A109">
        <v>26.057464048226393</v>
      </c>
      <c r="B109">
        <v>-153.33233978210774</v>
      </c>
      <c r="C109">
        <f t="shared" si="3"/>
        <v>48772.674591421412</v>
      </c>
      <c r="D109" s="3">
        <v>45925</v>
      </c>
      <c r="I109" s="3">
        <v>45925</v>
      </c>
      <c r="J109">
        <f t="shared" si="4"/>
        <v>8334.1545914214148</v>
      </c>
      <c r="M109">
        <f t="shared" si="5"/>
        <v>1.2060944513157608</v>
      </c>
    </row>
    <row r="110" spans="1:13" x14ac:dyDescent="0.2">
      <c r="A110">
        <v>286.79017057527017</v>
      </c>
      <c r="B110">
        <v>82.678272561533959</v>
      </c>
      <c r="C110">
        <f t="shared" si="3"/>
        <v>49142.143034558219</v>
      </c>
      <c r="D110" s="3">
        <v>45926</v>
      </c>
      <c r="I110" s="3">
        <v>45926</v>
      </c>
      <c r="J110">
        <f t="shared" si="4"/>
        <v>8703.6230345582226</v>
      </c>
      <c r="M110">
        <f t="shared" si="5"/>
        <v>1.2152309984281873</v>
      </c>
    </row>
    <row r="111" spans="1:13" x14ac:dyDescent="0.2">
      <c r="A111">
        <v>-278.84868946157076</v>
      </c>
      <c r="B111">
        <v>-95.665809850299411</v>
      </c>
      <c r="C111">
        <f t="shared" si="3"/>
        <v>48767.628535246346</v>
      </c>
      <c r="D111" s="3">
        <v>45929</v>
      </c>
      <c r="I111" s="3">
        <v>45929</v>
      </c>
      <c r="J111">
        <f t="shared" si="4"/>
        <v>8329.1085352463488</v>
      </c>
      <c r="M111">
        <f t="shared" si="5"/>
        <v>1.2059696679118412</v>
      </c>
    </row>
    <row r="112" spans="1:13" x14ac:dyDescent="0.2">
      <c r="A112">
        <v>44.332405603032385</v>
      </c>
      <c r="B112">
        <v>51.654693477921683</v>
      </c>
      <c r="C112">
        <f t="shared" si="3"/>
        <v>48863.615634327303</v>
      </c>
      <c r="D112" s="3">
        <v>45930</v>
      </c>
      <c r="I112" s="3">
        <v>45930</v>
      </c>
      <c r="J112">
        <f t="shared" si="4"/>
        <v>8425.0956343273065</v>
      </c>
      <c r="M112">
        <f t="shared" si="5"/>
        <v>1.2083433230080454</v>
      </c>
    </row>
    <row r="113" spans="1:13" x14ac:dyDescent="0.2">
      <c r="A113">
        <v>-5.532471653950779</v>
      </c>
      <c r="B113">
        <v>248.56122445113215</v>
      </c>
      <c r="C113">
        <f t="shared" si="3"/>
        <v>49106.644387124485</v>
      </c>
      <c r="D113" s="3">
        <v>45931</v>
      </c>
      <c r="I113" s="3">
        <v>45931</v>
      </c>
      <c r="J113">
        <f t="shared" si="4"/>
        <v>8668.1243871244878</v>
      </c>
      <c r="M113">
        <f t="shared" si="5"/>
        <v>1.214353156028571</v>
      </c>
    </row>
    <row r="114" spans="1:13" x14ac:dyDescent="0.2">
      <c r="A114">
        <v>46.685755881142541</v>
      </c>
      <c r="B114">
        <v>59.023650734528928</v>
      </c>
      <c r="C114">
        <f t="shared" si="3"/>
        <v>49212.353793740156</v>
      </c>
      <c r="D114" s="3">
        <v>45932</v>
      </c>
      <c r="I114" s="3">
        <v>45932</v>
      </c>
      <c r="J114">
        <f t="shared" si="4"/>
        <v>8773.8337937401593</v>
      </c>
      <c r="M114">
        <f t="shared" si="5"/>
        <v>1.2169672330673862</v>
      </c>
    </row>
    <row r="115" spans="1:13" x14ac:dyDescent="0.2">
      <c r="A115">
        <v>-106.82019524931457</v>
      </c>
      <c r="B115">
        <v>-56.748668234828074</v>
      </c>
      <c r="C115">
        <f t="shared" si="3"/>
        <v>49048.784930256013</v>
      </c>
      <c r="D115" s="3">
        <v>45933</v>
      </c>
      <c r="I115" s="3">
        <v>45933</v>
      </c>
      <c r="J115">
        <f t="shared" si="4"/>
        <v>8610.2649302560167</v>
      </c>
      <c r="M115">
        <f t="shared" si="5"/>
        <v>1.2129223554733461</v>
      </c>
    </row>
    <row r="116" spans="1:13" x14ac:dyDescent="0.2">
      <c r="A116">
        <v>20.995912392365426</v>
      </c>
      <c r="B116">
        <v>192.44373218367764</v>
      </c>
      <c r="C116">
        <f t="shared" si="3"/>
        <v>49262.224574832057</v>
      </c>
      <c r="D116" s="3">
        <v>45936</v>
      </c>
      <c r="I116" s="3">
        <v>45936</v>
      </c>
      <c r="J116">
        <f t="shared" si="4"/>
        <v>8823.7045748320597</v>
      </c>
      <c r="M116">
        <f t="shared" si="5"/>
        <v>1.2182004824813584</v>
      </c>
    </row>
    <row r="117" spans="1:13" x14ac:dyDescent="0.2">
      <c r="A117">
        <v>-147.97864933176606</v>
      </c>
      <c r="B117">
        <v>-101.38381978639518</v>
      </c>
      <c r="C117">
        <f t="shared" si="3"/>
        <v>49012.862105713895</v>
      </c>
      <c r="D117" s="3">
        <v>45937</v>
      </c>
      <c r="I117" s="3">
        <v>45937</v>
      </c>
      <c r="J117">
        <f t="shared" si="4"/>
        <v>8574.3421057138985</v>
      </c>
      <c r="M117">
        <f t="shared" si="5"/>
        <v>1.212034023641664</v>
      </c>
    </row>
    <row r="118" spans="1:13" x14ac:dyDescent="0.2">
      <c r="A118">
        <v>305.36931759744766</v>
      </c>
      <c r="B118">
        <v>-26.214959200322483</v>
      </c>
      <c r="C118">
        <f t="shared" si="3"/>
        <v>49292.016464111017</v>
      </c>
      <c r="D118" s="3">
        <v>45938</v>
      </c>
      <c r="I118" s="3">
        <v>45938</v>
      </c>
      <c r="J118">
        <f t="shared" si="4"/>
        <v>8853.49646411102</v>
      </c>
      <c r="M118">
        <f t="shared" si="5"/>
        <v>1.2189372030457846</v>
      </c>
    </row>
    <row r="119" spans="1:13" x14ac:dyDescent="0.2">
      <c r="A119">
        <v>101.31221254956836</v>
      </c>
      <c r="B119">
        <v>44.045749986573355</v>
      </c>
      <c r="C119">
        <f t="shared" si="3"/>
        <v>49437.374426647162</v>
      </c>
      <c r="D119" s="3">
        <v>45939</v>
      </c>
      <c r="I119" s="3">
        <v>45939</v>
      </c>
      <c r="J119">
        <f t="shared" si="4"/>
        <v>8998.8544266471654</v>
      </c>
      <c r="M119">
        <f t="shared" si="5"/>
        <v>1.2225317451441637</v>
      </c>
    </row>
    <row r="120" spans="1:13" x14ac:dyDescent="0.2">
      <c r="A120">
        <v>-404.63920579021578</v>
      </c>
      <c r="B120">
        <v>75.394374922736461</v>
      </c>
      <c r="C120">
        <f t="shared" si="3"/>
        <v>49108.129595779683</v>
      </c>
      <c r="D120" s="3">
        <v>45940</v>
      </c>
      <c r="I120" s="3">
        <v>45940</v>
      </c>
      <c r="J120">
        <f t="shared" si="4"/>
        <v>8669.6095957796861</v>
      </c>
      <c r="M120">
        <f t="shared" si="5"/>
        <v>1.2143898836005791</v>
      </c>
    </row>
    <row r="121" spans="1:13" x14ac:dyDescent="0.2">
      <c r="A121">
        <v>122.87136727102188</v>
      </c>
      <c r="B121">
        <v>-93.202531453600386</v>
      </c>
      <c r="C121">
        <f t="shared" si="3"/>
        <v>49137.798431597104</v>
      </c>
      <c r="D121" s="3">
        <v>45943</v>
      </c>
      <c r="I121" s="3">
        <v>45943</v>
      </c>
      <c r="J121">
        <f t="shared" si="4"/>
        <v>8699.2784315971076</v>
      </c>
      <c r="M121">
        <f t="shared" si="5"/>
        <v>1.2151235611886169</v>
      </c>
    </row>
    <row r="122" spans="1:13" x14ac:dyDescent="0.2">
      <c r="A122">
        <v>103.01174108974374</v>
      </c>
      <c r="B122">
        <v>5.4301217747815826</v>
      </c>
      <c r="C122">
        <f t="shared" si="3"/>
        <v>49246.240294461633</v>
      </c>
      <c r="D122" s="3">
        <v>45944</v>
      </c>
      <c r="I122" s="3">
        <v>45944</v>
      </c>
      <c r="J122">
        <f t="shared" si="4"/>
        <v>8807.7202944616365</v>
      </c>
      <c r="M122">
        <f t="shared" si="5"/>
        <v>1.2178052088568434</v>
      </c>
    </row>
    <row r="123" spans="1:13" x14ac:dyDescent="0.2">
      <c r="A123">
        <v>-280.68573273343645</v>
      </c>
      <c r="B123">
        <v>-60.548106264301168</v>
      </c>
      <c r="C123">
        <f t="shared" si="3"/>
        <v>48905.006455463896</v>
      </c>
      <c r="D123" s="3">
        <v>45945</v>
      </c>
      <c r="I123" s="3">
        <v>45945</v>
      </c>
      <c r="J123">
        <f t="shared" si="4"/>
        <v>8466.4864554638989</v>
      </c>
      <c r="M123">
        <f t="shared" si="5"/>
        <v>1.2093668723648616</v>
      </c>
    </row>
    <row r="124" spans="1:13" x14ac:dyDescent="0.2">
      <c r="A124">
        <v>-180.01186493779824</v>
      </c>
      <c r="B124">
        <v>-245.17489568574456</v>
      </c>
      <c r="C124">
        <f t="shared" si="3"/>
        <v>48479.819694840349</v>
      </c>
      <c r="D124" s="3">
        <v>45946</v>
      </c>
      <c r="I124" s="3">
        <v>45946</v>
      </c>
      <c r="J124">
        <f t="shared" si="4"/>
        <v>8041.2996948403525</v>
      </c>
      <c r="M124">
        <f t="shared" si="5"/>
        <v>1.1988524727126599</v>
      </c>
    </row>
    <row r="125" spans="1:13" x14ac:dyDescent="0.2">
      <c r="A125">
        <v>-532.67087092222937</v>
      </c>
      <c r="B125">
        <v>-326.33519490756225</v>
      </c>
      <c r="C125">
        <f t="shared" si="3"/>
        <v>47620.813629010561</v>
      </c>
      <c r="D125" s="3">
        <v>45947</v>
      </c>
      <c r="I125" s="3">
        <v>45947</v>
      </c>
      <c r="J125">
        <f t="shared" si="4"/>
        <v>7182.2936290105645</v>
      </c>
      <c r="M125">
        <f t="shared" si="5"/>
        <v>1.1776102001015509</v>
      </c>
    </row>
    <row r="126" spans="1:13" x14ac:dyDescent="0.2">
      <c r="A126">
        <v>469.68858636495133</v>
      </c>
      <c r="B126">
        <v>296.45407064872052</v>
      </c>
      <c r="C126">
        <f t="shared" si="3"/>
        <v>48386.956286024229</v>
      </c>
      <c r="D126" s="3">
        <v>45950</v>
      </c>
      <c r="I126" s="3">
        <v>45950</v>
      </c>
      <c r="J126">
        <f t="shared" si="4"/>
        <v>7948.4362860242327</v>
      </c>
      <c r="M126">
        <f t="shared" si="5"/>
        <v>1.1965560630315906</v>
      </c>
    </row>
    <row r="127" spans="1:13" x14ac:dyDescent="0.2">
      <c r="A127">
        <v>-286.90356764123135</v>
      </c>
      <c r="B127">
        <v>-10.354664315418631</v>
      </c>
      <c r="C127">
        <f t="shared" si="3"/>
        <v>48089.69805406758</v>
      </c>
      <c r="D127" s="3">
        <v>45951</v>
      </c>
      <c r="I127" s="3">
        <v>45951</v>
      </c>
      <c r="J127">
        <f t="shared" si="4"/>
        <v>7651.1780540675827</v>
      </c>
      <c r="M127">
        <f t="shared" si="5"/>
        <v>1.1892051948010853</v>
      </c>
    </row>
    <row r="128" spans="1:13" x14ac:dyDescent="0.2">
      <c r="A128">
        <v>-439.61140756513123</v>
      </c>
      <c r="B128">
        <v>-85.362065859280847</v>
      </c>
      <c r="C128">
        <f t="shared" si="3"/>
        <v>47564.724580643167</v>
      </c>
      <c r="D128" s="3">
        <v>45952</v>
      </c>
      <c r="I128" s="3">
        <v>45952</v>
      </c>
      <c r="J128">
        <f t="shared" si="4"/>
        <v>7126.2045806431706</v>
      </c>
      <c r="M128">
        <f t="shared" si="5"/>
        <v>1.1762231797959759</v>
      </c>
    </row>
    <row r="129" spans="1:13" x14ac:dyDescent="0.2">
      <c r="A129">
        <v>108.42076952131538</v>
      </c>
      <c r="B129">
        <v>-410.00684443641876</v>
      </c>
      <c r="C129">
        <f t="shared" si="3"/>
        <v>47263.138505728064</v>
      </c>
      <c r="D129" s="3">
        <v>45953</v>
      </c>
      <c r="I129" s="3">
        <v>45953</v>
      </c>
      <c r="J129">
        <f t="shared" si="4"/>
        <v>6824.6185057280672</v>
      </c>
      <c r="M129">
        <f t="shared" si="5"/>
        <v>1.1687652887822815</v>
      </c>
    </row>
    <row r="130" spans="1:13" x14ac:dyDescent="0.2">
      <c r="A130">
        <v>147.63298810879496</v>
      </c>
      <c r="B130">
        <v>5.1374444725406647</v>
      </c>
      <c r="C130">
        <f t="shared" si="3"/>
        <v>47415.908938309396</v>
      </c>
      <c r="D130" s="3">
        <v>45954</v>
      </c>
      <c r="I130" s="3">
        <v>45954</v>
      </c>
      <c r="J130">
        <f t="shared" si="4"/>
        <v>6977.3889383093992</v>
      </c>
      <c r="M130">
        <f t="shared" si="5"/>
        <v>1.172543133089673</v>
      </c>
    </row>
    <row r="131" spans="1:13" x14ac:dyDescent="0.2">
      <c r="A131">
        <v>228.33647107246361</v>
      </c>
      <c r="B131">
        <v>156.27751937076755</v>
      </c>
      <c r="C131">
        <f t="shared" si="3"/>
        <v>47800.522928752631</v>
      </c>
      <c r="D131" s="3">
        <v>45957</v>
      </c>
      <c r="I131" s="3">
        <v>45957</v>
      </c>
      <c r="J131">
        <f t="shared" si="4"/>
        <v>7362.002928752634</v>
      </c>
      <c r="M131">
        <f t="shared" si="5"/>
        <v>1.1820542128829798</v>
      </c>
    </row>
    <row r="132" spans="1:13" x14ac:dyDescent="0.2">
      <c r="A132">
        <v>387.12034292974568</v>
      </c>
      <c r="B132">
        <v>-520.08650094890618</v>
      </c>
      <c r="C132">
        <f t="shared" ref="C132:C150" si="6">A132+B132+C131</f>
        <v>47667.55677073347</v>
      </c>
      <c r="D132" s="3">
        <v>45958</v>
      </c>
      <c r="I132" s="3">
        <v>45958</v>
      </c>
      <c r="J132">
        <f t="shared" ref="J132:J150" si="7">C132-$C$2</f>
        <v>7229.0367707334735</v>
      </c>
      <c r="M132">
        <f t="shared" ref="M132:M150" si="8">C132/$C$2</f>
        <v>1.1787661064433979</v>
      </c>
    </row>
    <row r="133" spans="1:13" x14ac:dyDescent="0.2">
      <c r="A133">
        <v>533.0256712790142</v>
      </c>
      <c r="B133">
        <v>89.200825586376595</v>
      </c>
      <c r="C133">
        <f t="shared" si="6"/>
        <v>48289.783267598861</v>
      </c>
      <c r="D133" s="3">
        <v>45959</v>
      </c>
      <c r="I133" s="3">
        <v>45959</v>
      </c>
      <c r="J133">
        <f t="shared" si="7"/>
        <v>7851.2632675988643</v>
      </c>
      <c r="M133">
        <f t="shared" si="8"/>
        <v>1.1941530814579482</v>
      </c>
    </row>
    <row r="134" spans="1:13" x14ac:dyDescent="0.2">
      <c r="A134">
        <v>164.09252723684403</v>
      </c>
      <c r="B134">
        <v>183.39323804844025</v>
      </c>
      <c r="C134">
        <f t="shared" si="6"/>
        <v>48637.269032884142</v>
      </c>
      <c r="D134" s="3">
        <v>45960</v>
      </c>
      <c r="I134" s="3">
        <v>45960</v>
      </c>
      <c r="J134">
        <f t="shared" si="7"/>
        <v>8198.749032884145</v>
      </c>
      <c r="M134">
        <f t="shared" si="8"/>
        <v>1.2027460211917782</v>
      </c>
    </row>
    <row r="135" spans="1:13" x14ac:dyDescent="0.2">
      <c r="A135">
        <v>283.66985252818631</v>
      </c>
      <c r="B135">
        <v>300.3305351494455</v>
      </c>
      <c r="C135">
        <f t="shared" si="6"/>
        <v>49221.269420561774</v>
      </c>
      <c r="D135" s="3">
        <v>45961</v>
      </c>
      <c r="I135" s="3">
        <v>45961</v>
      </c>
      <c r="J135">
        <f t="shared" si="7"/>
        <v>8782.7494205617768</v>
      </c>
      <c r="M135">
        <f t="shared" si="8"/>
        <v>1.2171877066856496</v>
      </c>
    </row>
    <row r="136" spans="1:13" x14ac:dyDescent="0.2">
      <c r="A136">
        <v>274.54081220953231</v>
      </c>
      <c r="B136">
        <v>253.34619796317565</v>
      </c>
      <c r="C136">
        <f t="shared" si="6"/>
        <v>49749.156430734482</v>
      </c>
      <c r="D136" s="3">
        <v>45964</v>
      </c>
      <c r="I136" s="3">
        <v>45964</v>
      </c>
      <c r="J136">
        <f t="shared" si="7"/>
        <v>9310.6364307344847</v>
      </c>
      <c r="M136">
        <f t="shared" si="8"/>
        <v>1.2302417702412078</v>
      </c>
    </row>
    <row r="137" spans="1:13" x14ac:dyDescent="0.2">
      <c r="A137">
        <v>-41.194269802166673</v>
      </c>
      <c r="B137">
        <v>-810.13234997775726</v>
      </c>
      <c r="C137">
        <f t="shared" si="6"/>
        <v>48897.829810954558</v>
      </c>
      <c r="D137" s="3">
        <v>45965</v>
      </c>
      <c r="I137" s="3">
        <v>45965</v>
      </c>
      <c r="J137">
        <f t="shared" si="7"/>
        <v>8459.3098109545608</v>
      </c>
      <c r="M137">
        <f t="shared" si="8"/>
        <v>1.209189401861259</v>
      </c>
    </row>
    <row r="138" spans="1:13" x14ac:dyDescent="0.2">
      <c r="A138">
        <v>-310.42625734307148</v>
      </c>
      <c r="B138">
        <v>1.1488125434552785</v>
      </c>
      <c r="C138">
        <f t="shared" si="6"/>
        <v>48588.552366154938</v>
      </c>
      <c r="D138" s="3">
        <v>45966</v>
      </c>
      <c r="I138" s="3">
        <v>45966</v>
      </c>
      <c r="J138">
        <f t="shared" si="7"/>
        <v>8150.032366154941</v>
      </c>
      <c r="M138">
        <f t="shared" si="8"/>
        <v>1.201541311753124</v>
      </c>
    </row>
    <row r="139" spans="1:13" x14ac:dyDescent="0.2">
      <c r="A139">
        <v>79.63954326682142</v>
      </c>
      <c r="B139">
        <v>221.06702481545653</v>
      </c>
      <c r="C139">
        <f t="shared" si="6"/>
        <v>48889.258934237216</v>
      </c>
      <c r="D139" s="3">
        <v>45967</v>
      </c>
      <c r="I139" s="3">
        <v>45967</v>
      </c>
      <c r="J139">
        <f t="shared" si="7"/>
        <v>8450.7389342372189</v>
      </c>
      <c r="M139">
        <f t="shared" si="8"/>
        <v>1.2089774535328499</v>
      </c>
    </row>
    <row r="140" spans="1:13" x14ac:dyDescent="0.2">
      <c r="A140">
        <v>-217.86596017209013</v>
      </c>
      <c r="B140">
        <v>315.30597071778902</v>
      </c>
      <c r="C140">
        <f t="shared" si="6"/>
        <v>48986.698944782911</v>
      </c>
      <c r="D140" s="3">
        <v>45968</v>
      </c>
      <c r="I140" s="3">
        <v>45968</v>
      </c>
      <c r="J140">
        <f t="shared" si="7"/>
        <v>8548.1789447829142</v>
      </c>
      <c r="M140">
        <f t="shared" si="8"/>
        <v>1.2113870375271625</v>
      </c>
    </row>
    <row r="141" spans="1:13" x14ac:dyDescent="0.2">
      <c r="A141">
        <v>468.07404664564092</v>
      </c>
      <c r="B141">
        <v>123.29535866608421</v>
      </c>
      <c r="C141">
        <f t="shared" si="6"/>
        <v>49578.068350094632</v>
      </c>
      <c r="D141" s="3">
        <v>45971</v>
      </c>
      <c r="I141" s="3">
        <v>45971</v>
      </c>
      <c r="J141">
        <f t="shared" si="7"/>
        <v>9139.5483500946357</v>
      </c>
      <c r="M141">
        <f t="shared" si="8"/>
        <v>1.2260109506998436</v>
      </c>
    </row>
    <row r="142" spans="1:13" x14ac:dyDescent="0.2">
      <c r="A142">
        <v>17.540147850249923</v>
      </c>
      <c r="B142">
        <v>-78.369638344229315</v>
      </c>
      <c r="C142">
        <f t="shared" si="6"/>
        <v>49517.238859600649</v>
      </c>
      <c r="D142" s="3">
        <v>45972</v>
      </c>
      <c r="I142" s="3">
        <v>45972</v>
      </c>
      <c r="J142">
        <f t="shared" si="7"/>
        <v>9078.7188596006526</v>
      </c>
      <c r="M142">
        <f t="shared" si="8"/>
        <v>1.2245067044887066</v>
      </c>
    </row>
    <row r="143" spans="1:13" x14ac:dyDescent="0.2">
      <c r="A143">
        <v>-56.999312546035071</v>
      </c>
      <c r="B143">
        <v>102.69194382577552</v>
      </c>
      <c r="C143">
        <f t="shared" si="6"/>
        <v>49562.931490880394</v>
      </c>
      <c r="D143" s="3">
        <v>45973</v>
      </c>
      <c r="I143" s="3">
        <v>45973</v>
      </c>
      <c r="J143">
        <f t="shared" si="7"/>
        <v>9124.4114908803967</v>
      </c>
      <c r="M143">
        <f t="shared" si="8"/>
        <v>1.225636632865901</v>
      </c>
    </row>
    <row r="144" spans="1:13" x14ac:dyDescent="0.2">
      <c r="A144">
        <v>-483.29776599783872</v>
      </c>
      <c r="B144">
        <v>-186.64249047146586</v>
      </c>
      <c r="C144">
        <f t="shared" si="6"/>
        <v>48892.991234411093</v>
      </c>
      <c r="D144" s="3">
        <v>45974</v>
      </c>
      <c r="I144" s="3">
        <v>45974</v>
      </c>
      <c r="J144">
        <f t="shared" si="7"/>
        <v>8454.4712344110958</v>
      </c>
      <c r="M144">
        <f t="shared" si="8"/>
        <v>1.2090697491997999</v>
      </c>
    </row>
    <row r="145" spans="1:13" x14ac:dyDescent="0.2">
      <c r="A145">
        <v>362.4389175682627</v>
      </c>
      <c r="B145">
        <v>82.824056985893549</v>
      </c>
      <c r="C145">
        <f t="shared" si="6"/>
        <v>49338.254208965249</v>
      </c>
      <c r="D145" s="3">
        <v>45975</v>
      </c>
      <c r="I145" s="3">
        <v>45975</v>
      </c>
      <c r="J145">
        <f t="shared" si="7"/>
        <v>8899.734208965252</v>
      </c>
      <c r="M145">
        <f t="shared" si="8"/>
        <v>1.220080611480471</v>
      </c>
    </row>
    <row r="146" spans="1:13" x14ac:dyDescent="0.2">
      <c r="A146">
        <v>115.13923052686368</v>
      </c>
      <c r="B146">
        <v>-74.604278642622376</v>
      </c>
      <c r="C146">
        <f t="shared" si="6"/>
        <v>49378.78916084949</v>
      </c>
      <c r="D146" s="3">
        <v>45978</v>
      </c>
      <c r="I146" s="3">
        <v>45978</v>
      </c>
      <c r="J146">
        <f t="shared" si="7"/>
        <v>8940.2691608494933</v>
      </c>
      <c r="M146">
        <f t="shared" si="8"/>
        <v>1.2210829961346137</v>
      </c>
    </row>
    <row r="147" spans="1:13" x14ac:dyDescent="0.2">
      <c r="A147">
        <v>-612.64206645774902</v>
      </c>
      <c r="B147">
        <v>455.11924605146851</v>
      </c>
      <c r="C147">
        <f t="shared" si="6"/>
        <v>49221.26634044321</v>
      </c>
      <c r="D147" s="3">
        <v>45979</v>
      </c>
      <c r="I147" s="3">
        <v>45979</v>
      </c>
      <c r="J147">
        <f t="shared" si="7"/>
        <v>8782.7463404432128</v>
      </c>
      <c r="M147">
        <f t="shared" si="8"/>
        <v>1.2171876305177147</v>
      </c>
    </row>
    <row r="148" spans="1:13" x14ac:dyDescent="0.2">
      <c r="A148">
        <v>264.84613462924608</v>
      </c>
      <c r="B148">
        <v>162.23624779648162</v>
      </c>
      <c r="C148">
        <f t="shared" si="6"/>
        <v>49648.348722868934</v>
      </c>
      <c r="D148" s="3">
        <v>45980</v>
      </c>
      <c r="I148" s="3">
        <v>45980</v>
      </c>
      <c r="J148">
        <f t="shared" si="7"/>
        <v>9209.8287228689369</v>
      </c>
      <c r="M148">
        <f t="shared" si="8"/>
        <v>1.2277489068064049</v>
      </c>
    </row>
    <row r="149" spans="1:13" x14ac:dyDescent="0.2">
      <c r="A149">
        <v>92.548893583418248</v>
      </c>
      <c r="B149">
        <v>-574.0249263430087</v>
      </c>
      <c r="C149">
        <f t="shared" si="6"/>
        <v>49166.872690109347</v>
      </c>
      <c r="D149" s="3">
        <v>45981</v>
      </c>
      <c r="I149" s="3">
        <v>45981</v>
      </c>
      <c r="J149">
        <f t="shared" si="7"/>
        <v>8728.3526901093501</v>
      </c>
      <c r="M149">
        <f t="shared" si="8"/>
        <v>1.2158425355356564</v>
      </c>
    </row>
    <row r="150" spans="1:13" x14ac:dyDescent="0.2">
      <c r="A150">
        <v>-866.93585448556041</v>
      </c>
      <c r="B150">
        <v>-5.3171624897076981</v>
      </c>
      <c r="C150">
        <f t="shared" si="6"/>
        <v>48294.619673134075</v>
      </c>
      <c r="D150" s="3">
        <v>45982</v>
      </c>
      <c r="I150" s="3">
        <v>45982</v>
      </c>
      <c r="J150">
        <f t="shared" si="7"/>
        <v>7856.0996731340783</v>
      </c>
      <c r="M150">
        <f t="shared" si="8"/>
        <v>1.1942726804327675</v>
      </c>
    </row>
    <row r="153" spans="1:13" x14ac:dyDescent="0.2">
      <c r="A153" t="s">
        <v>714</v>
      </c>
      <c r="B153">
        <f>SUM(A2:A150) + SUM(B2:B150)</f>
        <v>7856.0996731340492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93E1-A8DA-40F5-83CE-9F8D69A4E78B}">
  <dimension ref="A1:B1131"/>
  <sheetViews>
    <sheetView workbookViewId="0">
      <selection sqref="A1:B1"/>
    </sheetView>
  </sheetViews>
  <sheetFormatPr baseColWidth="10" defaultColWidth="8.83203125" defaultRowHeight="15" x14ac:dyDescent="0.2"/>
  <cols>
    <col min="1" max="1" width="13.5" customWidth="1"/>
    <col min="2" max="2" width="23.5" customWidth="1"/>
  </cols>
  <sheetData>
    <row r="1" spans="1:2" x14ac:dyDescent="0.2">
      <c r="A1" s="9" t="s">
        <v>23</v>
      </c>
      <c r="B1" s="9" t="s">
        <v>104</v>
      </c>
    </row>
    <row r="2" spans="1:2" ht="16" x14ac:dyDescent="0.2">
      <c r="A2" s="10" t="s">
        <v>105</v>
      </c>
      <c r="B2" s="1" t="s">
        <v>106</v>
      </c>
    </row>
    <row r="3" spans="1:2" ht="16" x14ac:dyDescent="0.2">
      <c r="A3" s="10" t="s">
        <v>107</v>
      </c>
      <c r="B3" s="14">
        <v>1925.5</v>
      </c>
    </row>
    <row r="4" spans="1:2" ht="16" x14ac:dyDescent="0.2">
      <c r="A4" s="10" t="s">
        <v>108</v>
      </c>
      <c r="B4" s="14">
        <v>3226</v>
      </c>
    </row>
    <row r="5" spans="1:2" ht="16" x14ac:dyDescent="0.2">
      <c r="A5" s="10" t="s">
        <v>109</v>
      </c>
      <c r="B5" s="14">
        <v>2456.5</v>
      </c>
    </row>
    <row r="6" spans="1:2" ht="16" x14ac:dyDescent="0.2">
      <c r="A6" s="10" t="s">
        <v>110</v>
      </c>
      <c r="B6" s="14">
        <v>2186.8000000000002</v>
      </c>
    </row>
    <row r="7" spans="1:2" ht="16" x14ac:dyDescent="0.2">
      <c r="A7" s="10" t="s">
        <v>111</v>
      </c>
      <c r="B7" s="14">
        <v>616</v>
      </c>
    </row>
    <row r="8" spans="1:2" ht="16" x14ac:dyDescent="0.2">
      <c r="A8" s="10" t="s">
        <v>112</v>
      </c>
      <c r="B8" s="14">
        <v>616</v>
      </c>
    </row>
    <row r="9" spans="1:2" ht="16" x14ac:dyDescent="0.2">
      <c r="A9" s="10" t="s">
        <v>113</v>
      </c>
      <c r="B9" s="14">
        <v>616</v>
      </c>
    </row>
    <row r="10" spans="1:2" ht="16" x14ac:dyDescent="0.2">
      <c r="A10" s="10" t="s">
        <v>114</v>
      </c>
      <c r="B10" s="14">
        <v>770</v>
      </c>
    </row>
    <row r="11" spans="1:2" ht="16" x14ac:dyDescent="0.2">
      <c r="A11" s="10" t="s">
        <v>115</v>
      </c>
      <c r="B11" s="14">
        <v>904.8</v>
      </c>
    </row>
    <row r="12" spans="1:2" ht="16" x14ac:dyDescent="0.2">
      <c r="A12" s="10">
        <v>44208</v>
      </c>
      <c r="B12" s="14">
        <v>2060.9</v>
      </c>
    </row>
    <row r="13" spans="1:2" ht="16" x14ac:dyDescent="0.2">
      <c r="A13" s="10">
        <v>44239</v>
      </c>
      <c r="B13" s="14">
        <v>3344.1</v>
      </c>
    </row>
    <row r="14" spans="1:2" ht="16" x14ac:dyDescent="0.2">
      <c r="A14" s="10">
        <v>44267</v>
      </c>
      <c r="B14" s="14">
        <v>5277</v>
      </c>
    </row>
    <row r="15" spans="1:2" ht="16" x14ac:dyDescent="0.2">
      <c r="A15" s="10">
        <v>44298</v>
      </c>
      <c r="B15" s="14">
        <v>5277</v>
      </c>
    </row>
    <row r="16" spans="1:2" ht="16" x14ac:dyDescent="0.2">
      <c r="A16" s="10">
        <v>44328</v>
      </c>
      <c r="B16" s="14">
        <v>5277</v>
      </c>
    </row>
    <row r="17" spans="1:2" ht="16" x14ac:dyDescent="0.2">
      <c r="A17" s="10">
        <v>44359</v>
      </c>
      <c r="B17" s="14">
        <v>5813.7</v>
      </c>
    </row>
    <row r="18" spans="1:2" ht="16" x14ac:dyDescent="0.2">
      <c r="A18" s="10">
        <v>44389</v>
      </c>
      <c r="B18" s="14">
        <v>4684.3</v>
      </c>
    </row>
    <row r="19" spans="1:2" ht="16" x14ac:dyDescent="0.2">
      <c r="A19" s="10">
        <v>44420</v>
      </c>
      <c r="B19" s="14">
        <v>4400.8999999999996</v>
      </c>
    </row>
    <row r="20" spans="1:2" ht="16" x14ac:dyDescent="0.2">
      <c r="A20" s="10">
        <v>44451</v>
      </c>
      <c r="B20" s="14">
        <v>5496.4</v>
      </c>
    </row>
    <row r="21" spans="1:2" ht="16" x14ac:dyDescent="0.2">
      <c r="A21" s="10">
        <v>44481</v>
      </c>
      <c r="B21" s="14">
        <v>6844.2</v>
      </c>
    </row>
    <row r="22" spans="1:2" ht="16" x14ac:dyDescent="0.2">
      <c r="A22" s="10">
        <v>44512</v>
      </c>
      <c r="B22" s="14">
        <v>6844.2</v>
      </c>
    </row>
    <row r="23" spans="1:2" ht="16" x14ac:dyDescent="0.2">
      <c r="A23" s="10">
        <v>44542</v>
      </c>
      <c r="B23" s="14">
        <v>6844.2</v>
      </c>
    </row>
    <row r="24" spans="1:2" ht="16" x14ac:dyDescent="0.2">
      <c r="A24" s="10" t="s">
        <v>116</v>
      </c>
      <c r="B24" s="14">
        <v>6807.1</v>
      </c>
    </row>
    <row r="25" spans="1:2" ht="16" x14ac:dyDescent="0.2">
      <c r="A25" s="10" t="s">
        <v>117</v>
      </c>
      <c r="B25" s="14">
        <v>7446</v>
      </c>
    </row>
    <row r="26" spans="1:2" ht="16" x14ac:dyDescent="0.2">
      <c r="A26" s="10" t="s">
        <v>118</v>
      </c>
      <c r="B26" s="14">
        <v>7620.9</v>
      </c>
    </row>
    <row r="27" spans="1:2" ht="16" x14ac:dyDescent="0.2">
      <c r="A27" s="10" t="s">
        <v>119</v>
      </c>
      <c r="B27" s="14">
        <v>8680.4</v>
      </c>
    </row>
    <row r="28" spans="1:2" ht="16" x14ac:dyDescent="0.2">
      <c r="A28" s="10" t="s">
        <v>120</v>
      </c>
      <c r="B28" s="14">
        <v>7669</v>
      </c>
    </row>
    <row r="29" spans="1:2" ht="16" x14ac:dyDescent="0.2">
      <c r="A29" s="10" t="s">
        <v>121</v>
      </c>
      <c r="B29" s="14">
        <v>7669</v>
      </c>
    </row>
    <row r="30" spans="1:2" ht="16" x14ac:dyDescent="0.2">
      <c r="A30" s="10" t="s">
        <v>122</v>
      </c>
      <c r="B30" s="14">
        <v>7669</v>
      </c>
    </row>
    <row r="31" spans="1:2" ht="16" x14ac:dyDescent="0.2">
      <c r="A31" s="10" t="s">
        <v>123</v>
      </c>
      <c r="B31" s="14">
        <v>7754</v>
      </c>
    </row>
    <row r="32" spans="1:2" ht="16" x14ac:dyDescent="0.2">
      <c r="A32" s="10" t="s">
        <v>124</v>
      </c>
      <c r="B32" s="14">
        <v>7575.1</v>
      </c>
    </row>
    <row r="33" spans="1:2" ht="16" x14ac:dyDescent="0.2">
      <c r="A33" s="10" t="s">
        <v>125</v>
      </c>
      <c r="B33" s="14">
        <v>7382.5</v>
      </c>
    </row>
    <row r="34" spans="1:2" ht="16" x14ac:dyDescent="0.2">
      <c r="A34" s="10" t="s">
        <v>126</v>
      </c>
      <c r="B34" s="14">
        <v>7146.1</v>
      </c>
    </row>
    <row r="35" spans="1:2" ht="16" x14ac:dyDescent="0.2">
      <c r="A35" s="10" t="s">
        <v>127</v>
      </c>
      <c r="B35" s="14">
        <v>7112.5</v>
      </c>
    </row>
    <row r="36" spans="1:2" ht="16" x14ac:dyDescent="0.2">
      <c r="A36" s="10" t="s">
        <v>128</v>
      </c>
      <c r="B36" s="14">
        <v>7112.5</v>
      </c>
    </row>
    <row r="37" spans="1:2" ht="16" x14ac:dyDescent="0.2">
      <c r="A37" s="10" t="s">
        <v>129</v>
      </c>
      <c r="B37" s="14">
        <v>7112.5</v>
      </c>
    </row>
    <row r="38" spans="1:2" ht="16" x14ac:dyDescent="0.2">
      <c r="A38" s="10" t="s">
        <v>130</v>
      </c>
      <c r="B38" s="14">
        <v>7631.4</v>
      </c>
    </row>
    <row r="39" spans="1:2" ht="16" x14ac:dyDescent="0.2">
      <c r="A39" s="10" t="s">
        <v>131</v>
      </c>
      <c r="B39" s="14">
        <v>8039.8</v>
      </c>
    </row>
    <row r="40" spans="1:2" ht="16" x14ac:dyDescent="0.2">
      <c r="A40" s="10" t="s">
        <v>132</v>
      </c>
      <c r="B40" s="14">
        <v>8450.7999999999993</v>
      </c>
    </row>
    <row r="41" spans="1:2" ht="16" x14ac:dyDescent="0.2">
      <c r="A41" s="10" t="s">
        <v>133</v>
      </c>
      <c r="B41" s="14">
        <v>7637.1</v>
      </c>
    </row>
    <row r="42" spans="1:2" ht="16" x14ac:dyDescent="0.2">
      <c r="A42" s="10" t="s">
        <v>134</v>
      </c>
      <c r="B42" s="14">
        <v>7910.6</v>
      </c>
    </row>
    <row r="43" spans="1:2" ht="16" x14ac:dyDescent="0.2">
      <c r="A43" s="10">
        <v>44562</v>
      </c>
      <c r="B43" s="14">
        <v>7910.6</v>
      </c>
    </row>
    <row r="44" spans="1:2" ht="16" x14ac:dyDescent="0.2">
      <c r="A44" s="10">
        <v>44593</v>
      </c>
      <c r="B44" s="14">
        <v>7910.6</v>
      </c>
    </row>
    <row r="45" spans="1:2" ht="16" x14ac:dyDescent="0.2">
      <c r="A45" s="10">
        <v>44621</v>
      </c>
      <c r="B45" s="14">
        <v>7375</v>
      </c>
    </row>
    <row r="46" spans="1:2" ht="16" x14ac:dyDescent="0.2">
      <c r="A46" s="10">
        <v>44652</v>
      </c>
      <c r="B46" s="14">
        <v>10387.5</v>
      </c>
    </row>
    <row r="47" spans="1:2" ht="16" x14ac:dyDescent="0.2">
      <c r="A47" s="10">
        <v>44682</v>
      </c>
      <c r="B47" s="14">
        <v>12155.9</v>
      </c>
    </row>
    <row r="48" spans="1:2" ht="16" x14ac:dyDescent="0.2">
      <c r="A48" s="10">
        <v>44713</v>
      </c>
      <c r="B48" s="14">
        <v>13864.9</v>
      </c>
    </row>
    <row r="49" spans="1:2" ht="16" x14ac:dyDescent="0.2">
      <c r="A49" s="10">
        <v>44743</v>
      </c>
      <c r="B49" s="14">
        <v>14753.3</v>
      </c>
    </row>
    <row r="50" spans="1:2" ht="16" x14ac:dyDescent="0.2">
      <c r="A50" s="10">
        <v>44774</v>
      </c>
      <c r="B50" s="14">
        <v>14753.3</v>
      </c>
    </row>
    <row r="51" spans="1:2" ht="16" x14ac:dyDescent="0.2">
      <c r="A51" s="10">
        <v>44805</v>
      </c>
      <c r="B51" s="14">
        <v>14753.3</v>
      </c>
    </row>
    <row r="52" spans="1:2" ht="16" x14ac:dyDescent="0.2">
      <c r="A52" s="10">
        <v>44835</v>
      </c>
      <c r="B52" s="14">
        <v>16208.1</v>
      </c>
    </row>
    <row r="53" spans="1:2" ht="16" x14ac:dyDescent="0.2">
      <c r="A53" s="10">
        <v>44866</v>
      </c>
      <c r="B53" s="14">
        <v>15575.8</v>
      </c>
    </row>
    <row r="54" spans="1:2" ht="16" x14ac:dyDescent="0.2">
      <c r="A54" s="10">
        <v>44896</v>
      </c>
      <c r="B54" s="14">
        <v>15649.5</v>
      </c>
    </row>
    <row r="55" spans="1:2" ht="16" x14ac:dyDescent="0.2">
      <c r="A55" s="10" t="s">
        <v>135</v>
      </c>
      <c r="B55" s="14">
        <v>17204</v>
      </c>
    </row>
    <row r="56" spans="1:2" ht="16" x14ac:dyDescent="0.2">
      <c r="A56" s="10" t="s">
        <v>136</v>
      </c>
      <c r="B56" s="14">
        <v>17334.599999999999</v>
      </c>
    </row>
    <row r="57" spans="1:2" ht="16" x14ac:dyDescent="0.2">
      <c r="A57" s="10" t="s">
        <v>137</v>
      </c>
      <c r="B57" s="14">
        <v>17334.599999999999</v>
      </c>
    </row>
    <row r="58" spans="1:2" ht="16" x14ac:dyDescent="0.2">
      <c r="A58" s="10" t="s">
        <v>138</v>
      </c>
      <c r="B58" s="14">
        <v>17334.599999999999</v>
      </c>
    </row>
    <row r="59" spans="1:2" ht="16" x14ac:dyDescent="0.2">
      <c r="A59" s="10" t="s">
        <v>139</v>
      </c>
      <c r="B59" s="14">
        <v>17877.099999999999</v>
      </c>
    </row>
    <row r="60" spans="1:2" ht="16" x14ac:dyDescent="0.2">
      <c r="A60" s="10" t="s">
        <v>140</v>
      </c>
      <c r="B60" s="14">
        <v>18158.3</v>
      </c>
    </row>
    <row r="61" spans="1:2" ht="16" x14ac:dyDescent="0.2">
      <c r="A61" s="10" t="s">
        <v>141</v>
      </c>
      <c r="B61" s="14">
        <v>17674.400000000001</v>
      </c>
    </row>
    <row r="62" spans="1:2" ht="16" x14ac:dyDescent="0.2">
      <c r="A62" s="10" t="s">
        <v>142</v>
      </c>
      <c r="B62" s="14">
        <v>16534.900000000001</v>
      </c>
    </row>
    <row r="63" spans="1:2" ht="16" x14ac:dyDescent="0.2">
      <c r="A63" s="10" t="s">
        <v>143</v>
      </c>
      <c r="B63" s="14">
        <v>17722.5</v>
      </c>
    </row>
    <row r="64" spans="1:2" ht="16" x14ac:dyDescent="0.2">
      <c r="A64" s="10" t="s">
        <v>144</v>
      </c>
      <c r="B64" s="14">
        <v>17722.5</v>
      </c>
    </row>
    <row r="65" spans="1:2" ht="16" x14ac:dyDescent="0.2">
      <c r="A65" s="10" t="s">
        <v>145</v>
      </c>
      <c r="B65" s="14">
        <v>17722.5</v>
      </c>
    </row>
    <row r="66" spans="1:2" ht="16" x14ac:dyDescent="0.2">
      <c r="A66" s="10" t="s">
        <v>146</v>
      </c>
      <c r="B66" s="14">
        <v>18731.2</v>
      </c>
    </row>
    <row r="67" spans="1:2" ht="16" x14ac:dyDescent="0.2">
      <c r="A67" s="10" t="s">
        <v>147</v>
      </c>
      <c r="B67" s="14">
        <v>19610</v>
      </c>
    </row>
    <row r="68" spans="1:2" ht="16" x14ac:dyDescent="0.2">
      <c r="A68" s="10" t="s">
        <v>148</v>
      </c>
      <c r="B68" s="14">
        <v>19515.400000000001</v>
      </c>
    </row>
    <row r="69" spans="1:2" ht="16" x14ac:dyDescent="0.2">
      <c r="A69" s="10" t="s">
        <v>149</v>
      </c>
      <c r="B69" s="14">
        <v>19517.5</v>
      </c>
    </row>
    <row r="70" spans="1:2" ht="16" x14ac:dyDescent="0.2">
      <c r="A70" s="10" t="s">
        <v>150</v>
      </c>
      <c r="B70" s="14">
        <v>19624.2</v>
      </c>
    </row>
    <row r="71" spans="1:2" ht="16" x14ac:dyDescent="0.2">
      <c r="A71" s="10" t="s">
        <v>151</v>
      </c>
      <c r="B71" s="14">
        <v>19624.2</v>
      </c>
    </row>
    <row r="72" spans="1:2" ht="16" x14ac:dyDescent="0.2">
      <c r="A72" s="10" t="s">
        <v>152</v>
      </c>
      <c r="B72" s="14">
        <v>19624.2</v>
      </c>
    </row>
    <row r="73" spans="1:2" ht="16" x14ac:dyDescent="0.2">
      <c r="A73" s="10" t="s">
        <v>153</v>
      </c>
      <c r="B73" s="14">
        <v>17901.900000000001</v>
      </c>
    </row>
    <row r="74" spans="1:2" ht="16" x14ac:dyDescent="0.2">
      <c r="A74" s="10">
        <v>44563</v>
      </c>
      <c r="B74" s="14">
        <v>17854.599999999999</v>
      </c>
    </row>
    <row r="75" spans="1:2" ht="16" x14ac:dyDescent="0.2">
      <c r="A75" s="10">
        <v>44594</v>
      </c>
      <c r="B75" s="14">
        <v>19238.7</v>
      </c>
    </row>
    <row r="76" spans="1:2" ht="16" x14ac:dyDescent="0.2">
      <c r="A76" s="10">
        <v>44622</v>
      </c>
      <c r="B76" s="14">
        <v>21107.7</v>
      </c>
    </row>
    <row r="77" spans="1:2" ht="16" x14ac:dyDescent="0.2">
      <c r="A77" s="10">
        <v>44653</v>
      </c>
      <c r="B77" s="14">
        <v>20503.099999999999</v>
      </c>
    </row>
    <row r="78" spans="1:2" ht="16" x14ac:dyDescent="0.2">
      <c r="A78" s="10">
        <v>44683</v>
      </c>
      <c r="B78" s="14">
        <v>20503.099999999999</v>
      </c>
    </row>
    <row r="79" spans="1:2" ht="16" x14ac:dyDescent="0.2">
      <c r="A79" s="10">
        <v>44714</v>
      </c>
      <c r="B79" s="14">
        <v>20503.099999999999</v>
      </c>
    </row>
    <row r="80" spans="1:2" ht="16" x14ac:dyDescent="0.2">
      <c r="A80" s="10">
        <v>44744</v>
      </c>
      <c r="B80" s="14">
        <v>20407</v>
      </c>
    </row>
    <row r="81" spans="1:2" ht="16" x14ac:dyDescent="0.2">
      <c r="A81" s="10">
        <v>44775</v>
      </c>
      <c r="B81" s="14">
        <v>21603.1</v>
      </c>
    </row>
    <row r="82" spans="1:2" ht="16" x14ac:dyDescent="0.2">
      <c r="A82" s="10">
        <v>44806</v>
      </c>
      <c r="B82" s="14">
        <v>20822.2</v>
      </c>
    </row>
    <row r="83" spans="1:2" ht="16" x14ac:dyDescent="0.2">
      <c r="A83" s="10">
        <v>44836</v>
      </c>
      <c r="B83" s="14">
        <v>20839.5</v>
      </c>
    </row>
    <row r="84" spans="1:2" ht="16" x14ac:dyDescent="0.2">
      <c r="A84" s="10">
        <v>44867</v>
      </c>
      <c r="B84" s="14">
        <v>21411.5</v>
      </c>
    </row>
    <row r="85" spans="1:2" ht="16" x14ac:dyDescent="0.2">
      <c r="A85" s="10">
        <v>44897</v>
      </c>
      <c r="B85" s="14">
        <v>21411.5</v>
      </c>
    </row>
    <row r="86" spans="1:2" ht="16" x14ac:dyDescent="0.2">
      <c r="A86" s="10" t="s">
        <v>154</v>
      </c>
      <c r="B86" s="14">
        <v>21411.5</v>
      </c>
    </row>
    <row r="87" spans="1:2" ht="16" x14ac:dyDescent="0.2">
      <c r="A87" s="10" t="s">
        <v>155</v>
      </c>
      <c r="B87" s="14">
        <v>20475.7</v>
      </c>
    </row>
    <row r="88" spans="1:2" ht="16" x14ac:dyDescent="0.2">
      <c r="A88" s="10" t="s">
        <v>156</v>
      </c>
      <c r="B88" s="14">
        <v>20503.5</v>
      </c>
    </row>
    <row r="89" spans="1:2" ht="16" x14ac:dyDescent="0.2">
      <c r="A89" s="10" t="s">
        <v>157</v>
      </c>
      <c r="B89" s="14">
        <v>21015.3</v>
      </c>
    </row>
    <row r="90" spans="1:2" ht="16" x14ac:dyDescent="0.2">
      <c r="A90" s="10" t="s">
        <v>158</v>
      </c>
      <c r="B90" s="14">
        <v>21341.3</v>
      </c>
    </row>
    <row r="91" spans="1:2" ht="16" x14ac:dyDescent="0.2">
      <c r="A91" s="10" t="s">
        <v>159</v>
      </c>
      <c r="B91" s="14">
        <v>22435.1</v>
      </c>
    </row>
    <row r="92" spans="1:2" ht="16" x14ac:dyDescent="0.2">
      <c r="A92" s="10" t="s">
        <v>160</v>
      </c>
      <c r="B92" s="14">
        <v>22435.1</v>
      </c>
    </row>
    <row r="93" spans="1:2" ht="16" x14ac:dyDescent="0.2">
      <c r="A93" s="10" t="s">
        <v>161</v>
      </c>
      <c r="B93" s="14">
        <v>22435.1</v>
      </c>
    </row>
    <row r="94" spans="1:2" ht="16" x14ac:dyDescent="0.2">
      <c r="A94" s="10" t="s">
        <v>162</v>
      </c>
      <c r="B94" s="14">
        <v>22072</v>
      </c>
    </row>
    <row r="95" spans="1:2" ht="16" x14ac:dyDescent="0.2">
      <c r="A95" s="10" t="s">
        <v>163</v>
      </c>
      <c r="B95" s="14">
        <v>21477.7</v>
      </c>
    </row>
    <row r="96" spans="1:2" ht="16" x14ac:dyDescent="0.2">
      <c r="A96" s="10" t="s">
        <v>164</v>
      </c>
      <c r="B96" s="14">
        <v>21999.7</v>
      </c>
    </row>
    <row r="97" spans="1:2" ht="16" x14ac:dyDescent="0.2">
      <c r="A97" s="10" t="s">
        <v>165</v>
      </c>
      <c r="B97" s="14">
        <v>18700.2</v>
      </c>
    </row>
    <row r="98" spans="1:2" ht="16" x14ac:dyDescent="0.2">
      <c r="A98" s="10" t="s">
        <v>166</v>
      </c>
      <c r="B98" s="14">
        <v>20474.5</v>
      </c>
    </row>
    <row r="99" spans="1:2" ht="16" x14ac:dyDescent="0.2">
      <c r="A99" s="10" t="s">
        <v>167</v>
      </c>
      <c r="B99" s="14">
        <v>20474.5</v>
      </c>
    </row>
    <row r="100" spans="1:2" ht="16" x14ac:dyDescent="0.2">
      <c r="A100" s="10" t="s">
        <v>168</v>
      </c>
      <c r="B100" s="14">
        <v>20474.5</v>
      </c>
    </row>
    <row r="101" spans="1:2" ht="16" x14ac:dyDescent="0.2">
      <c r="A101" s="10" t="s">
        <v>169</v>
      </c>
      <c r="B101" s="14">
        <v>18004.099999999999</v>
      </c>
    </row>
    <row r="102" spans="1:2" ht="16" x14ac:dyDescent="0.2">
      <c r="A102" s="10">
        <v>44564</v>
      </c>
      <c r="B102" s="14">
        <v>17664.400000000001</v>
      </c>
    </row>
    <row r="103" spans="1:2" ht="16" x14ac:dyDescent="0.2">
      <c r="A103" s="10">
        <v>44595</v>
      </c>
      <c r="B103" s="14">
        <v>18752.7</v>
      </c>
    </row>
    <row r="104" spans="1:2" ht="16" x14ac:dyDescent="0.2">
      <c r="A104" s="10">
        <v>44623</v>
      </c>
      <c r="B104" s="14">
        <v>19698.2</v>
      </c>
    </row>
    <row r="105" spans="1:2" ht="16" x14ac:dyDescent="0.2">
      <c r="A105" s="10">
        <v>44654</v>
      </c>
      <c r="B105" s="14">
        <v>18861.7</v>
      </c>
    </row>
    <row r="106" spans="1:2" ht="16" x14ac:dyDescent="0.2">
      <c r="A106" s="10">
        <v>44684</v>
      </c>
      <c r="B106" s="14">
        <v>18861.7</v>
      </c>
    </row>
    <row r="107" spans="1:2" ht="16" x14ac:dyDescent="0.2">
      <c r="A107" s="10">
        <v>44715</v>
      </c>
      <c r="B107" s="14">
        <v>18861.7</v>
      </c>
    </row>
    <row r="108" spans="1:2" ht="16" x14ac:dyDescent="0.2">
      <c r="A108" s="10">
        <v>44745</v>
      </c>
      <c r="B108" s="14">
        <v>17718</v>
      </c>
    </row>
    <row r="109" spans="1:2" ht="16" x14ac:dyDescent="0.2">
      <c r="A109" s="10">
        <v>44776</v>
      </c>
      <c r="B109" s="14">
        <v>17766.7</v>
      </c>
    </row>
    <row r="110" spans="1:2" ht="16" x14ac:dyDescent="0.2">
      <c r="A110" s="10">
        <v>44807</v>
      </c>
      <c r="B110" s="14">
        <v>18749.2</v>
      </c>
    </row>
    <row r="111" spans="1:2" ht="16" x14ac:dyDescent="0.2">
      <c r="A111" s="10">
        <v>44837</v>
      </c>
      <c r="B111" s="14">
        <v>19253.599999999999</v>
      </c>
    </row>
    <row r="112" spans="1:2" ht="16" x14ac:dyDescent="0.2">
      <c r="A112" s="10">
        <v>44868</v>
      </c>
      <c r="B112" s="14">
        <v>20388.099999999999</v>
      </c>
    </row>
    <row r="113" spans="1:2" ht="16" x14ac:dyDescent="0.2">
      <c r="A113" s="10">
        <v>44898</v>
      </c>
      <c r="B113" s="14">
        <v>20388.099999999999</v>
      </c>
    </row>
    <row r="114" spans="1:2" ht="16" x14ac:dyDescent="0.2">
      <c r="A114" s="10" t="s">
        <v>170</v>
      </c>
      <c r="B114" s="14">
        <v>20388.099999999999</v>
      </c>
    </row>
    <row r="115" spans="1:2" ht="16" x14ac:dyDescent="0.2">
      <c r="A115" s="10" t="s">
        <v>171</v>
      </c>
      <c r="B115" s="14">
        <v>21869.3</v>
      </c>
    </row>
    <row r="116" spans="1:2" ht="16" x14ac:dyDescent="0.2">
      <c r="A116" s="10" t="s">
        <v>172</v>
      </c>
      <c r="B116" s="14">
        <v>22414.2</v>
      </c>
    </row>
    <row r="117" spans="1:2" ht="16" x14ac:dyDescent="0.2">
      <c r="A117" s="10" t="s">
        <v>173</v>
      </c>
      <c r="B117" s="14">
        <v>21805.5</v>
      </c>
    </row>
    <row r="118" spans="1:2" ht="16" x14ac:dyDescent="0.2">
      <c r="A118" s="10" t="s">
        <v>174</v>
      </c>
      <c r="B118" s="14">
        <v>21214</v>
      </c>
    </row>
    <row r="119" spans="1:2" ht="16" x14ac:dyDescent="0.2">
      <c r="A119" s="10" t="s">
        <v>175</v>
      </c>
      <c r="B119" s="14">
        <v>19916</v>
      </c>
    </row>
    <row r="120" spans="1:2" ht="16" x14ac:dyDescent="0.2">
      <c r="A120" s="10" t="s">
        <v>176</v>
      </c>
      <c r="B120" s="14">
        <v>19916</v>
      </c>
    </row>
    <row r="121" spans="1:2" ht="16" x14ac:dyDescent="0.2">
      <c r="A121" s="10" t="s">
        <v>177</v>
      </c>
      <c r="B121" s="14">
        <v>19916</v>
      </c>
    </row>
    <row r="122" spans="1:2" ht="16" x14ac:dyDescent="0.2">
      <c r="A122" s="10" t="s">
        <v>178</v>
      </c>
      <c r="B122" s="14">
        <v>20777.7</v>
      </c>
    </row>
    <row r="123" spans="1:2" ht="16" x14ac:dyDescent="0.2">
      <c r="A123" s="10" t="s">
        <v>179</v>
      </c>
      <c r="B123" s="14">
        <v>20323.3</v>
      </c>
    </row>
    <row r="124" spans="1:2" ht="16" x14ac:dyDescent="0.2">
      <c r="A124" s="10" t="s">
        <v>180</v>
      </c>
      <c r="B124" s="14">
        <v>20527.7</v>
      </c>
    </row>
    <row r="125" spans="1:2" ht="16" x14ac:dyDescent="0.2">
      <c r="A125" s="10" t="s">
        <v>181</v>
      </c>
      <c r="B125" s="14">
        <v>20151.900000000001</v>
      </c>
    </row>
    <row r="126" spans="1:2" ht="16" x14ac:dyDescent="0.2">
      <c r="A126" s="10" t="s">
        <v>182</v>
      </c>
      <c r="B126" s="14">
        <v>20746.400000000001</v>
      </c>
    </row>
    <row r="127" spans="1:2" ht="16" x14ac:dyDescent="0.2">
      <c r="A127" s="10" t="s">
        <v>183</v>
      </c>
      <c r="B127" s="14">
        <v>20746.400000000001</v>
      </c>
    </row>
    <row r="128" spans="1:2" ht="16" x14ac:dyDescent="0.2">
      <c r="A128" s="10" t="s">
        <v>184</v>
      </c>
      <c r="B128" s="14">
        <v>20746.400000000001</v>
      </c>
    </row>
    <row r="129" spans="1:2" ht="16" x14ac:dyDescent="0.2">
      <c r="A129" s="10" t="s">
        <v>185</v>
      </c>
      <c r="B129" s="14">
        <v>20394.3</v>
      </c>
    </row>
    <row r="130" spans="1:2" ht="16" x14ac:dyDescent="0.2">
      <c r="A130" s="10" t="s">
        <v>186</v>
      </c>
      <c r="B130" s="14">
        <v>20008.5</v>
      </c>
    </row>
    <row r="131" spans="1:2" ht="16" x14ac:dyDescent="0.2">
      <c r="A131" s="10" t="s">
        <v>187</v>
      </c>
      <c r="B131" s="14">
        <v>19561.3</v>
      </c>
    </row>
    <row r="132" spans="1:2" ht="16" x14ac:dyDescent="0.2">
      <c r="A132" s="10" t="s">
        <v>188</v>
      </c>
      <c r="B132" s="14">
        <v>18786.3</v>
      </c>
    </row>
    <row r="133" spans="1:2" ht="16" x14ac:dyDescent="0.2">
      <c r="A133" s="10">
        <v>44565</v>
      </c>
      <c r="B133" s="14">
        <v>17844.7</v>
      </c>
    </row>
    <row r="134" spans="1:2" ht="16" x14ac:dyDescent="0.2">
      <c r="A134" s="10">
        <v>44596</v>
      </c>
      <c r="B134" s="14">
        <v>17844.7</v>
      </c>
    </row>
    <row r="135" spans="1:2" ht="16" x14ac:dyDescent="0.2">
      <c r="A135" s="10">
        <v>44624</v>
      </c>
      <c r="B135" s="14">
        <v>17844.7</v>
      </c>
    </row>
    <row r="136" spans="1:2" ht="16" x14ac:dyDescent="0.2">
      <c r="A136" s="10">
        <v>44655</v>
      </c>
      <c r="B136" s="14">
        <v>17015.900000000001</v>
      </c>
    </row>
    <row r="137" spans="1:2" ht="16" x14ac:dyDescent="0.2">
      <c r="A137" s="10">
        <v>44685</v>
      </c>
      <c r="B137" s="14">
        <v>17030.7</v>
      </c>
    </row>
    <row r="138" spans="1:2" ht="16" x14ac:dyDescent="0.2">
      <c r="A138" s="10">
        <v>44716</v>
      </c>
      <c r="B138" s="14">
        <v>18521.3</v>
      </c>
    </row>
    <row r="139" spans="1:2" ht="16" x14ac:dyDescent="0.2">
      <c r="A139" s="10">
        <v>44746</v>
      </c>
      <c r="B139" s="14">
        <v>18782.599999999999</v>
      </c>
    </row>
    <row r="140" spans="1:2" ht="16" x14ac:dyDescent="0.2">
      <c r="A140" s="10">
        <v>44777</v>
      </c>
      <c r="B140" s="14">
        <v>20237.7</v>
      </c>
    </row>
    <row r="141" spans="1:2" ht="16" x14ac:dyDescent="0.2">
      <c r="A141" s="10">
        <v>44808</v>
      </c>
      <c r="B141" s="14">
        <v>20237.7</v>
      </c>
    </row>
    <row r="142" spans="1:2" ht="16" x14ac:dyDescent="0.2">
      <c r="A142" s="10">
        <v>44838</v>
      </c>
      <c r="B142" s="14">
        <v>20237.7</v>
      </c>
    </row>
    <row r="143" spans="1:2" ht="16" x14ac:dyDescent="0.2">
      <c r="A143" s="10">
        <v>44869</v>
      </c>
      <c r="B143" s="14">
        <v>21326.5</v>
      </c>
    </row>
    <row r="144" spans="1:2" ht="16" x14ac:dyDescent="0.2">
      <c r="A144" s="10">
        <v>44899</v>
      </c>
      <c r="B144" s="14">
        <v>21726.9</v>
      </c>
    </row>
    <row r="145" spans="1:2" ht="16" x14ac:dyDescent="0.2">
      <c r="A145" s="10" t="s">
        <v>189</v>
      </c>
      <c r="B145" s="14">
        <v>22177.8</v>
      </c>
    </row>
    <row r="146" spans="1:2" ht="16" x14ac:dyDescent="0.2">
      <c r="A146" s="10" t="s">
        <v>190</v>
      </c>
      <c r="B146" s="14">
        <v>22805.7</v>
      </c>
    </row>
    <row r="147" spans="1:2" ht="16" x14ac:dyDescent="0.2">
      <c r="A147" s="10" t="s">
        <v>191</v>
      </c>
      <c r="B147" s="14">
        <v>22805.7</v>
      </c>
    </row>
    <row r="148" spans="1:2" ht="16" x14ac:dyDescent="0.2">
      <c r="A148" s="10" t="s">
        <v>192</v>
      </c>
      <c r="B148" s="14">
        <v>22805.7</v>
      </c>
    </row>
    <row r="149" spans="1:2" ht="16" x14ac:dyDescent="0.2">
      <c r="A149" s="10" t="s">
        <v>193</v>
      </c>
      <c r="B149" s="14">
        <v>22805.7</v>
      </c>
    </row>
    <row r="150" spans="1:2" ht="16" x14ac:dyDescent="0.2">
      <c r="A150" s="10" t="s">
        <v>194</v>
      </c>
      <c r="B150" s="14">
        <v>23136.9</v>
      </c>
    </row>
    <row r="151" spans="1:2" ht="16" x14ac:dyDescent="0.2">
      <c r="A151" s="10" t="s">
        <v>195</v>
      </c>
      <c r="B151" s="14">
        <v>22337.4</v>
      </c>
    </row>
    <row r="152" spans="1:2" ht="16" x14ac:dyDescent="0.2">
      <c r="A152" s="10" t="s">
        <v>196</v>
      </c>
      <c r="B152" s="14">
        <v>24135.3</v>
      </c>
    </row>
    <row r="153" spans="1:2" ht="16" x14ac:dyDescent="0.2">
      <c r="A153" s="10" t="s">
        <v>197</v>
      </c>
      <c r="B153" s="14">
        <v>25140.6</v>
      </c>
    </row>
    <row r="154" spans="1:2" ht="16" x14ac:dyDescent="0.2">
      <c r="A154" s="10" t="s">
        <v>198</v>
      </c>
      <c r="B154" s="14">
        <v>24230.9</v>
      </c>
    </row>
    <row r="155" spans="1:2" ht="16" x14ac:dyDescent="0.2">
      <c r="A155" s="10" t="s">
        <v>199</v>
      </c>
      <c r="B155" s="14">
        <v>24230.9</v>
      </c>
    </row>
    <row r="156" spans="1:2" ht="16" x14ac:dyDescent="0.2">
      <c r="A156" s="10" t="s">
        <v>200</v>
      </c>
      <c r="B156" s="14">
        <v>24230.9</v>
      </c>
    </row>
    <row r="157" spans="1:2" ht="16" x14ac:dyDescent="0.2">
      <c r="A157" s="10" t="s">
        <v>201</v>
      </c>
      <c r="B157" s="14">
        <v>23705.7</v>
      </c>
    </row>
    <row r="158" spans="1:2" ht="16" x14ac:dyDescent="0.2">
      <c r="A158" s="10" t="s">
        <v>202</v>
      </c>
      <c r="B158" s="14">
        <v>24967.200000000001</v>
      </c>
    </row>
    <row r="159" spans="1:2" ht="16" x14ac:dyDescent="0.2">
      <c r="A159" s="10" t="s">
        <v>203</v>
      </c>
      <c r="B159" s="14">
        <v>25211.9</v>
      </c>
    </row>
    <row r="160" spans="1:2" ht="16" x14ac:dyDescent="0.2">
      <c r="A160" s="10" t="s">
        <v>204</v>
      </c>
      <c r="B160" s="14">
        <v>24562.1</v>
      </c>
    </row>
    <row r="161" spans="1:2" ht="16" x14ac:dyDescent="0.2">
      <c r="A161" s="10" t="s">
        <v>205</v>
      </c>
      <c r="B161" s="14">
        <v>24580.5</v>
      </c>
    </row>
    <row r="162" spans="1:2" ht="16" x14ac:dyDescent="0.2">
      <c r="A162" s="10">
        <v>44597</v>
      </c>
      <c r="B162" s="14">
        <v>24786.5</v>
      </c>
    </row>
    <row r="163" spans="1:2" ht="16" x14ac:dyDescent="0.2">
      <c r="A163" s="10">
        <v>44625</v>
      </c>
      <c r="B163" s="14">
        <v>25238.7</v>
      </c>
    </row>
    <row r="164" spans="1:2" ht="16" x14ac:dyDescent="0.2">
      <c r="A164" s="10">
        <v>44656</v>
      </c>
      <c r="B164" s="14">
        <v>25365.7</v>
      </c>
    </row>
    <row r="165" spans="1:2" ht="16" x14ac:dyDescent="0.2">
      <c r="A165" s="10">
        <v>44686</v>
      </c>
      <c r="B165" s="14">
        <v>26254.2</v>
      </c>
    </row>
    <row r="166" spans="1:2" ht="16" x14ac:dyDescent="0.2">
      <c r="A166" s="10">
        <v>44717</v>
      </c>
      <c r="B166" s="14">
        <v>27086.400000000001</v>
      </c>
    </row>
    <row r="167" spans="1:2" ht="16" x14ac:dyDescent="0.2">
      <c r="A167" s="10">
        <v>44809</v>
      </c>
      <c r="B167" s="14">
        <v>27997.200000000001</v>
      </c>
    </row>
    <row r="168" spans="1:2" ht="16" x14ac:dyDescent="0.2">
      <c r="A168" s="10">
        <v>44839</v>
      </c>
      <c r="B168" s="14">
        <v>27843.200000000001</v>
      </c>
    </row>
    <row r="169" spans="1:2" ht="16" x14ac:dyDescent="0.2">
      <c r="A169" s="10">
        <v>44870</v>
      </c>
      <c r="B169" s="14">
        <v>28172.400000000001</v>
      </c>
    </row>
    <row r="170" spans="1:2" ht="16" x14ac:dyDescent="0.2">
      <c r="A170" s="10">
        <v>44900</v>
      </c>
      <c r="B170" s="14">
        <v>27968.2</v>
      </c>
    </row>
    <row r="171" spans="1:2" ht="16" x14ac:dyDescent="0.2">
      <c r="A171" s="10" t="s">
        <v>206</v>
      </c>
      <c r="B171" s="14">
        <v>27097.3</v>
      </c>
    </row>
    <row r="172" spans="1:2" ht="16" x14ac:dyDescent="0.2">
      <c r="A172" s="10" t="s">
        <v>207</v>
      </c>
      <c r="B172" s="14">
        <v>27956.400000000001</v>
      </c>
    </row>
    <row r="173" spans="1:2" ht="16" x14ac:dyDescent="0.2">
      <c r="A173" s="10" t="s">
        <v>208</v>
      </c>
      <c r="B173" s="14">
        <v>28102.7</v>
      </c>
    </row>
    <row r="174" spans="1:2" ht="16" x14ac:dyDescent="0.2">
      <c r="A174" s="10" t="s">
        <v>209</v>
      </c>
      <c r="B174" s="14">
        <v>28476.6</v>
      </c>
    </row>
    <row r="175" spans="1:2" ht="16" x14ac:dyDescent="0.2">
      <c r="A175" s="10" t="s">
        <v>210</v>
      </c>
      <c r="B175" s="14">
        <v>27476.6</v>
      </c>
    </row>
    <row r="176" spans="1:2" ht="16" x14ac:dyDescent="0.2">
      <c r="A176" s="10" t="s">
        <v>211</v>
      </c>
      <c r="B176" s="14">
        <v>27245.3</v>
      </c>
    </row>
    <row r="177" spans="1:2" ht="16" x14ac:dyDescent="0.2">
      <c r="A177" s="10" t="s">
        <v>212</v>
      </c>
      <c r="B177" s="14">
        <v>27442.3</v>
      </c>
    </row>
    <row r="178" spans="1:2" ht="16" x14ac:dyDescent="0.2">
      <c r="A178" s="10" t="s">
        <v>213</v>
      </c>
      <c r="B178" s="14">
        <v>28235.3</v>
      </c>
    </row>
    <row r="179" spans="1:2" ht="16" x14ac:dyDescent="0.2">
      <c r="A179" s="10" t="s">
        <v>214</v>
      </c>
      <c r="B179" s="14">
        <v>28399.7</v>
      </c>
    </row>
    <row r="180" spans="1:2" ht="16" x14ac:dyDescent="0.2">
      <c r="A180" s="10" t="s">
        <v>215</v>
      </c>
      <c r="B180" s="14">
        <v>27949.200000000001</v>
      </c>
    </row>
    <row r="181" spans="1:2" ht="16" x14ac:dyDescent="0.2">
      <c r="A181" s="10" t="s">
        <v>216</v>
      </c>
      <c r="B181" s="14">
        <v>27138.400000000001</v>
      </c>
    </row>
    <row r="182" spans="1:2" ht="16" x14ac:dyDescent="0.2">
      <c r="A182" s="10" t="s">
        <v>217</v>
      </c>
      <c r="B182" s="14">
        <v>26783</v>
      </c>
    </row>
    <row r="183" spans="1:2" ht="16" x14ac:dyDescent="0.2">
      <c r="A183" s="10" t="s">
        <v>218</v>
      </c>
      <c r="B183" s="14">
        <v>26796.1</v>
      </c>
    </row>
    <row r="184" spans="1:2" ht="16" x14ac:dyDescent="0.2">
      <c r="A184" s="10">
        <v>44567</v>
      </c>
      <c r="B184" s="14">
        <v>27333.8</v>
      </c>
    </row>
    <row r="185" spans="1:2" ht="16" x14ac:dyDescent="0.2">
      <c r="A185" s="10">
        <v>44598</v>
      </c>
      <c r="B185" s="14">
        <v>26334.3</v>
      </c>
    </row>
    <row r="186" spans="1:2" ht="16" x14ac:dyDescent="0.2">
      <c r="A186" s="10">
        <v>44626</v>
      </c>
      <c r="B186" s="14">
        <v>26988.2</v>
      </c>
    </row>
    <row r="187" spans="1:2" ht="16" x14ac:dyDescent="0.2">
      <c r="A187" s="10">
        <v>44718</v>
      </c>
      <c r="B187" s="14">
        <v>26761.1</v>
      </c>
    </row>
    <row r="188" spans="1:2" ht="16" x14ac:dyDescent="0.2">
      <c r="A188" s="10">
        <v>44748</v>
      </c>
      <c r="B188" s="14">
        <v>26962.3</v>
      </c>
    </row>
    <row r="189" spans="1:2" ht="16" x14ac:dyDescent="0.2">
      <c r="A189" s="10">
        <v>44779</v>
      </c>
      <c r="B189" s="14">
        <v>26563.9</v>
      </c>
    </row>
    <row r="190" spans="1:2" ht="16" x14ac:dyDescent="0.2">
      <c r="A190" s="10">
        <v>44810</v>
      </c>
      <c r="B190" s="14">
        <v>27013.3</v>
      </c>
    </row>
    <row r="191" spans="1:2" ht="16" x14ac:dyDescent="0.2">
      <c r="A191" s="10">
        <v>44840</v>
      </c>
      <c r="B191" s="14">
        <v>27297.4</v>
      </c>
    </row>
    <row r="192" spans="1:2" ht="16" x14ac:dyDescent="0.2">
      <c r="A192" s="10" t="s">
        <v>219</v>
      </c>
      <c r="B192" s="14">
        <v>28166.7</v>
      </c>
    </row>
    <row r="193" spans="1:2" ht="16" x14ac:dyDescent="0.2">
      <c r="A193" s="10" t="s">
        <v>220</v>
      </c>
      <c r="B193" s="14">
        <v>28780.5</v>
      </c>
    </row>
    <row r="194" spans="1:2" ht="16" x14ac:dyDescent="0.2">
      <c r="A194" s="10" t="s">
        <v>221</v>
      </c>
      <c r="B194" s="14">
        <v>28082.7</v>
      </c>
    </row>
    <row r="195" spans="1:2" ht="16" x14ac:dyDescent="0.2">
      <c r="A195" s="10" t="s">
        <v>222</v>
      </c>
      <c r="B195" s="14">
        <v>28224.2</v>
      </c>
    </row>
    <row r="196" spans="1:2" ht="16" x14ac:dyDescent="0.2">
      <c r="A196" s="10" t="s">
        <v>223</v>
      </c>
      <c r="B196" s="14">
        <v>27165.7</v>
      </c>
    </row>
    <row r="197" spans="1:2" ht="16" x14ac:dyDescent="0.2">
      <c r="A197" s="10" t="s">
        <v>224</v>
      </c>
      <c r="B197" s="14">
        <v>27150.400000000001</v>
      </c>
    </row>
    <row r="198" spans="1:2" ht="16" x14ac:dyDescent="0.2">
      <c r="A198" s="10" t="s">
        <v>225</v>
      </c>
      <c r="B198" s="14">
        <v>27205.8</v>
      </c>
    </row>
    <row r="199" spans="1:2" ht="16" x14ac:dyDescent="0.2">
      <c r="A199" s="10" t="s">
        <v>226</v>
      </c>
      <c r="B199" s="14">
        <v>26496.5</v>
      </c>
    </row>
    <row r="200" spans="1:2" ht="16" x14ac:dyDescent="0.2">
      <c r="A200" s="10" t="s">
        <v>227</v>
      </c>
      <c r="B200" s="14">
        <v>25881.599999999999</v>
      </c>
    </row>
    <row r="201" spans="1:2" ht="16" x14ac:dyDescent="0.2">
      <c r="A201" s="10" t="s">
        <v>228</v>
      </c>
      <c r="B201" s="14">
        <v>25632.400000000001</v>
      </c>
    </row>
    <row r="202" spans="1:2" ht="16" x14ac:dyDescent="0.2">
      <c r="A202" s="10" t="s">
        <v>229</v>
      </c>
      <c r="B202" s="14">
        <v>26167</v>
      </c>
    </row>
    <row r="203" spans="1:2" ht="16" x14ac:dyDescent="0.2">
      <c r="A203" s="10" t="s">
        <v>230</v>
      </c>
      <c r="B203" s="14">
        <v>27076.5</v>
      </c>
    </row>
    <row r="204" spans="1:2" ht="16" x14ac:dyDescent="0.2">
      <c r="A204" s="10" t="s">
        <v>231</v>
      </c>
      <c r="B204" s="14">
        <v>27214.5</v>
      </c>
    </row>
    <row r="205" spans="1:2" ht="16" x14ac:dyDescent="0.2">
      <c r="A205" s="10" t="s">
        <v>232</v>
      </c>
      <c r="B205" s="14">
        <v>27451.5</v>
      </c>
    </row>
    <row r="206" spans="1:2" ht="16" x14ac:dyDescent="0.2">
      <c r="A206" s="10">
        <v>44568</v>
      </c>
      <c r="B206" s="14">
        <v>26738.400000000001</v>
      </c>
    </row>
    <row r="207" spans="1:2" ht="16" x14ac:dyDescent="0.2">
      <c r="A207" s="10">
        <v>44658</v>
      </c>
      <c r="B207" s="14">
        <v>27032.799999999999</v>
      </c>
    </row>
    <row r="208" spans="1:2" ht="16" x14ac:dyDescent="0.2">
      <c r="A208" s="10">
        <v>44688</v>
      </c>
      <c r="B208" s="14">
        <v>25967.3</v>
      </c>
    </row>
    <row r="209" spans="1:2" ht="16" x14ac:dyDescent="0.2">
      <c r="A209" s="10">
        <v>44719</v>
      </c>
      <c r="B209" s="14">
        <v>25574.1</v>
      </c>
    </row>
    <row r="210" spans="1:2" ht="16" x14ac:dyDescent="0.2">
      <c r="A210" s="10">
        <v>44749</v>
      </c>
      <c r="B210" s="14">
        <v>25504.799999999999</v>
      </c>
    </row>
    <row r="211" spans="1:2" ht="16" x14ac:dyDescent="0.2">
      <c r="A211" s="10">
        <v>44780</v>
      </c>
      <c r="B211" s="14">
        <v>25595.7</v>
      </c>
    </row>
    <row r="212" spans="1:2" ht="16" x14ac:dyDescent="0.2">
      <c r="A212" s="10">
        <v>44872</v>
      </c>
      <c r="B212" s="14">
        <v>26425.200000000001</v>
      </c>
    </row>
    <row r="213" spans="1:2" ht="16" x14ac:dyDescent="0.2">
      <c r="A213" s="10">
        <v>44902</v>
      </c>
      <c r="B213" s="14">
        <v>26605</v>
      </c>
    </row>
    <row r="214" spans="1:2" ht="16" x14ac:dyDescent="0.2">
      <c r="A214" s="10" t="s">
        <v>233</v>
      </c>
      <c r="B214" s="14">
        <v>26788</v>
      </c>
    </row>
    <row r="215" spans="1:2" ht="16" x14ac:dyDescent="0.2">
      <c r="A215" s="10" t="s">
        <v>234</v>
      </c>
      <c r="B215" s="14">
        <v>26454.2</v>
      </c>
    </row>
    <row r="216" spans="1:2" ht="16" x14ac:dyDescent="0.2">
      <c r="A216" s="10" t="s">
        <v>235</v>
      </c>
      <c r="B216" s="14">
        <v>26298.3</v>
      </c>
    </row>
    <row r="217" spans="1:2" ht="16" x14ac:dyDescent="0.2">
      <c r="A217" s="10" t="s">
        <v>236</v>
      </c>
      <c r="B217" s="14">
        <v>26073.5</v>
      </c>
    </row>
    <row r="218" spans="1:2" ht="16" x14ac:dyDescent="0.2">
      <c r="A218" s="10" t="s">
        <v>237</v>
      </c>
      <c r="B218" s="14">
        <v>25872</v>
      </c>
    </row>
    <row r="219" spans="1:2" ht="16" x14ac:dyDescent="0.2">
      <c r="A219" s="10" t="s">
        <v>238</v>
      </c>
      <c r="B219" s="14">
        <v>25104.3</v>
      </c>
    </row>
    <row r="220" spans="1:2" ht="16" x14ac:dyDescent="0.2">
      <c r="A220" s="10" t="s">
        <v>239</v>
      </c>
      <c r="B220" s="14">
        <v>24439.1</v>
      </c>
    </row>
    <row r="221" spans="1:2" ht="16" x14ac:dyDescent="0.2">
      <c r="A221" s="10" t="s">
        <v>240</v>
      </c>
      <c r="B221" s="14">
        <v>24364.1</v>
      </c>
    </row>
    <row r="222" spans="1:2" ht="16" x14ac:dyDescent="0.2">
      <c r="A222" s="10" t="s">
        <v>241</v>
      </c>
      <c r="B222" s="14">
        <v>25076.3</v>
      </c>
    </row>
    <row r="223" spans="1:2" ht="16" x14ac:dyDescent="0.2">
      <c r="A223" s="10" t="s">
        <v>242</v>
      </c>
      <c r="B223" s="14">
        <v>25584.7</v>
      </c>
    </row>
    <row r="224" spans="1:2" ht="16" x14ac:dyDescent="0.2">
      <c r="A224" s="10" t="s">
        <v>243</v>
      </c>
      <c r="B224" s="14">
        <v>24743.4</v>
      </c>
    </row>
    <row r="225" spans="1:2" ht="16" x14ac:dyDescent="0.2">
      <c r="A225" s="10" t="s">
        <v>244</v>
      </c>
      <c r="B225" s="14">
        <v>23970.2</v>
      </c>
    </row>
    <row r="226" spans="1:2" ht="16" x14ac:dyDescent="0.2">
      <c r="A226" s="10" t="s">
        <v>245</v>
      </c>
      <c r="B226" s="14">
        <v>23608.400000000001</v>
      </c>
    </row>
    <row r="227" spans="1:2" ht="16" x14ac:dyDescent="0.2">
      <c r="A227" s="10">
        <v>44569</v>
      </c>
      <c r="B227" s="14">
        <v>23415.3</v>
      </c>
    </row>
    <row r="228" spans="1:2" ht="16" x14ac:dyDescent="0.2">
      <c r="A228" s="10">
        <v>44600</v>
      </c>
      <c r="B228" s="14">
        <v>23320.2</v>
      </c>
    </row>
    <row r="229" spans="1:2" ht="16" x14ac:dyDescent="0.2">
      <c r="A229" s="10">
        <v>44628</v>
      </c>
      <c r="B229" s="14">
        <v>22466.7</v>
      </c>
    </row>
    <row r="230" spans="1:2" ht="16" x14ac:dyDescent="0.2">
      <c r="A230" s="10">
        <v>44659</v>
      </c>
      <c r="B230" s="14">
        <v>22033.8</v>
      </c>
    </row>
    <row r="231" spans="1:2" ht="16" x14ac:dyDescent="0.2">
      <c r="A231" s="10">
        <v>44689</v>
      </c>
      <c r="B231" s="14">
        <v>22774</v>
      </c>
    </row>
    <row r="232" spans="1:2" ht="16" x14ac:dyDescent="0.2">
      <c r="A232" s="10">
        <v>44781</v>
      </c>
      <c r="B232" s="14">
        <v>22894.9</v>
      </c>
    </row>
    <row r="233" spans="1:2" ht="16" x14ac:dyDescent="0.2">
      <c r="A233" s="10">
        <v>44812</v>
      </c>
      <c r="B233" s="14">
        <v>23542.1</v>
      </c>
    </row>
    <row r="234" spans="1:2" ht="16" x14ac:dyDescent="0.2">
      <c r="A234" s="10">
        <v>44842</v>
      </c>
      <c r="B234" s="14">
        <v>22879.3</v>
      </c>
    </row>
    <row r="235" spans="1:2" ht="16" x14ac:dyDescent="0.2">
      <c r="A235" s="10">
        <v>44873</v>
      </c>
      <c r="B235" s="14">
        <v>23356</v>
      </c>
    </row>
    <row r="236" spans="1:2" ht="16" x14ac:dyDescent="0.2">
      <c r="A236" s="10">
        <v>44903</v>
      </c>
      <c r="B236" s="14">
        <v>23391.8</v>
      </c>
    </row>
    <row r="237" spans="1:2" ht="16" x14ac:dyDescent="0.2">
      <c r="A237" s="10" t="s">
        <v>246</v>
      </c>
      <c r="B237" s="14">
        <v>22940.7</v>
      </c>
    </row>
    <row r="238" spans="1:2" ht="16" x14ac:dyDescent="0.2">
      <c r="A238" s="10" t="s">
        <v>247</v>
      </c>
      <c r="B238" s="14">
        <v>23520.3</v>
      </c>
    </row>
    <row r="239" spans="1:2" ht="16" x14ac:dyDescent="0.2">
      <c r="A239" s="10" t="s">
        <v>248</v>
      </c>
      <c r="B239" s="14">
        <v>23672.7</v>
      </c>
    </row>
    <row r="240" spans="1:2" ht="16" x14ac:dyDescent="0.2">
      <c r="A240" s="10" t="s">
        <v>249</v>
      </c>
      <c r="B240" s="14">
        <v>24237.8</v>
      </c>
    </row>
    <row r="241" spans="1:2" ht="16" x14ac:dyDescent="0.2">
      <c r="A241" s="10" t="s">
        <v>250</v>
      </c>
      <c r="B241" s="14">
        <v>24922</v>
      </c>
    </row>
    <row r="242" spans="1:2" ht="16" x14ac:dyDescent="0.2">
      <c r="A242" s="10" t="s">
        <v>251</v>
      </c>
      <c r="B242" s="14">
        <v>25241.200000000001</v>
      </c>
    </row>
    <row r="243" spans="1:2" ht="16" x14ac:dyDescent="0.2">
      <c r="A243" s="10" t="s">
        <v>252</v>
      </c>
      <c r="B243" s="14">
        <v>25638.3</v>
      </c>
    </row>
    <row r="244" spans="1:2" ht="16" x14ac:dyDescent="0.2">
      <c r="A244" s="10" t="s">
        <v>253</v>
      </c>
      <c r="B244" s="14">
        <v>25146.5</v>
      </c>
    </row>
    <row r="245" spans="1:2" ht="16" x14ac:dyDescent="0.2">
      <c r="A245" s="10" t="s">
        <v>254</v>
      </c>
      <c r="B245" s="14">
        <v>25243.599999999999</v>
      </c>
    </row>
    <row r="246" spans="1:2" ht="16" x14ac:dyDescent="0.2">
      <c r="A246" s="10" t="s">
        <v>255</v>
      </c>
      <c r="B246" s="14">
        <v>25735.8</v>
      </c>
    </row>
    <row r="247" spans="1:2" ht="16" x14ac:dyDescent="0.2">
      <c r="A247" s="10" t="s">
        <v>256</v>
      </c>
      <c r="B247" s="14">
        <v>25992.3</v>
      </c>
    </row>
    <row r="248" spans="1:2" ht="16" x14ac:dyDescent="0.2">
      <c r="A248" s="10" t="s">
        <v>257</v>
      </c>
      <c r="B248" s="14">
        <v>25823.9</v>
      </c>
    </row>
    <row r="249" spans="1:2" ht="16" x14ac:dyDescent="0.2">
      <c r="A249" s="10" t="s">
        <v>258</v>
      </c>
      <c r="B249" s="14">
        <v>25778</v>
      </c>
    </row>
    <row r="250" spans="1:2" ht="16" x14ac:dyDescent="0.2">
      <c r="A250" s="10">
        <v>44570</v>
      </c>
      <c r="B250" s="14">
        <v>26117.9</v>
      </c>
    </row>
    <row r="251" spans="1:2" ht="16" x14ac:dyDescent="0.2">
      <c r="A251" s="10">
        <v>44601</v>
      </c>
      <c r="B251" s="14">
        <v>26225.9</v>
      </c>
    </row>
    <row r="252" spans="1:2" ht="16" x14ac:dyDescent="0.2">
      <c r="A252" s="10">
        <v>44690</v>
      </c>
      <c r="B252" s="14">
        <v>26196.400000000001</v>
      </c>
    </row>
    <row r="253" spans="1:2" ht="16" x14ac:dyDescent="0.2">
      <c r="A253" s="10">
        <v>44721</v>
      </c>
      <c r="B253" s="14">
        <v>26075.3</v>
      </c>
    </row>
    <row r="254" spans="1:2" ht="16" x14ac:dyDescent="0.2">
      <c r="A254" s="10">
        <v>44751</v>
      </c>
      <c r="B254" s="14">
        <v>25508.1</v>
      </c>
    </row>
    <row r="255" spans="1:2" ht="16" x14ac:dyDescent="0.2">
      <c r="A255" s="10">
        <v>44782</v>
      </c>
      <c r="B255" s="14">
        <v>25307.599999999999</v>
      </c>
    </row>
    <row r="256" spans="1:2" ht="16" x14ac:dyDescent="0.2">
      <c r="A256" s="10">
        <v>44813</v>
      </c>
      <c r="B256" s="14">
        <v>25217.599999999999</v>
      </c>
    </row>
    <row r="257" spans="1:2" ht="16" x14ac:dyDescent="0.2">
      <c r="A257" s="10">
        <v>44904</v>
      </c>
      <c r="B257" s="14">
        <v>25390.7</v>
      </c>
    </row>
    <row r="258" spans="1:2" ht="16" x14ac:dyDescent="0.2">
      <c r="A258" s="10" t="s">
        <v>259</v>
      </c>
      <c r="B258" s="14">
        <v>26101.200000000001</v>
      </c>
    </row>
    <row r="259" spans="1:2" ht="16" x14ac:dyDescent="0.2">
      <c r="A259" s="10" t="s">
        <v>260</v>
      </c>
      <c r="B259" s="14">
        <v>25755.599999999999</v>
      </c>
    </row>
    <row r="260" spans="1:2" ht="16" x14ac:dyDescent="0.2">
      <c r="A260" s="10" t="s">
        <v>261</v>
      </c>
      <c r="B260" s="14">
        <v>25902.799999999999</v>
      </c>
    </row>
    <row r="261" spans="1:2" ht="16" x14ac:dyDescent="0.2">
      <c r="A261" s="10" t="s">
        <v>262</v>
      </c>
      <c r="B261" s="14">
        <v>25999.9</v>
      </c>
    </row>
    <row r="262" spans="1:2" ht="16" x14ac:dyDescent="0.2">
      <c r="A262" s="10" t="s">
        <v>263</v>
      </c>
      <c r="B262" s="14">
        <v>26378.9</v>
      </c>
    </row>
    <row r="263" spans="1:2" ht="16" x14ac:dyDescent="0.2">
      <c r="A263" s="10" t="s">
        <v>264</v>
      </c>
      <c r="B263" s="14">
        <v>26402.5</v>
      </c>
    </row>
    <row r="264" spans="1:2" ht="16" x14ac:dyDescent="0.2">
      <c r="A264" s="10" t="s">
        <v>265</v>
      </c>
      <c r="B264" s="14">
        <v>26405.4</v>
      </c>
    </row>
    <row r="265" spans="1:2" ht="16" x14ac:dyDescent="0.2">
      <c r="A265" s="10" t="s">
        <v>266</v>
      </c>
      <c r="B265" s="14">
        <v>27397.7</v>
      </c>
    </row>
    <row r="266" spans="1:2" ht="16" x14ac:dyDescent="0.2">
      <c r="A266" s="10" t="s">
        <v>267</v>
      </c>
      <c r="B266" s="14">
        <v>27210.7</v>
      </c>
    </row>
    <row r="267" spans="1:2" ht="16" x14ac:dyDescent="0.2">
      <c r="A267" s="10" t="s">
        <v>268</v>
      </c>
      <c r="B267" s="14">
        <v>26828.2</v>
      </c>
    </row>
    <row r="268" spans="1:2" ht="16" x14ac:dyDescent="0.2">
      <c r="A268" s="10" t="s">
        <v>269</v>
      </c>
      <c r="B268" s="14">
        <v>26331.9</v>
      </c>
    </row>
    <row r="269" spans="1:2" ht="16" x14ac:dyDescent="0.2">
      <c r="A269" s="10" t="s">
        <v>270</v>
      </c>
      <c r="B269" s="14">
        <v>26065</v>
      </c>
    </row>
    <row r="270" spans="1:2" ht="16" x14ac:dyDescent="0.2">
      <c r="A270" s="10" t="s">
        <v>271</v>
      </c>
      <c r="B270" s="14">
        <v>26551</v>
      </c>
    </row>
    <row r="271" spans="1:2" ht="16" x14ac:dyDescent="0.2">
      <c r="A271" s="10" t="s">
        <v>272</v>
      </c>
      <c r="B271" s="14">
        <v>26660</v>
      </c>
    </row>
    <row r="272" spans="1:2" ht="16" x14ac:dyDescent="0.2">
      <c r="A272" s="10">
        <v>44630</v>
      </c>
      <c r="B272" s="14">
        <v>27096.3</v>
      </c>
    </row>
    <row r="273" spans="1:2" ht="16" x14ac:dyDescent="0.2">
      <c r="A273" s="10">
        <v>44661</v>
      </c>
      <c r="B273" s="14">
        <v>26817.3</v>
      </c>
    </row>
    <row r="274" spans="1:2" ht="16" x14ac:dyDescent="0.2">
      <c r="A274" s="10">
        <v>44691</v>
      </c>
      <c r="B274" s="14">
        <v>27140</v>
      </c>
    </row>
    <row r="275" spans="1:2" ht="16" x14ac:dyDescent="0.2">
      <c r="A275" s="10">
        <v>44722</v>
      </c>
      <c r="B275" s="14">
        <v>27064.3</v>
      </c>
    </row>
    <row r="276" spans="1:2" ht="16" x14ac:dyDescent="0.2">
      <c r="A276" s="10">
        <v>44752</v>
      </c>
      <c r="B276" s="14">
        <v>27470.799999999999</v>
      </c>
    </row>
    <row r="277" spans="1:2" ht="16" x14ac:dyDescent="0.2">
      <c r="A277" s="10">
        <v>44844</v>
      </c>
      <c r="B277" s="14">
        <v>27883.1</v>
      </c>
    </row>
    <row r="278" spans="1:2" ht="16" x14ac:dyDescent="0.2">
      <c r="A278" s="10">
        <v>44875</v>
      </c>
      <c r="B278" s="14">
        <v>28184.2</v>
      </c>
    </row>
    <row r="279" spans="1:2" ht="16" x14ac:dyDescent="0.2">
      <c r="A279" s="10">
        <v>44905</v>
      </c>
      <c r="B279" s="14">
        <v>28008.3</v>
      </c>
    </row>
    <row r="280" spans="1:2" ht="16" x14ac:dyDescent="0.2">
      <c r="A280" s="10" t="s">
        <v>273</v>
      </c>
      <c r="B280" s="14">
        <v>28383.599999999999</v>
      </c>
    </row>
    <row r="281" spans="1:2" ht="16" x14ac:dyDescent="0.2">
      <c r="A281" s="10" t="s">
        <v>274</v>
      </c>
      <c r="B281" s="14">
        <v>28269</v>
      </c>
    </row>
    <row r="282" spans="1:2" ht="16" x14ac:dyDescent="0.2">
      <c r="A282" s="10" t="s">
        <v>275</v>
      </c>
      <c r="B282" s="14">
        <v>27932.9</v>
      </c>
    </row>
    <row r="283" spans="1:2" ht="16" x14ac:dyDescent="0.2">
      <c r="A283" s="10" t="s">
        <v>276</v>
      </c>
      <c r="B283" s="14">
        <v>27733.3</v>
      </c>
    </row>
    <row r="284" spans="1:2" ht="16" x14ac:dyDescent="0.2">
      <c r="A284" s="10" t="s">
        <v>277</v>
      </c>
      <c r="B284" s="14">
        <v>27991.7</v>
      </c>
    </row>
    <row r="285" spans="1:2" ht="16" x14ac:dyDescent="0.2">
      <c r="A285" s="10" t="s">
        <v>278</v>
      </c>
      <c r="B285" s="14">
        <v>27687.3</v>
      </c>
    </row>
    <row r="286" spans="1:2" ht="16" x14ac:dyDescent="0.2">
      <c r="A286" s="10" t="s">
        <v>279</v>
      </c>
      <c r="B286" s="14">
        <v>27801.9</v>
      </c>
    </row>
    <row r="287" spans="1:2" ht="16" x14ac:dyDescent="0.2">
      <c r="A287" s="10" t="s">
        <v>280</v>
      </c>
      <c r="B287" s="14">
        <v>28237.200000000001</v>
      </c>
    </row>
    <row r="288" spans="1:2" ht="16" x14ac:dyDescent="0.2">
      <c r="A288" s="10" t="s">
        <v>281</v>
      </c>
      <c r="B288" s="14">
        <v>27390.6</v>
      </c>
    </row>
    <row r="289" spans="1:2" ht="16" x14ac:dyDescent="0.2">
      <c r="A289" s="10" t="s">
        <v>282</v>
      </c>
      <c r="B289" s="14">
        <v>27548.6</v>
      </c>
    </row>
    <row r="290" spans="1:2" ht="16" x14ac:dyDescent="0.2">
      <c r="A290" s="10" t="s">
        <v>283</v>
      </c>
      <c r="B290" s="14">
        <v>27522.2</v>
      </c>
    </row>
    <row r="291" spans="1:2" ht="16" x14ac:dyDescent="0.2">
      <c r="A291" s="10" t="s">
        <v>284</v>
      </c>
      <c r="B291" s="14">
        <v>27708.1</v>
      </c>
    </row>
    <row r="292" spans="1:2" ht="16" x14ac:dyDescent="0.2">
      <c r="A292" s="10" t="s">
        <v>285</v>
      </c>
      <c r="B292" s="14">
        <v>27668.3</v>
      </c>
    </row>
    <row r="293" spans="1:2" ht="16" x14ac:dyDescent="0.2">
      <c r="A293" s="10">
        <v>44572</v>
      </c>
      <c r="B293" s="14">
        <v>27250.6</v>
      </c>
    </row>
    <row r="294" spans="1:2" ht="16" x14ac:dyDescent="0.2">
      <c r="A294" s="10">
        <v>44603</v>
      </c>
      <c r="B294" s="14">
        <v>26999</v>
      </c>
    </row>
    <row r="295" spans="1:2" ht="16" x14ac:dyDescent="0.2">
      <c r="A295" s="10">
        <v>44631</v>
      </c>
      <c r="B295" s="14">
        <v>27150.799999999999</v>
      </c>
    </row>
    <row r="296" spans="1:2" ht="16" x14ac:dyDescent="0.2">
      <c r="A296" s="10">
        <v>44662</v>
      </c>
      <c r="B296" s="14">
        <v>27278.5</v>
      </c>
    </row>
    <row r="297" spans="1:2" ht="16" x14ac:dyDescent="0.2">
      <c r="A297" s="10">
        <v>44753</v>
      </c>
      <c r="B297" s="14">
        <v>27133.599999999999</v>
      </c>
    </row>
    <row r="298" spans="1:2" ht="16" x14ac:dyDescent="0.2">
      <c r="A298" s="10">
        <v>44784</v>
      </c>
      <c r="B298" s="14">
        <v>26719.599999999999</v>
      </c>
    </row>
    <row r="299" spans="1:2" ht="16" x14ac:dyDescent="0.2">
      <c r="A299" s="10">
        <v>44815</v>
      </c>
      <c r="B299" s="14">
        <v>26643.1</v>
      </c>
    </row>
    <row r="300" spans="1:2" ht="16" x14ac:dyDescent="0.2">
      <c r="A300" s="10">
        <v>44845</v>
      </c>
      <c r="B300" s="14">
        <v>25253.599999999999</v>
      </c>
    </row>
    <row r="301" spans="1:2" ht="16" x14ac:dyDescent="0.2">
      <c r="A301" s="10">
        <v>44876</v>
      </c>
      <c r="B301" s="14">
        <v>24390.5</v>
      </c>
    </row>
    <row r="302" spans="1:2" ht="16" x14ac:dyDescent="0.2">
      <c r="A302" s="10" t="s">
        <v>286</v>
      </c>
      <c r="B302" s="14">
        <v>25080.400000000001</v>
      </c>
    </row>
    <row r="303" spans="1:2" ht="16" x14ac:dyDescent="0.2">
      <c r="A303" s="10" t="s">
        <v>287</v>
      </c>
      <c r="B303" s="14">
        <v>25262.5</v>
      </c>
    </row>
    <row r="304" spans="1:2" ht="16" x14ac:dyDescent="0.2">
      <c r="A304" s="10" t="s">
        <v>288</v>
      </c>
      <c r="B304" s="14">
        <v>25939.3</v>
      </c>
    </row>
    <row r="305" spans="1:2" ht="16" x14ac:dyDescent="0.2">
      <c r="A305" s="10" t="s">
        <v>289</v>
      </c>
      <c r="B305" s="14">
        <v>26331.3</v>
      </c>
    </row>
    <row r="306" spans="1:2" ht="16" x14ac:dyDescent="0.2">
      <c r="A306" s="10" t="s">
        <v>290</v>
      </c>
      <c r="B306" s="14">
        <v>26879.200000000001</v>
      </c>
    </row>
    <row r="307" spans="1:2" ht="16" x14ac:dyDescent="0.2">
      <c r="A307" s="10" t="s">
        <v>291</v>
      </c>
      <c r="B307" s="14">
        <v>27284.2</v>
      </c>
    </row>
    <row r="308" spans="1:2" ht="16" x14ac:dyDescent="0.2">
      <c r="A308" s="10" t="s">
        <v>292</v>
      </c>
      <c r="B308" s="14">
        <v>27464.799999999999</v>
      </c>
    </row>
    <row r="309" spans="1:2" ht="16" x14ac:dyDescent="0.2">
      <c r="A309" s="10" t="s">
        <v>293</v>
      </c>
      <c r="B309" s="14">
        <v>26989</v>
      </c>
    </row>
    <row r="310" spans="1:2" ht="16" x14ac:dyDescent="0.2">
      <c r="A310" s="10" t="s">
        <v>294</v>
      </c>
      <c r="B310" s="14">
        <v>26897.8</v>
      </c>
    </row>
    <row r="311" spans="1:2" ht="16" x14ac:dyDescent="0.2">
      <c r="A311" s="10" t="s">
        <v>295</v>
      </c>
      <c r="B311" s="14">
        <v>27044.799999999999</v>
      </c>
    </row>
    <row r="312" spans="1:2" ht="16" x14ac:dyDescent="0.2">
      <c r="A312" s="10" t="s">
        <v>296</v>
      </c>
      <c r="B312" s="14">
        <v>27041</v>
      </c>
    </row>
    <row r="313" spans="1:2" ht="16" x14ac:dyDescent="0.2">
      <c r="A313" s="10" t="s">
        <v>297</v>
      </c>
      <c r="B313" s="14">
        <v>27600.2</v>
      </c>
    </row>
    <row r="314" spans="1:2" ht="16" x14ac:dyDescent="0.2">
      <c r="A314" s="10" t="s">
        <v>298</v>
      </c>
      <c r="B314" s="14">
        <v>26657.599999999999</v>
      </c>
    </row>
    <row r="315" spans="1:2" ht="16" x14ac:dyDescent="0.2">
      <c r="A315" s="11">
        <v>44573</v>
      </c>
      <c r="B315" s="14">
        <v>26657.599999999999</v>
      </c>
    </row>
    <row r="316" spans="1:2" ht="16" x14ac:dyDescent="0.2">
      <c r="A316" s="11">
        <v>44604</v>
      </c>
      <c r="B316" s="14">
        <v>26788.799999999999</v>
      </c>
    </row>
    <row r="317" spans="1:2" ht="16" x14ac:dyDescent="0.2">
      <c r="A317" s="11">
        <v>44693</v>
      </c>
      <c r="B317" s="14">
        <v>27170.400000000001</v>
      </c>
    </row>
    <row r="318" spans="1:2" ht="16" x14ac:dyDescent="0.2">
      <c r="A318" s="11">
        <v>44724</v>
      </c>
      <c r="B318" s="14">
        <v>27580.400000000001</v>
      </c>
    </row>
    <row r="319" spans="1:2" ht="16" x14ac:dyDescent="0.2">
      <c r="A319" s="11">
        <v>44754</v>
      </c>
      <c r="B319" s="14">
        <v>27712.799999999999</v>
      </c>
    </row>
    <row r="320" spans="1:2" ht="16" x14ac:dyDescent="0.2">
      <c r="A320" s="11">
        <v>44785</v>
      </c>
      <c r="B320" s="14">
        <v>27391.9</v>
      </c>
    </row>
    <row r="321" spans="1:2" ht="16" x14ac:dyDescent="0.2">
      <c r="A321" s="11">
        <v>44816</v>
      </c>
      <c r="B321" s="14">
        <v>27259.599999999999</v>
      </c>
    </row>
    <row r="322" spans="1:2" ht="16" x14ac:dyDescent="0.2">
      <c r="A322" s="11">
        <v>44907</v>
      </c>
      <c r="B322" s="14">
        <v>27016.6</v>
      </c>
    </row>
    <row r="323" spans="1:2" ht="16" x14ac:dyDescent="0.2">
      <c r="A323" s="11" t="s">
        <v>299</v>
      </c>
      <c r="B323" s="14">
        <v>26700.3</v>
      </c>
    </row>
    <row r="324" spans="1:2" ht="16" x14ac:dyDescent="0.2">
      <c r="A324" s="11" t="s">
        <v>300</v>
      </c>
      <c r="B324" s="14">
        <v>26923.8</v>
      </c>
    </row>
    <row r="325" spans="1:2" ht="16" x14ac:dyDescent="0.2">
      <c r="A325" s="11" t="s">
        <v>301</v>
      </c>
      <c r="B325" s="14">
        <v>27391.9</v>
      </c>
    </row>
    <row r="326" spans="1:2" ht="16" x14ac:dyDescent="0.2">
      <c r="A326" s="11" t="s">
        <v>302</v>
      </c>
      <c r="B326" s="14">
        <v>27842.400000000001</v>
      </c>
    </row>
    <row r="327" spans="1:2" ht="16" x14ac:dyDescent="0.2">
      <c r="A327" s="11" t="s">
        <v>303</v>
      </c>
      <c r="B327" s="14">
        <v>28091.200000000001</v>
      </c>
    </row>
    <row r="328" spans="1:2" ht="16" x14ac:dyDescent="0.2">
      <c r="A328" s="11" t="s">
        <v>304</v>
      </c>
      <c r="B328" s="14">
        <v>28385.3</v>
      </c>
    </row>
    <row r="329" spans="1:2" ht="16" x14ac:dyDescent="0.2">
      <c r="A329" s="11" t="s">
        <v>305</v>
      </c>
      <c r="B329" s="14">
        <v>28413.5</v>
      </c>
    </row>
    <row r="330" spans="1:2" ht="16" x14ac:dyDescent="0.2">
      <c r="A330" s="11" t="s">
        <v>306</v>
      </c>
      <c r="B330" s="14">
        <v>28479.4</v>
      </c>
    </row>
    <row r="331" spans="1:2" ht="16" x14ac:dyDescent="0.2">
      <c r="A331" s="11" t="s">
        <v>307</v>
      </c>
      <c r="B331" s="14">
        <v>28546.3</v>
      </c>
    </row>
    <row r="332" spans="1:2" ht="16" x14ac:dyDescent="0.2">
      <c r="A332" s="11" t="s">
        <v>308</v>
      </c>
      <c r="B332" s="14">
        <v>28546.3</v>
      </c>
    </row>
    <row r="333" spans="1:2" ht="16" x14ac:dyDescent="0.2">
      <c r="A333" s="11" t="s">
        <v>309</v>
      </c>
      <c r="B333" s="14">
        <v>28657.1</v>
      </c>
    </row>
    <row r="334" spans="1:2" ht="16" x14ac:dyDescent="0.2">
      <c r="A334" s="11" t="s">
        <v>310</v>
      </c>
      <c r="B334" s="14">
        <v>28702.9</v>
      </c>
    </row>
    <row r="335" spans="1:2" ht="16" x14ac:dyDescent="0.2">
      <c r="A335" s="11" t="s">
        <v>311</v>
      </c>
      <c r="B335" s="14">
        <v>28100.3</v>
      </c>
    </row>
    <row r="336" spans="1:2" ht="16" x14ac:dyDescent="0.2">
      <c r="A336" s="11" t="s">
        <v>312</v>
      </c>
      <c r="B336" s="14">
        <v>28147.5</v>
      </c>
    </row>
    <row r="337" spans="1:2" ht="16" x14ac:dyDescent="0.2">
      <c r="A337" s="11">
        <v>44958</v>
      </c>
      <c r="B337" s="14">
        <v>28090.799999999999</v>
      </c>
    </row>
    <row r="338" spans="1:2" ht="16" x14ac:dyDescent="0.2">
      <c r="A338" s="11">
        <v>44986</v>
      </c>
      <c r="B338" s="14">
        <v>27639.4</v>
      </c>
    </row>
    <row r="339" spans="1:2" ht="16" x14ac:dyDescent="0.2">
      <c r="A339" s="11">
        <v>45017</v>
      </c>
      <c r="B339" s="14">
        <v>26958</v>
      </c>
    </row>
    <row r="340" spans="1:2" ht="16" x14ac:dyDescent="0.2">
      <c r="A340" s="11">
        <v>45047</v>
      </c>
      <c r="B340" s="14">
        <v>26997.1</v>
      </c>
    </row>
    <row r="341" spans="1:2" ht="16" x14ac:dyDescent="0.2">
      <c r="A341" s="11">
        <v>45078</v>
      </c>
      <c r="B341" s="14">
        <v>26852.9</v>
      </c>
    </row>
    <row r="342" spans="1:2" ht="16" x14ac:dyDescent="0.2">
      <c r="A342" s="11">
        <v>45170</v>
      </c>
      <c r="B342" s="14">
        <v>26351.9</v>
      </c>
    </row>
    <row r="343" spans="1:2" ht="16" x14ac:dyDescent="0.2">
      <c r="A343" s="11">
        <v>45200</v>
      </c>
      <c r="B343" s="14">
        <v>25936.400000000001</v>
      </c>
    </row>
    <row r="344" spans="1:2" ht="16" x14ac:dyDescent="0.2">
      <c r="A344" s="11">
        <v>45231</v>
      </c>
      <c r="B344" s="14">
        <v>25634.1</v>
      </c>
    </row>
    <row r="345" spans="1:2" ht="16" x14ac:dyDescent="0.2">
      <c r="A345" s="11">
        <v>45261</v>
      </c>
      <c r="B345" s="14">
        <v>25727.5</v>
      </c>
    </row>
    <row r="346" spans="1:2" ht="16" x14ac:dyDescent="0.2">
      <c r="A346" s="11" t="s">
        <v>313</v>
      </c>
      <c r="B346" s="14">
        <v>25507.4</v>
      </c>
    </row>
    <row r="347" spans="1:2" ht="16" x14ac:dyDescent="0.2">
      <c r="A347" s="11" t="s">
        <v>314</v>
      </c>
      <c r="B347" s="14">
        <v>25512.2</v>
      </c>
    </row>
    <row r="348" spans="1:2" ht="16" x14ac:dyDescent="0.2">
      <c r="A348" s="11" t="s">
        <v>315</v>
      </c>
      <c r="B348" s="14">
        <v>25840.3</v>
      </c>
    </row>
    <row r="349" spans="1:2" ht="16" x14ac:dyDescent="0.2">
      <c r="A349" s="11" t="s">
        <v>316</v>
      </c>
      <c r="B349" s="14">
        <v>25904</v>
      </c>
    </row>
    <row r="350" spans="1:2" ht="16" x14ac:dyDescent="0.2">
      <c r="A350" s="11" t="s">
        <v>317</v>
      </c>
      <c r="B350" s="14">
        <v>26447.4</v>
      </c>
    </row>
    <row r="351" spans="1:2" ht="16" x14ac:dyDescent="0.2">
      <c r="A351" s="11" t="s">
        <v>318</v>
      </c>
      <c r="B351" s="14">
        <v>26082.1</v>
      </c>
    </row>
    <row r="352" spans="1:2" ht="16" x14ac:dyDescent="0.2">
      <c r="A352" s="11" t="s">
        <v>319</v>
      </c>
      <c r="B352" s="14">
        <v>25546</v>
      </c>
    </row>
    <row r="353" spans="1:2" ht="16" x14ac:dyDescent="0.2">
      <c r="A353" s="11" t="s">
        <v>320</v>
      </c>
      <c r="B353" s="14">
        <v>25680.9</v>
      </c>
    </row>
    <row r="354" spans="1:2" ht="16" x14ac:dyDescent="0.2">
      <c r="A354" s="11" t="s">
        <v>321</v>
      </c>
      <c r="B354" s="14">
        <v>26000.799999999999</v>
      </c>
    </row>
    <row r="355" spans="1:2" ht="16" x14ac:dyDescent="0.2">
      <c r="A355" s="11" t="s">
        <v>322</v>
      </c>
      <c r="B355" s="14">
        <v>26090.6</v>
      </c>
    </row>
    <row r="356" spans="1:2" ht="16" x14ac:dyDescent="0.2">
      <c r="A356" s="11" t="s">
        <v>323</v>
      </c>
      <c r="B356" s="14">
        <v>25827.1</v>
      </c>
    </row>
    <row r="357" spans="1:2" ht="16" x14ac:dyDescent="0.2">
      <c r="A357" s="11" t="s">
        <v>324</v>
      </c>
      <c r="B357" s="14">
        <v>26128.400000000001</v>
      </c>
    </row>
    <row r="358" spans="1:2" ht="16" x14ac:dyDescent="0.2">
      <c r="A358" s="11" t="s">
        <v>325</v>
      </c>
      <c r="B358" s="14">
        <v>25910.3</v>
      </c>
    </row>
    <row r="359" spans="1:2" ht="16" x14ac:dyDescent="0.2">
      <c r="A359" s="11">
        <v>44928</v>
      </c>
      <c r="B359" s="14">
        <v>24914</v>
      </c>
    </row>
    <row r="360" spans="1:2" ht="16" x14ac:dyDescent="0.2">
      <c r="A360" s="11">
        <v>44959</v>
      </c>
      <c r="B360" s="14">
        <v>23549.5</v>
      </c>
    </row>
    <row r="361" spans="1:2" ht="16" x14ac:dyDescent="0.2">
      <c r="A361" s="11">
        <v>44987</v>
      </c>
      <c r="B361" s="14">
        <v>23920.5</v>
      </c>
    </row>
    <row r="362" spans="1:2" ht="16" x14ac:dyDescent="0.2">
      <c r="A362" s="11">
        <v>45079</v>
      </c>
      <c r="B362" s="14">
        <v>24201.8</v>
      </c>
    </row>
    <row r="363" spans="1:2" ht="16" x14ac:dyDescent="0.2">
      <c r="A363" s="11">
        <v>45109</v>
      </c>
      <c r="B363" s="14">
        <v>24067.8</v>
      </c>
    </row>
    <row r="364" spans="1:2" ht="16" x14ac:dyDescent="0.2">
      <c r="A364" s="11">
        <v>45140</v>
      </c>
      <c r="B364" s="14">
        <v>24308.7</v>
      </c>
    </row>
    <row r="365" spans="1:2" ht="16" x14ac:dyDescent="0.2">
      <c r="A365" s="11">
        <v>45171</v>
      </c>
      <c r="B365" s="14">
        <v>24859.8</v>
      </c>
    </row>
    <row r="366" spans="1:2" ht="16" x14ac:dyDescent="0.2">
      <c r="A366" s="11">
        <v>45201</v>
      </c>
      <c r="B366" s="14">
        <v>25572.6</v>
      </c>
    </row>
    <row r="367" spans="1:2" ht="16" x14ac:dyDescent="0.2">
      <c r="A367" s="11" t="s">
        <v>326</v>
      </c>
      <c r="B367" s="14">
        <v>25395.1</v>
      </c>
    </row>
    <row r="368" spans="1:2" ht="16" x14ac:dyDescent="0.2">
      <c r="A368" s="11" t="s">
        <v>327</v>
      </c>
      <c r="B368" s="14">
        <v>25378.400000000001</v>
      </c>
    </row>
    <row r="369" spans="1:2" ht="16" x14ac:dyDescent="0.2">
      <c r="A369" s="11" t="s">
        <v>328</v>
      </c>
      <c r="B369" s="14">
        <v>24852.2</v>
      </c>
    </row>
    <row r="370" spans="1:2" ht="16" x14ac:dyDescent="0.2">
      <c r="A370" s="11" t="s">
        <v>329</v>
      </c>
      <c r="B370" s="14">
        <v>24733.1</v>
      </c>
    </row>
    <row r="371" spans="1:2" ht="16" x14ac:dyDescent="0.2">
      <c r="A371" s="11" t="s">
        <v>330</v>
      </c>
      <c r="B371" s="14">
        <v>25039</v>
      </c>
    </row>
    <row r="372" spans="1:2" ht="16" x14ac:dyDescent="0.2">
      <c r="A372" s="11" t="s">
        <v>331</v>
      </c>
      <c r="B372" s="14">
        <v>25078</v>
      </c>
    </row>
    <row r="373" spans="1:2" ht="16" x14ac:dyDescent="0.2">
      <c r="A373" s="11" t="s">
        <v>332</v>
      </c>
      <c r="B373" s="14">
        <v>25616.799999999999</v>
      </c>
    </row>
    <row r="374" spans="1:2" ht="16" x14ac:dyDescent="0.2">
      <c r="A374" s="11" t="s">
        <v>333</v>
      </c>
      <c r="B374" s="14">
        <v>25734.5</v>
      </c>
    </row>
    <row r="375" spans="1:2" ht="16" x14ac:dyDescent="0.2">
      <c r="A375" s="11" t="s">
        <v>334</v>
      </c>
      <c r="B375" s="14">
        <v>25814.3</v>
      </c>
    </row>
    <row r="376" spans="1:2" ht="16" x14ac:dyDescent="0.2">
      <c r="A376" s="11" t="s">
        <v>335</v>
      </c>
      <c r="B376" s="14">
        <v>26316.3</v>
      </c>
    </row>
    <row r="377" spans="1:2" ht="16" x14ac:dyDescent="0.2">
      <c r="A377" s="11" t="s">
        <v>336</v>
      </c>
      <c r="B377" s="14">
        <v>26169.7</v>
      </c>
    </row>
    <row r="378" spans="1:2" ht="16" x14ac:dyDescent="0.2">
      <c r="A378" s="11" t="s">
        <v>337</v>
      </c>
      <c r="B378" s="14">
        <v>26239.200000000001</v>
      </c>
    </row>
    <row r="379" spans="1:2" ht="16" x14ac:dyDescent="0.2">
      <c r="A379" s="11">
        <v>44929</v>
      </c>
      <c r="B379" s="14">
        <v>26521.1</v>
      </c>
    </row>
    <row r="380" spans="1:2" ht="16" x14ac:dyDescent="0.2">
      <c r="A380" s="11">
        <v>44960</v>
      </c>
      <c r="B380" s="14">
        <v>26718.5</v>
      </c>
    </row>
    <row r="381" spans="1:2" ht="16" x14ac:dyDescent="0.2">
      <c r="A381" s="11">
        <v>44988</v>
      </c>
      <c r="B381" s="14">
        <v>26464.6</v>
      </c>
    </row>
    <row r="382" spans="1:2" ht="16" x14ac:dyDescent="0.2">
      <c r="A382" s="11">
        <v>45080</v>
      </c>
      <c r="B382" s="14">
        <v>26679.200000000001</v>
      </c>
    </row>
    <row r="383" spans="1:2" ht="16" x14ac:dyDescent="0.2">
      <c r="A383" s="11">
        <v>45110</v>
      </c>
      <c r="B383" s="14">
        <v>26957.8</v>
      </c>
    </row>
    <row r="384" spans="1:2" ht="16" x14ac:dyDescent="0.2">
      <c r="A384" s="11">
        <v>45141</v>
      </c>
      <c r="B384" s="14">
        <v>27041.7</v>
      </c>
    </row>
    <row r="385" spans="1:2" ht="16" x14ac:dyDescent="0.2">
      <c r="A385" s="11">
        <v>45172</v>
      </c>
      <c r="B385" s="14">
        <v>27193.9</v>
      </c>
    </row>
    <row r="386" spans="1:2" ht="16" x14ac:dyDescent="0.2">
      <c r="A386" s="11">
        <v>45202</v>
      </c>
      <c r="B386" s="14">
        <v>27800.6</v>
      </c>
    </row>
    <row r="387" spans="1:2" ht="16" x14ac:dyDescent="0.2">
      <c r="A387" s="11" t="s">
        <v>338</v>
      </c>
      <c r="B387" s="14">
        <v>28013.3</v>
      </c>
    </row>
    <row r="388" spans="1:2" ht="16" x14ac:dyDescent="0.2">
      <c r="A388" s="11" t="s">
        <v>339</v>
      </c>
      <c r="B388" s="14">
        <v>27847.3</v>
      </c>
    </row>
    <row r="389" spans="1:2" ht="16" x14ac:dyDescent="0.2">
      <c r="A389" s="11" t="s">
        <v>340</v>
      </c>
      <c r="B389" s="14">
        <v>27892.400000000001</v>
      </c>
    </row>
    <row r="390" spans="1:2" ht="16" x14ac:dyDescent="0.2">
      <c r="A390" s="11" t="s">
        <v>341</v>
      </c>
      <c r="B390" s="14">
        <v>27864</v>
      </c>
    </row>
    <row r="391" spans="1:2" ht="16" x14ac:dyDescent="0.2">
      <c r="A391" s="11" t="s">
        <v>342</v>
      </c>
      <c r="B391" s="14">
        <v>28071.4</v>
      </c>
    </row>
    <row r="392" spans="1:2" ht="16" x14ac:dyDescent="0.2">
      <c r="A392" s="11" t="s">
        <v>343</v>
      </c>
      <c r="B392" s="14">
        <v>28337.1</v>
      </c>
    </row>
    <row r="393" spans="1:2" ht="16" x14ac:dyDescent="0.2">
      <c r="A393" s="11" t="s">
        <v>344</v>
      </c>
      <c r="B393" s="14">
        <v>27954.2</v>
      </c>
    </row>
    <row r="394" spans="1:2" ht="16" x14ac:dyDescent="0.2">
      <c r="A394" s="11" t="s">
        <v>345</v>
      </c>
      <c r="B394" s="14">
        <v>28306.5</v>
      </c>
    </row>
    <row r="395" spans="1:2" ht="16" x14ac:dyDescent="0.2">
      <c r="A395" s="11" t="s">
        <v>346</v>
      </c>
      <c r="B395" s="14">
        <v>27941.7</v>
      </c>
    </row>
    <row r="396" spans="1:2" ht="16" x14ac:dyDescent="0.2">
      <c r="A396" s="11" t="s">
        <v>347</v>
      </c>
      <c r="B396" s="14">
        <v>28260.2</v>
      </c>
    </row>
    <row r="397" spans="1:2" ht="16" x14ac:dyDescent="0.2">
      <c r="A397" s="11" t="s">
        <v>348</v>
      </c>
      <c r="B397" s="14">
        <v>28428.6</v>
      </c>
    </row>
    <row r="398" spans="1:2" ht="16" x14ac:dyDescent="0.2">
      <c r="A398" s="11" t="s">
        <v>349</v>
      </c>
      <c r="B398" s="14">
        <v>29187.3</v>
      </c>
    </row>
    <row r="399" spans="1:2" ht="16" x14ac:dyDescent="0.2">
      <c r="A399" s="11" t="s">
        <v>350</v>
      </c>
      <c r="B399" s="14">
        <v>28983.5</v>
      </c>
    </row>
    <row r="400" spans="1:2" ht="16" x14ac:dyDescent="0.2">
      <c r="A400" s="11" t="s">
        <v>351</v>
      </c>
      <c r="B400" s="14">
        <v>29022.2</v>
      </c>
    </row>
    <row r="401" spans="1:2" ht="16" x14ac:dyDescent="0.2">
      <c r="A401" s="11" t="s">
        <v>352</v>
      </c>
      <c r="B401" s="14">
        <v>28735.8</v>
      </c>
    </row>
    <row r="402" spans="1:2" ht="16" x14ac:dyDescent="0.2">
      <c r="A402" s="11">
        <v>44989</v>
      </c>
      <c r="B402" s="14">
        <v>29221.7</v>
      </c>
    </row>
    <row r="403" spans="1:2" ht="16" x14ac:dyDescent="0.2">
      <c r="A403" s="11">
        <v>45020</v>
      </c>
      <c r="B403" s="14">
        <v>29269.3</v>
      </c>
    </row>
    <row r="404" spans="1:2" ht="16" x14ac:dyDescent="0.2">
      <c r="A404" s="11">
        <v>45050</v>
      </c>
      <c r="B404" s="14">
        <v>29713.5</v>
      </c>
    </row>
    <row r="405" spans="1:2" ht="16" x14ac:dyDescent="0.2">
      <c r="A405" s="11">
        <v>45081</v>
      </c>
      <c r="B405" s="14">
        <v>29606.1</v>
      </c>
    </row>
    <row r="406" spans="1:2" ht="16" x14ac:dyDescent="0.2">
      <c r="A406" s="11">
        <v>45111</v>
      </c>
      <c r="B406" s="14">
        <v>29606.1</v>
      </c>
    </row>
    <row r="407" spans="1:2" ht="16" x14ac:dyDescent="0.2">
      <c r="A407" s="11">
        <v>45203</v>
      </c>
      <c r="B407" s="14">
        <v>29565.200000000001</v>
      </c>
    </row>
    <row r="408" spans="1:2" ht="16" x14ac:dyDescent="0.2">
      <c r="A408" s="11">
        <v>45234</v>
      </c>
      <c r="B408" s="14">
        <v>29613.3</v>
      </c>
    </row>
    <row r="409" spans="1:2" ht="16" x14ac:dyDescent="0.2">
      <c r="A409" s="11">
        <v>45264</v>
      </c>
      <c r="B409" s="14">
        <v>30116.799999999999</v>
      </c>
    </row>
    <row r="410" spans="1:2" ht="16" x14ac:dyDescent="0.2">
      <c r="A410" s="11" t="s">
        <v>353</v>
      </c>
      <c r="B410" s="14">
        <v>30158.400000000001</v>
      </c>
    </row>
    <row r="411" spans="1:2" ht="16" x14ac:dyDescent="0.2">
      <c r="A411" s="11" t="s">
        <v>354</v>
      </c>
      <c r="B411" s="14">
        <v>30320.3</v>
      </c>
    </row>
    <row r="412" spans="1:2" ht="16" x14ac:dyDescent="0.2">
      <c r="A412" s="11" t="s">
        <v>355</v>
      </c>
      <c r="B412" s="14">
        <v>30421.9</v>
      </c>
    </row>
    <row r="413" spans="1:2" ht="16" x14ac:dyDescent="0.2">
      <c r="A413" s="11" t="s">
        <v>356</v>
      </c>
      <c r="B413" s="14">
        <v>30475.5</v>
      </c>
    </row>
    <row r="414" spans="1:2" ht="16" x14ac:dyDescent="0.2">
      <c r="A414" s="11" t="s">
        <v>357</v>
      </c>
      <c r="B414" s="14">
        <v>30346.1</v>
      </c>
    </row>
    <row r="415" spans="1:2" ht="16" x14ac:dyDescent="0.2">
      <c r="A415" s="11" t="s">
        <v>358</v>
      </c>
      <c r="B415" s="14">
        <v>30566.5</v>
      </c>
    </row>
    <row r="416" spans="1:2" ht="16" x14ac:dyDescent="0.2">
      <c r="A416" s="11" t="s">
        <v>359</v>
      </c>
      <c r="B416" s="14">
        <v>30504.400000000001</v>
      </c>
    </row>
    <row r="417" spans="1:2" ht="16" x14ac:dyDescent="0.2">
      <c r="A417" s="11" t="s">
        <v>360</v>
      </c>
      <c r="B417" s="14">
        <v>30495.200000000001</v>
      </c>
    </row>
    <row r="418" spans="1:2" ht="16" x14ac:dyDescent="0.2">
      <c r="A418" s="11" t="s">
        <v>361</v>
      </c>
      <c r="B418" s="14">
        <v>30842.9</v>
      </c>
    </row>
    <row r="419" spans="1:2" ht="16" x14ac:dyDescent="0.2">
      <c r="A419" s="11" t="s">
        <v>362</v>
      </c>
      <c r="B419" s="14">
        <v>30639.7</v>
      </c>
    </row>
    <row r="420" spans="1:2" ht="16" x14ac:dyDescent="0.2">
      <c r="A420" s="11" t="s">
        <v>363</v>
      </c>
      <c r="B420" s="14">
        <v>30455.7</v>
      </c>
    </row>
    <row r="421" spans="1:2" ht="16" x14ac:dyDescent="0.2">
      <c r="A421" s="11" t="s">
        <v>364</v>
      </c>
      <c r="B421" s="14">
        <v>30417.1</v>
      </c>
    </row>
    <row r="422" spans="1:2" ht="16" x14ac:dyDescent="0.2">
      <c r="A422" s="11">
        <v>44931</v>
      </c>
      <c r="B422" s="14">
        <v>30417.1</v>
      </c>
    </row>
    <row r="423" spans="1:2" ht="16" x14ac:dyDescent="0.2">
      <c r="A423" s="11">
        <v>44962</v>
      </c>
      <c r="B423" s="14">
        <v>30482.9</v>
      </c>
    </row>
    <row r="424" spans="1:2" ht="16" x14ac:dyDescent="0.2">
      <c r="A424" s="11">
        <v>44990</v>
      </c>
      <c r="B424" s="14">
        <v>31202.3</v>
      </c>
    </row>
    <row r="425" spans="1:2" ht="16" x14ac:dyDescent="0.2">
      <c r="A425" s="11">
        <v>45021</v>
      </c>
      <c r="B425" s="14">
        <v>30968</v>
      </c>
    </row>
    <row r="426" spans="1:2" ht="16" x14ac:dyDescent="0.2">
      <c r="A426" s="11">
        <v>45051</v>
      </c>
      <c r="B426" s="14">
        <v>30722</v>
      </c>
    </row>
    <row r="427" spans="1:2" ht="16" x14ac:dyDescent="0.2">
      <c r="A427" s="11">
        <v>45143</v>
      </c>
      <c r="B427" s="14">
        <v>30124</v>
      </c>
    </row>
    <row r="428" spans="1:2" ht="16" x14ac:dyDescent="0.2">
      <c r="A428" s="11">
        <v>45174</v>
      </c>
      <c r="B428" s="14">
        <v>30310.7</v>
      </c>
    </row>
    <row r="429" spans="1:2" ht="16" x14ac:dyDescent="0.2">
      <c r="A429" s="11">
        <v>45204</v>
      </c>
      <c r="B429" s="14">
        <v>31031.8</v>
      </c>
    </row>
    <row r="430" spans="1:2" ht="16" x14ac:dyDescent="0.2">
      <c r="A430" s="11">
        <v>45235</v>
      </c>
      <c r="B430" s="14">
        <v>30805.1</v>
      </c>
    </row>
    <row r="431" spans="1:2" ht="16" x14ac:dyDescent="0.2">
      <c r="A431" s="11">
        <v>45265</v>
      </c>
      <c r="B431" s="14">
        <v>30637.1</v>
      </c>
    </row>
    <row r="432" spans="1:2" ht="16" x14ac:dyDescent="0.2">
      <c r="A432" s="11" t="s">
        <v>365</v>
      </c>
      <c r="B432" s="14">
        <v>31044</v>
      </c>
    </row>
    <row r="433" spans="1:2" ht="16" x14ac:dyDescent="0.2">
      <c r="A433" s="11" t="s">
        <v>366</v>
      </c>
      <c r="B433" s="14">
        <v>30702.7</v>
      </c>
    </row>
    <row r="434" spans="1:2" ht="16" x14ac:dyDescent="0.2">
      <c r="A434" s="11" t="s">
        <v>367</v>
      </c>
      <c r="B434" s="14">
        <v>31064.7</v>
      </c>
    </row>
    <row r="435" spans="1:2" ht="16" x14ac:dyDescent="0.2">
      <c r="A435" s="11" t="s">
        <v>368</v>
      </c>
      <c r="B435" s="14">
        <v>31025</v>
      </c>
    </row>
    <row r="436" spans="1:2" ht="16" x14ac:dyDescent="0.2">
      <c r="A436" s="11" t="s">
        <v>369</v>
      </c>
      <c r="B436" s="14">
        <v>31104.6</v>
      </c>
    </row>
    <row r="437" spans="1:2" ht="16" x14ac:dyDescent="0.2">
      <c r="A437" s="11" t="s">
        <v>370</v>
      </c>
      <c r="B437" s="14">
        <v>30916.2</v>
      </c>
    </row>
    <row r="438" spans="1:2" ht="16" x14ac:dyDescent="0.2">
      <c r="A438" s="11" t="s">
        <v>371</v>
      </c>
      <c r="B438" s="14">
        <v>30694.6</v>
      </c>
    </row>
    <row r="439" spans="1:2" ht="16" x14ac:dyDescent="0.2">
      <c r="A439" s="11" t="s">
        <v>372</v>
      </c>
      <c r="B439" s="14">
        <v>30746.1</v>
      </c>
    </row>
    <row r="440" spans="1:2" ht="16" x14ac:dyDescent="0.2">
      <c r="A440" s="11" t="s">
        <v>373</v>
      </c>
      <c r="B440" s="14">
        <v>31179.9</v>
      </c>
    </row>
    <row r="441" spans="1:2" ht="16" x14ac:dyDescent="0.2">
      <c r="A441" s="11" t="s">
        <v>374</v>
      </c>
      <c r="B441" s="14">
        <v>30565.5</v>
      </c>
    </row>
    <row r="442" spans="1:2" ht="16" x14ac:dyDescent="0.2">
      <c r="A442" s="11" t="s">
        <v>375</v>
      </c>
      <c r="B442" s="14">
        <v>30035.8</v>
      </c>
    </row>
    <row r="443" spans="1:2" ht="16" x14ac:dyDescent="0.2">
      <c r="A443" s="11" t="s">
        <v>376</v>
      </c>
      <c r="B443" s="14">
        <v>30364.400000000001</v>
      </c>
    </row>
    <row r="444" spans="1:2" ht="16" x14ac:dyDescent="0.2">
      <c r="A444" s="11" t="s">
        <v>377</v>
      </c>
      <c r="B444" s="14">
        <v>30029.7</v>
      </c>
    </row>
    <row r="445" spans="1:2" ht="16" x14ac:dyDescent="0.2">
      <c r="A445" s="11">
        <v>44932</v>
      </c>
      <c r="B445" s="14">
        <v>30355</v>
      </c>
    </row>
    <row r="446" spans="1:2" ht="16" x14ac:dyDescent="0.2">
      <c r="A446" s="11">
        <v>44963</v>
      </c>
      <c r="B446" s="14">
        <v>30240.1</v>
      </c>
    </row>
    <row r="447" spans="1:2" ht="16" x14ac:dyDescent="0.2">
      <c r="A447" s="11">
        <v>45052</v>
      </c>
      <c r="B447" s="14">
        <v>30108</v>
      </c>
    </row>
    <row r="448" spans="1:2" ht="16" x14ac:dyDescent="0.2">
      <c r="A448" s="11">
        <v>45083</v>
      </c>
      <c r="B448" s="14">
        <v>30128</v>
      </c>
    </row>
    <row r="449" spans="1:2" ht="16" x14ac:dyDescent="0.2">
      <c r="A449" s="11">
        <v>45113</v>
      </c>
      <c r="B449" s="14">
        <v>29880.7</v>
      </c>
    </row>
    <row r="450" spans="1:2" ht="16" x14ac:dyDescent="0.2">
      <c r="A450" s="11">
        <v>45144</v>
      </c>
      <c r="B450" s="14">
        <v>29963.200000000001</v>
      </c>
    </row>
    <row r="451" spans="1:2" ht="16" x14ac:dyDescent="0.2">
      <c r="A451" s="11">
        <v>45175</v>
      </c>
      <c r="B451" s="14">
        <v>30226.9</v>
      </c>
    </row>
    <row r="452" spans="1:2" ht="16" x14ac:dyDescent="0.2">
      <c r="A452" s="11">
        <v>45266</v>
      </c>
      <c r="B452" s="14">
        <v>30155.5</v>
      </c>
    </row>
    <row r="453" spans="1:2" ht="16" x14ac:dyDescent="0.2">
      <c r="A453" s="11" t="s">
        <v>378</v>
      </c>
      <c r="B453" s="14">
        <v>29976.1</v>
      </c>
    </row>
    <row r="454" spans="1:2" ht="16" x14ac:dyDescent="0.2">
      <c r="A454" s="11" t="s">
        <v>379</v>
      </c>
      <c r="B454" s="14">
        <v>29672.1</v>
      </c>
    </row>
    <row r="455" spans="1:2" ht="16" x14ac:dyDescent="0.2">
      <c r="A455" s="11" t="s">
        <v>380</v>
      </c>
      <c r="B455" s="14">
        <v>29465.200000000001</v>
      </c>
    </row>
    <row r="456" spans="1:2" ht="16" x14ac:dyDescent="0.2">
      <c r="A456" s="11" t="s">
        <v>381</v>
      </c>
      <c r="B456" s="14">
        <v>29558.6</v>
      </c>
    </row>
    <row r="457" spans="1:2" ht="16" x14ac:dyDescent="0.2">
      <c r="A457" s="11" t="s">
        <v>382</v>
      </c>
      <c r="B457" s="14">
        <v>29561.9</v>
      </c>
    </row>
    <row r="458" spans="1:2" ht="16" x14ac:dyDescent="0.2">
      <c r="A458" s="11" t="s">
        <v>383</v>
      </c>
      <c r="B458" s="14">
        <v>29876.1</v>
      </c>
    </row>
    <row r="459" spans="1:2" ht="16" x14ac:dyDescent="0.2">
      <c r="A459" s="11" t="s">
        <v>384</v>
      </c>
      <c r="B459" s="14">
        <v>29761.4</v>
      </c>
    </row>
    <row r="460" spans="1:2" ht="16" x14ac:dyDescent="0.2">
      <c r="A460" s="11" t="s">
        <v>385</v>
      </c>
      <c r="B460" s="14">
        <v>30138.799999999999</v>
      </c>
    </row>
    <row r="461" spans="1:2" ht="16" x14ac:dyDescent="0.2">
      <c r="A461" s="11" t="s">
        <v>386</v>
      </c>
      <c r="B461" s="14">
        <v>29720.6</v>
      </c>
    </row>
    <row r="462" spans="1:2" ht="16" x14ac:dyDescent="0.2">
      <c r="A462" s="11" t="s">
        <v>387</v>
      </c>
      <c r="B462" s="14">
        <v>29957.3</v>
      </c>
    </row>
    <row r="463" spans="1:2" ht="16" x14ac:dyDescent="0.2">
      <c r="A463" s="11" t="s">
        <v>388</v>
      </c>
      <c r="B463" s="14">
        <v>30424.1</v>
      </c>
    </row>
    <row r="464" spans="1:2" ht="16" x14ac:dyDescent="0.2">
      <c r="A464" s="11" t="s">
        <v>389</v>
      </c>
      <c r="B464" s="14">
        <v>30273.1</v>
      </c>
    </row>
    <row r="465" spans="1:2" ht="16" x14ac:dyDescent="0.2">
      <c r="A465" s="11" t="s">
        <v>390</v>
      </c>
      <c r="B465" s="14">
        <v>29789.9</v>
      </c>
    </row>
    <row r="466" spans="1:2" ht="16" x14ac:dyDescent="0.2">
      <c r="A466" s="11" t="s">
        <v>391</v>
      </c>
      <c r="B466" s="14">
        <v>30108</v>
      </c>
    </row>
    <row r="467" spans="1:2" ht="16" x14ac:dyDescent="0.2">
      <c r="A467" s="11">
        <v>44992</v>
      </c>
      <c r="B467" s="14">
        <v>29957.5</v>
      </c>
    </row>
    <row r="468" spans="1:2" ht="16" x14ac:dyDescent="0.2">
      <c r="A468" s="11">
        <v>45023</v>
      </c>
      <c r="B468" s="14">
        <v>29449</v>
      </c>
    </row>
    <row r="469" spans="1:2" ht="16" x14ac:dyDescent="0.2">
      <c r="A469" s="11">
        <v>45053</v>
      </c>
      <c r="B469" s="14">
        <v>28897.9</v>
      </c>
    </row>
    <row r="470" spans="1:2" ht="16" x14ac:dyDescent="0.2">
      <c r="A470" s="11">
        <v>45084</v>
      </c>
      <c r="B470" s="14">
        <v>29171.599999999999</v>
      </c>
    </row>
    <row r="471" spans="1:2" ht="16" x14ac:dyDescent="0.2">
      <c r="A471" s="11">
        <v>45114</v>
      </c>
      <c r="B471" s="14">
        <v>29729.9</v>
      </c>
    </row>
    <row r="472" spans="1:2" ht="16" x14ac:dyDescent="0.2">
      <c r="A472" s="11">
        <v>45206</v>
      </c>
      <c r="B472" s="14">
        <v>29509.3</v>
      </c>
    </row>
    <row r="473" spans="1:2" ht="16" x14ac:dyDescent="0.2">
      <c r="A473" s="11">
        <v>45237</v>
      </c>
      <c r="B473" s="14">
        <v>29520.2</v>
      </c>
    </row>
    <row r="474" spans="1:2" ht="16" x14ac:dyDescent="0.2">
      <c r="A474" s="11">
        <v>45267</v>
      </c>
      <c r="B474" s="14">
        <v>29139.5</v>
      </c>
    </row>
    <row r="475" spans="1:2" ht="16" x14ac:dyDescent="0.2">
      <c r="A475" s="11" t="s">
        <v>392</v>
      </c>
      <c r="B475" s="14">
        <v>28671.1</v>
      </c>
    </row>
    <row r="476" spans="1:2" ht="16" x14ac:dyDescent="0.2">
      <c r="A476" s="11" t="s">
        <v>393</v>
      </c>
      <c r="B476" s="14">
        <v>28196.7</v>
      </c>
    </row>
    <row r="477" spans="1:2" ht="16" x14ac:dyDescent="0.2">
      <c r="A477" s="11" t="s">
        <v>394</v>
      </c>
      <c r="B477" s="14">
        <v>28497.9</v>
      </c>
    </row>
    <row r="478" spans="1:2" ht="16" x14ac:dyDescent="0.2">
      <c r="A478" s="11" t="s">
        <v>395</v>
      </c>
      <c r="B478" s="14">
        <v>28635.7</v>
      </c>
    </row>
    <row r="479" spans="1:2" ht="16" x14ac:dyDescent="0.2">
      <c r="A479" s="11" t="s">
        <v>396</v>
      </c>
      <c r="B479" s="14">
        <v>27996.9</v>
      </c>
    </row>
    <row r="480" spans="1:2" ht="16" x14ac:dyDescent="0.2">
      <c r="A480" s="11" t="s">
        <v>397</v>
      </c>
      <c r="B480" s="14">
        <v>27225.5</v>
      </c>
    </row>
    <row r="481" spans="1:2" ht="16" x14ac:dyDescent="0.2">
      <c r="A481" s="11" t="s">
        <v>398</v>
      </c>
      <c r="B481" s="14">
        <v>28130</v>
      </c>
    </row>
    <row r="482" spans="1:2" ht="16" x14ac:dyDescent="0.2">
      <c r="A482" s="11" t="s">
        <v>399</v>
      </c>
      <c r="B482" s="14">
        <v>28100.400000000001</v>
      </c>
    </row>
    <row r="483" spans="1:2" ht="16" x14ac:dyDescent="0.2">
      <c r="A483" s="11" t="s">
        <v>400</v>
      </c>
      <c r="B483" s="14">
        <v>27372.400000000001</v>
      </c>
    </row>
    <row r="484" spans="1:2" ht="16" x14ac:dyDescent="0.2">
      <c r="A484" s="11" t="s">
        <v>401</v>
      </c>
      <c r="B484" s="14">
        <v>27312.3</v>
      </c>
    </row>
    <row r="485" spans="1:2" ht="16" x14ac:dyDescent="0.2">
      <c r="A485" s="11" t="s">
        <v>402</v>
      </c>
      <c r="B485" s="14">
        <v>26846.6</v>
      </c>
    </row>
    <row r="486" spans="1:2" ht="16" x14ac:dyDescent="0.2">
      <c r="A486" s="11" t="s">
        <v>403</v>
      </c>
      <c r="B486" s="14">
        <v>26955.1</v>
      </c>
    </row>
    <row r="487" spans="1:2" ht="16" x14ac:dyDescent="0.2">
      <c r="A487" s="11" t="s">
        <v>404</v>
      </c>
      <c r="B487" s="14">
        <v>26334.6</v>
      </c>
    </row>
    <row r="488" spans="1:2" ht="16" x14ac:dyDescent="0.2">
      <c r="A488" s="11">
        <v>44934</v>
      </c>
      <c r="B488" s="14">
        <v>26349.8</v>
      </c>
    </row>
    <row r="489" spans="1:2" ht="16" x14ac:dyDescent="0.2">
      <c r="A489" s="11">
        <v>44965</v>
      </c>
      <c r="B489" s="14">
        <v>27111.4</v>
      </c>
    </row>
    <row r="490" spans="1:2" ht="16" x14ac:dyDescent="0.2">
      <c r="A490" s="11">
        <v>44993</v>
      </c>
      <c r="B490" s="14">
        <v>28346.400000000001</v>
      </c>
    </row>
    <row r="491" spans="1:2" ht="16" x14ac:dyDescent="0.2">
      <c r="A491" s="11">
        <v>45024</v>
      </c>
      <c r="B491" s="14">
        <v>28517.200000000001</v>
      </c>
    </row>
    <row r="492" spans="1:2" ht="16" x14ac:dyDescent="0.2">
      <c r="A492" s="11">
        <v>45115</v>
      </c>
      <c r="B492" s="14">
        <v>28502.799999999999</v>
      </c>
    </row>
    <row r="493" spans="1:2" ht="16" x14ac:dyDescent="0.2">
      <c r="A493" s="11">
        <v>45146</v>
      </c>
      <c r="B493" s="14">
        <v>28920.7</v>
      </c>
    </row>
    <row r="494" spans="1:2" ht="16" x14ac:dyDescent="0.2">
      <c r="A494" s="11">
        <v>45177</v>
      </c>
      <c r="B494" s="14">
        <v>29035.8</v>
      </c>
    </row>
    <row r="495" spans="1:2" ht="16" x14ac:dyDescent="0.2">
      <c r="A495" s="11">
        <v>45207</v>
      </c>
      <c r="B495" s="14">
        <v>29408.9</v>
      </c>
    </row>
    <row r="496" spans="1:2" ht="16" x14ac:dyDescent="0.2">
      <c r="A496" s="11">
        <v>45238</v>
      </c>
      <c r="B496" s="14">
        <v>29076.3</v>
      </c>
    </row>
    <row r="497" spans="1:2" ht="16" x14ac:dyDescent="0.2">
      <c r="A497" s="11" t="s">
        <v>405</v>
      </c>
      <c r="B497" s="14">
        <v>29706.5</v>
      </c>
    </row>
    <row r="498" spans="1:2" ht="16" x14ac:dyDescent="0.2">
      <c r="A498" s="11" t="s">
        <v>406</v>
      </c>
      <c r="B498" s="14">
        <v>29728.5</v>
      </c>
    </row>
    <row r="499" spans="1:2" ht="16" x14ac:dyDescent="0.2">
      <c r="A499" s="11" t="s">
        <v>407</v>
      </c>
      <c r="B499" s="14">
        <v>29937.5</v>
      </c>
    </row>
    <row r="500" spans="1:2" ht="16" x14ac:dyDescent="0.2">
      <c r="A500" s="11" t="s">
        <v>408</v>
      </c>
      <c r="B500" s="14">
        <v>30275.5</v>
      </c>
    </row>
    <row r="501" spans="1:2" ht="16" x14ac:dyDescent="0.2">
      <c r="A501" s="11" t="s">
        <v>409</v>
      </c>
      <c r="B501" s="14">
        <v>31078.7</v>
      </c>
    </row>
    <row r="502" spans="1:2" ht="16" x14ac:dyDescent="0.2">
      <c r="A502" s="11" t="s">
        <v>410</v>
      </c>
      <c r="B502" s="14">
        <v>31382.2</v>
      </c>
    </row>
    <row r="503" spans="1:2" ht="16" x14ac:dyDescent="0.2">
      <c r="A503" s="11" t="s">
        <v>411</v>
      </c>
      <c r="B503" s="14">
        <v>31451.1</v>
      </c>
    </row>
    <row r="504" spans="1:2" ht="16" x14ac:dyDescent="0.2">
      <c r="A504" s="11" t="s">
        <v>412</v>
      </c>
      <c r="B504" s="14">
        <v>31505.1</v>
      </c>
    </row>
    <row r="505" spans="1:2" ht="16" x14ac:dyDescent="0.2">
      <c r="A505" s="11" t="s">
        <v>413</v>
      </c>
      <c r="B505" s="14">
        <v>31169.5</v>
      </c>
    </row>
    <row r="506" spans="1:2" ht="16" x14ac:dyDescent="0.2">
      <c r="A506" s="11" t="s">
        <v>414</v>
      </c>
      <c r="B506" s="14">
        <v>31565.5</v>
      </c>
    </row>
    <row r="507" spans="1:2" ht="16" x14ac:dyDescent="0.2">
      <c r="A507" s="11" t="s">
        <v>415</v>
      </c>
      <c r="B507" s="14">
        <v>31848.3</v>
      </c>
    </row>
    <row r="508" spans="1:2" ht="16" x14ac:dyDescent="0.2">
      <c r="A508" s="11" t="s">
        <v>416</v>
      </c>
      <c r="B508" s="14">
        <v>31658.400000000001</v>
      </c>
    </row>
    <row r="509" spans="1:2" ht="16" x14ac:dyDescent="0.2">
      <c r="A509" s="11" t="s">
        <v>417</v>
      </c>
      <c r="B509" s="14">
        <v>31159.4</v>
      </c>
    </row>
    <row r="510" spans="1:2" ht="16" x14ac:dyDescent="0.2">
      <c r="A510" s="11" t="s">
        <v>418</v>
      </c>
      <c r="B510" s="14">
        <v>31343</v>
      </c>
    </row>
    <row r="511" spans="1:2" ht="16" x14ac:dyDescent="0.2">
      <c r="A511" s="11">
        <v>44935</v>
      </c>
      <c r="B511" s="14">
        <v>30795.200000000001</v>
      </c>
    </row>
    <row r="512" spans="1:2" ht="16" x14ac:dyDescent="0.2">
      <c r="A512" s="11">
        <v>45025</v>
      </c>
      <c r="B512" s="14">
        <v>31000.3</v>
      </c>
    </row>
    <row r="513" spans="1:2" ht="16" x14ac:dyDescent="0.2">
      <c r="A513" s="11">
        <v>45055</v>
      </c>
      <c r="B513" s="14">
        <v>30895.4</v>
      </c>
    </row>
    <row r="514" spans="1:2" ht="16" x14ac:dyDescent="0.2">
      <c r="A514" s="11">
        <v>45086</v>
      </c>
      <c r="B514" s="14">
        <v>30941.5</v>
      </c>
    </row>
    <row r="515" spans="1:2" ht="16" x14ac:dyDescent="0.2">
      <c r="A515" s="11">
        <v>45116</v>
      </c>
      <c r="B515" s="14">
        <v>31249.599999999999</v>
      </c>
    </row>
    <row r="516" spans="1:2" ht="16" x14ac:dyDescent="0.2">
      <c r="A516" s="11">
        <v>45147</v>
      </c>
      <c r="B516" s="14">
        <v>31620</v>
      </c>
    </row>
    <row r="517" spans="1:2" ht="16" x14ac:dyDescent="0.2">
      <c r="A517" s="11">
        <v>45239</v>
      </c>
      <c r="B517" s="14">
        <v>31731.3</v>
      </c>
    </row>
    <row r="518" spans="1:2" ht="16" x14ac:dyDescent="0.2">
      <c r="A518" s="11">
        <v>45269</v>
      </c>
      <c r="B518" s="14">
        <v>31586.6</v>
      </c>
    </row>
    <row r="519" spans="1:2" ht="16" x14ac:dyDescent="0.2">
      <c r="A519" s="11" t="s">
        <v>419</v>
      </c>
      <c r="B519" s="14">
        <v>31609.9</v>
      </c>
    </row>
    <row r="520" spans="1:2" ht="16" x14ac:dyDescent="0.2">
      <c r="A520" s="11" t="s">
        <v>420</v>
      </c>
      <c r="B520" s="14">
        <v>31491.9</v>
      </c>
    </row>
    <row r="521" spans="1:2" ht="16" x14ac:dyDescent="0.2">
      <c r="A521" s="11" t="s">
        <v>421</v>
      </c>
      <c r="B521" s="14">
        <v>31147</v>
      </c>
    </row>
    <row r="522" spans="1:2" ht="16" x14ac:dyDescent="0.2">
      <c r="A522" s="11" t="s">
        <v>422</v>
      </c>
      <c r="B522" s="14">
        <v>31450.3</v>
      </c>
    </row>
    <row r="523" spans="1:2" ht="16" x14ac:dyDescent="0.2">
      <c r="A523" s="11" t="s">
        <v>423</v>
      </c>
      <c r="B523" s="14">
        <v>31634.7</v>
      </c>
    </row>
    <row r="524" spans="1:2" ht="16" x14ac:dyDescent="0.2">
      <c r="A524" s="11" t="s">
        <v>424</v>
      </c>
      <c r="B524" s="14">
        <v>31331.4</v>
      </c>
    </row>
    <row r="525" spans="1:2" ht="16" x14ac:dyDescent="0.2">
      <c r="A525" s="11" t="s">
        <v>425</v>
      </c>
      <c r="B525" s="14">
        <v>31098.6</v>
      </c>
    </row>
    <row r="526" spans="1:2" ht="16" x14ac:dyDescent="0.2">
      <c r="A526" s="11" t="s">
        <v>426</v>
      </c>
      <c r="B526" s="14">
        <v>31923.9</v>
      </c>
    </row>
    <row r="527" spans="1:2" ht="16" x14ac:dyDescent="0.2">
      <c r="A527" s="11" t="s">
        <v>427</v>
      </c>
      <c r="B527" s="14">
        <v>31935.9</v>
      </c>
    </row>
    <row r="528" spans="1:2" ht="16" x14ac:dyDescent="0.2">
      <c r="A528" s="11" t="s">
        <v>428</v>
      </c>
      <c r="B528" s="14">
        <v>32071.4</v>
      </c>
    </row>
    <row r="529" spans="1:2" ht="16" x14ac:dyDescent="0.2">
      <c r="A529" s="11" t="s">
        <v>429</v>
      </c>
      <c r="B529" s="14">
        <v>32595.1</v>
      </c>
    </row>
    <row r="530" spans="1:2" ht="16" x14ac:dyDescent="0.2">
      <c r="A530" s="11" t="s">
        <v>430</v>
      </c>
      <c r="B530" s="14">
        <v>32735.7</v>
      </c>
    </row>
    <row r="531" spans="1:2" ht="16" x14ac:dyDescent="0.2">
      <c r="A531" s="11" t="s">
        <v>431</v>
      </c>
      <c r="B531" s="14">
        <v>32991.4</v>
      </c>
    </row>
    <row r="532" spans="1:2" ht="16" x14ac:dyDescent="0.2">
      <c r="A532" s="11">
        <v>44967</v>
      </c>
      <c r="B532" s="14">
        <v>32283.1</v>
      </c>
    </row>
    <row r="533" spans="1:2" ht="16" x14ac:dyDescent="0.2">
      <c r="A533" s="11">
        <v>44995</v>
      </c>
      <c r="B533" s="14">
        <v>32269.599999999999</v>
      </c>
    </row>
    <row r="534" spans="1:2" ht="16" x14ac:dyDescent="0.2">
      <c r="A534" s="11">
        <v>45026</v>
      </c>
      <c r="B534" s="14">
        <v>32787.1</v>
      </c>
    </row>
    <row r="535" spans="1:2" ht="16" x14ac:dyDescent="0.2">
      <c r="A535" s="11">
        <v>45056</v>
      </c>
      <c r="B535" s="14">
        <v>32548</v>
      </c>
    </row>
    <row r="536" spans="1:2" ht="16" x14ac:dyDescent="0.2">
      <c r="A536" s="11">
        <v>45087</v>
      </c>
      <c r="B536" s="14">
        <v>32591.4</v>
      </c>
    </row>
    <row r="537" spans="1:2" ht="16" x14ac:dyDescent="0.2">
      <c r="A537" s="11">
        <v>45179</v>
      </c>
      <c r="B537" s="14">
        <v>32605.1</v>
      </c>
    </row>
    <row r="538" spans="1:2" ht="16" x14ac:dyDescent="0.2">
      <c r="A538" s="11">
        <v>45209</v>
      </c>
      <c r="B538" s="14">
        <v>32825.599999999999</v>
      </c>
    </row>
    <row r="539" spans="1:2" ht="16" x14ac:dyDescent="0.2">
      <c r="A539" s="11">
        <v>45240</v>
      </c>
      <c r="B539" s="14">
        <v>32053</v>
      </c>
    </row>
    <row r="540" spans="1:2" ht="16" x14ac:dyDescent="0.2">
      <c r="A540" s="11">
        <v>45270</v>
      </c>
      <c r="B540" s="14">
        <v>31909.9</v>
      </c>
    </row>
    <row r="541" spans="1:2" ht="16" x14ac:dyDescent="0.2">
      <c r="A541" s="11" t="s">
        <v>432</v>
      </c>
      <c r="B541" s="14">
        <v>32086.1</v>
      </c>
    </row>
    <row r="542" spans="1:2" ht="16" x14ac:dyDescent="0.2">
      <c r="A542" s="11" t="s">
        <v>433</v>
      </c>
      <c r="B542" s="14">
        <v>32677.599999999999</v>
      </c>
    </row>
    <row r="543" spans="1:2" ht="16" x14ac:dyDescent="0.2">
      <c r="A543" s="11" t="s">
        <v>434</v>
      </c>
      <c r="B543" s="14">
        <v>32495.200000000001</v>
      </c>
    </row>
    <row r="544" spans="1:2" ht="16" x14ac:dyDescent="0.2">
      <c r="A544" s="11" t="s">
        <v>435</v>
      </c>
      <c r="B544" s="14">
        <v>33037</v>
      </c>
    </row>
    <row r="545" spans="1:2" ht="16" x14ac:dyDescent="0.2">
      <c r="A545" s="11" t="s">
        <v>436</v>
      </c>
      <c r="B545" s="14">
        <v>33699.800000000003</v>
      </c>
    </row>
    <row r="546" spans="1:2" ht="16" x14ac:dyDescent="0.2">
      <c r="A546" s="11" t="s">
        <v>437</v>
      </c>
      <c r="B546" s="14">
        <v>33603.800000000003</v>
      </c>
    </row>
    <row r="547" spans="1:2" ht="16" x14ac:dyDescent="0.2">
      <c r="A547" s="11" t="s">
        <v>438</v>
      </c>
      <c r="B547" s="14">
        <v>33881.5</v>
      </c>
    </row>
    <row r="548" spans="1:2" ht="16" x14ac:dyDescent="0.2">
      <c r="A548" s="11" t="s">
        <v>439</v>
      </c>
      <c r="B548" s="14">
        <v>33955.9</v>
      </c>
    </row>
    <row r="549" spans="1:2" ht="16" x14ac:dyDescent="0.2">
      <c r="A549" s="11" t="s">
        <v>440</v>
      </c>
      <c r="B549" s="14">
        <v>33562.1</v>
      </c>
    </row>
    <row r="550" spans="1:2" ht="16" x14ac:dyDescent="0.2">
      <c r="A550" s="11" t="s">
        <v>441</v>
      </c>
      <c r="B550" s="14">
        <v>34506.400000000001</v>
      </c>
    </row>
    <row r="551" spans="1:2" ht="16" x14ac:dyDescent="0.2">
      <c r="A551" s="11" t="s">
        <v>442</v>
      </c>
      <c r="B551" s="14">
        <v>34850.800000000003</v>
      </c>
    </row>
    <row r="552" spans="1:2" ht="16" x14ac:dyDescent="0.2">
      <c r="A552" s="11" t="s">
        <v>443</v>
      </c>
      <c r="B552" s="14">
        <v>34423.699999999997</v>
      </c>
    </row>
    <row r="553" spans="1:2" ht="16" x14ac:dyDescent="0.2">
      <c r="A553" s="11" t="s">
        <v>444</v>
      </c>
      <c r="B553" s="14">
        <v>34698.6</v>
      </c>
    </row>
    <row r="554" spans="1:2" ht="16" x14ac:dyDescent="0.2">
      <c r="A554" s="11">
        <v>44937</v>
      </c>
      <c r="B554" s="14">
        <v>34458.1</v>
      </c>
    </row>
    <row r="555" spans="1:2" ht="16" x14ac:dyDescent="0.2">
      <c r="A555" s="11">
        <v>44968</v>
      </c>
      <c r="B555" s="14">
        <v>34221.300000000003</v>
      </c>
    </row>
    <row r="556" spans="1:2" ht="16" x14ac:dyDescent="0.2">
      <c r="A556" s="11">
        <v>44996</v>
      </c>
      <c r="B556" s="14">
        <v>33315.199999999997</v>
      </c>
    </row>
    <row r="557" spans="1:2" ht="16" x14ac:dyDescent="0.2">
      <c r="A557" s="11">
        <v>45088</v>
      </c>
      <c r="B557" s="14">
        <v>32541.4</v>
      </c>
    </row>
    <row r="558" spans="1:2" ht="16" x14ac:dyDescent="0.2">
      <c r="A558" s="11">
        <v>45118</v>
      </c>
      <c r="B558" s="14">
        <v>33179.5</v>
      </c>
    </row>
    <row r="559" spans="1:2" ht="16" x14ac:dyDescent="0.2">
      <c r="A559" s="11">
        <v>45149</v>
      </c>
      <c r="B559" s="14">
        <v>32959.9</v>
      </c>
    </row>
    <row r="560" spans="1:2" ht="16" x14ac:dyDescent="0.2">
      <c r="A560" s="11">
        <v>45180</v>
      </c>
      <c r="B560" s="14">
        <v>32873.800000000003</v>
      </c>
    </row>
    <row r="561" spans="1:2" ht="16" x14ac:dyDescent="0.2">
      <c r="A561" s="11">
        <v>45210</v>
      </c>
      <c r="B561" s="14">
        <v>32724.799999999999</v>
      </c>
    </row>
    <row r="562" spans="1:2" ht="16" x14ac:dyDescent="0.2">
      <c r="A562" s="11" t="s">
        <v>445</v>
      </c>
      <c r="B562" s="14">
        <v>33104.400000000001</v>
      </c>
    </row>
    <row r="563" spans="1:2" ht="16" x14ac:dyDescent="0.2">
      <c r="A563" s="11" t="s">
        <v>446</v>
      </c>
      <c r="B563" s="14">
        <v>33063.300000000003</v>
      </c>
    </row>
    <row r="564" spans="1:2" ht="16" x14ac:dyDescent="0.2">
      <c r="A564" s="11" t="s">
        <v>447</v>
      </c>
      <c r="B564" s="14">
        <v>31615.599999999999</v>
      </c>
    </row>
    <row r="565" spans="1:2" ht="16" x14ac:dyDescent="0.2">
      <c r="A565" s="11" t="s">
        <v>448</v>
      </c>
      <c r="B565" s="14">
        <v>31380.1</v>
      </c>
    </row>
    <row r="566" spans="1:2" ht="16" x14ac:dyDescent="0.2">
      <c r="A566" s="11" t="s">
        <v>449</v>
      </c>
      <c r="B566" s="14">
        <v>31478.3</v>
      </c>
    </row>
    <row r="567" spans="1:2" ht="16" x14ac:dyDescent="0.2">
      <c r="A567" s="11" t="s">
        <v>450</v>
      </c>
      <c r="B567" s="14">
        <v>31257.200000000001</v>
      </c>
    </row>
    <row r="568" spans="1:2" ht="16" x14ac:dyDescent="0.2">
      <c r="A568" s="11" t="s">
        <v>451</v>
      </c>
      <c r="B568" s="14">
        <v>30915.3</v>
      </c>
    </row>
    <row r="569" spans="1:2" ht="16" x14ac:dyDescent="0.2">
      <c r="A569" s="11" t="s">
        <v>452</v>
      </c>
      <c r="B569" s="14">
        <v>31215.9</v>
      </c>
    </row>
    <row r="570" spans="1:2" ht="16" x14ac:dyDescent="0.2">
      <c r="A570" s="11" t="s">
        <v>453</v>
      </c>
      <c r="B570" s="14">
        <v>31341.5</v>
      </c>
    </row>
    <row r="571" spans="1:2" ht="16" x14ac:dyDescent="0.2">
      <c r="A571" s="11" t="s">
        <v>454</v>
      </c>
      <c r="B571" s="14">
        <v>31375.200000000001</v>
      </c>
    </row>
    <row r="572" spans="1:2" ht="16" x14ac:dyDescent="0.2">
      <c r="A572" s="11" t="s">
        <v>455</v>
      </c>
      <c r="B572" s="14">
        <v>31338.1</v>
      </c>
    </row>
    <row r="573" spans="1:2" ht="16" x14ac:dyDescent="0.2">
      <c r="A573" s="11" t="s">
        <v>456</v>
      </c>
      <c r="B573" s="14">
        <v>31132.400000000001</v>
      </c>
    </row>
    <row r="574" spans="1:2" ht="16" x14ac:dyDescent="0.2">
      <c r="A574" s="11" t="s">
        <v>457</v>
      </c>
      <c r="B574" s="14">
        <v>31087.599999999999</v>
      </c>
    </row>
    <row r="575" spans="1:2" ht="16" x14ac:dyDescent="0.2">
      <c r="A575" s="11" t="s">
        <v>458</v>
      </c>
      <c r="B575" s="14">
        <v>30548.2</v>
      </c>
    </row>
    <row r="576" spans="1:2" ht="16" x14ac:dyDescent="0.2">
      <c r="A576" s="11">
        <v>44938</v>
      </c>
      <c r="B576" s="14">
        <v>30969.4</v>
      </c>
    </row>
    <row r="577" spans="1:2" ht="16" x14ac:dyDescent="0.2">
      <c r="A577" s="11">
        <v>44969</v>
      </c>
      <c r="B577" s="14">
        <v>30969.4</v>
      </c>
    </row>
    <row r="578" spans="1:2" ht="16" x14ac:dyDescent="0.2">
      <c r="A578" s="11">
        <v>44997</v>
      </c>
      <c r="B578" s="14">
        <v>30969.4</v>
      </c>
    </row>
    <row r="579" spans="1:2" ht="16" x14ac:dyDescent="0.2">
      <c r="A579" s="11">
        <v>45028</v>
      </c>
      <c r="B579" s="14">
        <v>30740.2</v>
      </c>
    </row>
    <row r="580" spans="1:2" ht="16" x14ac:dyDescent="0.2">
      <c r="A580" s="11">
        <v>45058</v>
      </c>
      <c r="B580" s="14">
        <v>31022.7</v>
      </c>
    </row>
    <row r="581" spans="1:2" ht="16" x14ac:dyDescent="0.2">
      <c r="A581" s="11">
        <v>45089</v>
      </c>
      <c r="B581" s="14">
        <v>30603.3</v>
      </c>
    </row>
    <row r="582" spans="1:2" ht="16" x14ac:dyDescent="0.2">
      <c r="A582" s="11">
        <v>45119</v>
      </c>
      <c r="B582" s="14">
        <v>30598.2</v>
      </c>
    </row>
    <row r="583" spans="1:2" ht="16" x14ac:dyDescent="0.2">
      <c r="A583" s="11">
        <v>45150</v>
      </c>
      <c r="B583" s="14">
        <v>30532.3</v>
      </c>
    </row>
    <row r="584" spans="1:2" ht="16" x14ac:dyDescent="0.2">
      <c r="A584" s="11">
        <v>45181</v>
      </c>
      <c r="B584" s="14">
        <v>30532.3</v>
      </c>
    </row>
    <row r="585" spans="1:2" ht="16" x14ac:dyDescent="0.2">
      <c r="A585" s="11">
        <v>45211</v>
      </c>
      <c r="B585" s="14">
        <v>30532.3</v>
      </c>
    </row>
    <row r="586" spans="1:2" ht="16" x14ac:dyDescent="0.2">
      <c r="A586" s="11">
        <v>45242</v>
      </c>
      <c r="B586" s="14">
        <v>30993.7</v>
      </c>
    </row>
    <row r="587" spans="1:2" ht="16" x14ac:dyDescent="0.2">
      <c r="A587" s="11">
        <v>45272</v>
      </c>
      <c r="B587" s="14">
        <v>31960.400000000001</v>
      </c>
    </row>
    <row r="588" spans="1:2" ht="16" x14ac:dyDescent="0.2">
      <c r="A588" s="11" t="s">
        <v>459</v>
      </c>
      <c r="B588" s="14">
        <v>31573.3</v>
      </c>
    </row>
    <row r="589" spans="1:2" ht="16" x14ac:dyDescent="0.2">
      <c r="A589" s="11" t="s">
        <v>460</v>
      </c>
      <c r="B589" s="14">
        <v>28632</v>
      </c>
    </row>
    <row r="590" spans="1:2" ht="16" x14ac:dyDescent="0.2">
      <c r="A590" s="11" t="s">
        <v>461</v>
      </c>
      <c r="B590" s="14">
        <v>28980.400000000001</v>
      </c>
    </row>
    <row r="591" spans="1:2" ht="16" x14ac:dyDescent="0.2">
      <c r="A591" s="11" t="s">
        <v>462</v>
      </c>
      <c r="B591" s="14">
        <v>28980.400000000001</v>
      </c>
    </row>
    <row r="592" spans="1:2" ht="16" x14ac:dyDescent="0.2">
      <c r="A592" s="11" t="s">
        <v>463</v>
      </c>
      <c r="B592" s="14">
        <v>28980.400000000001</v>
      </c>
    </row>
    <row r="593" spans="1:2" ht="16" x14ac:dyDescent="0.2">
      <c r="A593" s="11" t="s">
        <v>464</v>
      </c>
      <c r="B593" s="14">
        <v>29396.1</v>
      </c>
    </row>
    <row r="594" spans="1:2" ht="16" x14ac:dyDescent="0.2">
      <c r="A594" s="11" t="s">
        <v>465</v>
      </c>
      <c r="B594" s="14">
        <v>28221.8</v>
      </c>
    </row>
    <row r="595" spans="1:2" ht="16" x14ac:dyDescent="0.2">
      <c r="A595" s="11" t="s">
        <v>466</v>
      </c>
      <c r="B595" s="14">
        <v>28650.7</v>
      </c>
    </row>
    <row r="596" spans="1:2" ht="16" x14ac:dyDescent="0.2">
      <c r="A596" s="11" t="s">
        <v>467</v>
      </c>
      <c r="B596" s="14">
        <v>28450.1</v>
      </c>
    </row>
    <row r="597" spans="1:2" ht="16" x14ac:dyDescent="0.2">
      <c r="A597" s="11" t="s">
        <v>468</v>
      </c>
      <c r="B597" s="14">
        <v>28920</v>
      </c>
    </row>
    <row r="598" spans="1:2" ht="16" x14ac:dyDescent="0.2">
      <c r="A598" s="11" t="s">
        <v>469</v>
      </c>
      <c r="B598" s="14">
        <v>28920</v>
      </c>
    </row>
    <row r="599" spans="1:2" ht="16" x14ac:dyDescent="0.2">
      <c r="A599" s="11" t="s">
        <v>470</v>
      </c>
      <c r="B599" s="14">
        <v>28920</v>
      </c>
    </row>
    <row r="600" spans="1:2" ht="16" x14ac:dyDescent="0.2">
      <c r="A600" s="11" t="s">
        <v>471</v>
      </c>
      <c r="B600" s="14">
        <v>28919</v>
      </c>
    </row>
    <row r="601" spans="1:2" ht="16" x14ac:dyDescent="0.2">
      <c r="A601" s="11" t="s">
        <v>472</v>
      </c>
      <c r="B601" s="14">
        <v>28833.4</v>
      </c>
    </row>
    <row r="602" spans="1:2" ht="16" x14ac:dyDescent="0.2">
      <c r="A602" s="11" t="s">
        <v>473</v>
      </c>
      <c r="B602" s="14">
        <v>28503.200000000001</v>
      </c>
    </row>
    <row r="603" spans="1:2" ht="16" x14ac:dyDescent="0.2">
      <c r="A603" s="11" t="s">
        <v>474</v>
      </c>
      <c r="B603" s="14">
        <v>28462.400000000001</v>
      </c>
    </row>
    <row r="604" spans="1:2" ht="16" x14ac:dyDescent="0.2">
      <c r="A604" s="11" t="s">
        <v>475</v>
      </c>
      <c r="B604" s="14">
        <v>28760.1</v>
      </c>
    </row>
    <row r="605" spans="1:2" ht="16" x14ac:dyDescent="0.2">
      <c r="A605" s="11" t="s">
        <v>476</v>
      </c>
      <c r="B605" s="14">
        <v>28760.1</v>
      </c>
    </row>
    <row r="606" spans="1:2" ht="16" x14ac:dyDescent="0.2">
      <c r="A606" s="11" t="s">
        <v>477</v>
      </c>
      <c r="B606" s="14">
        <v>28760.1</v>
      </c>
    </row>
    <row r="607" spans="1:2" ht="16" x14ac:dyDescent="0.2">
      <c r="A607" s="11">
        <v>45292</v>
      </c>
      <c r="B607" s="14">
        <v>28767.200000000001</v>
      </c>
    </row>
    <row r="608" spans="1:2" ht="16" x14ac:dyDescent="0.2">
      <c r="A608" s="11">
        <v>45323</v>
      </c>
      <c r="B608" s="14">
        <v>29462.1</v>
      </c>
    </row>
    <row r="609" spans="1:2" ht="16" x14ac:dyDescent="0.2">
      <c r="A609" s="11">
        <v>45352</v>
      </c>
      <c r="B609" s="14">
        <v>31006.400000000001</v>
      </c>
    </row>
    <row r="610" spans="1:2" ht="16" x14ac:dyDescent="0.2">
      <c r="A610" s="11">
        <v>45383</v>
      </c>
      <c r="B610" s="14">
        <v>31532.400000000001</v>
      </c>
    </row>
    <row r="611" spans="1:2" ht="16" x14ac:dyDescent="0.2">
      <c r="A611" s="11">
        <v>45413</v>
      </c>
      <c r="B611" s="14">
        <v>31393.599999999999</v>
      </c>
    </row>
    <row r="612" spans="1:2" ht="16" x14ac:dyDescent="0.2">
      <c r="A612" s="11">
        <v>45444</v>
      </c>
      <c r="B612" s="14">
        <v>31393.599999999999</v>
      </c>
    </row>
    <row r="613" spans="1:2" ht="16" x14ac:dyDescent="0.2">
      <c r="A613" s="11">
        <v>45474</v>
      </c>
      <c r="B613" s="14">
        <v>31393.599999999999</v>
      </c>
    </row>
    <row r="614" spans="1:2" ht="16" x14ac:dyDescent="0.2">
      <c r="A614" s="11">
        <v>45505</v>
      </c>
      <c r="B614" s="14">
        <v>30733.599999999999</v>
      </c>
    </row>
    <row r="615" spans="1:2" ht="16" x14ac:dyDescent="0.2">
      <c r="A615" s="11">
        <v>45536</v>
      </c>
      <c r="B615" s="14">
        <v>30961.5</v>
      </c>
    </row>
    <row r="616" spans="1:2" ht="16" x14ac:dyDescent="0.2">
      <c r="A616" s="11">
        <v>45566</v>
      </c>
      <c r="B616" s="14">
        <v>31322.7</v>
      </c>
    </row>
    <row r="617" spans="1:2" ht="16" x14ac:dyDescent="0.2">
      <c r="A617" s="11">
        <v>45597</v>
      </c>
      <c r="B617" s="14">
        <v>31928.6</v>
      </c>
    </row>
    <row r="618" spans="1:2" ht="16" x14ac:dyDescent="0.2">
      <c r="A618" s="11">
        <v>45627</v>
      </c>
      <c r="B618" s="14">
        <v>32834.6</v>
      </c>
    </row>
    <row r="619" spans="1:2" ht="16" x14ac:dyDescent="0.2">
      <c r="A619" s="11" t="s">
        <v>478</v>
      </c>
      <c r="B619" s="14">
        <v>32834.6</v>
      </c>
    </row>
    <row r="620" spans="1:2" ht="16" x14ac:dyDescent="0.2">
      <c r="A620" s="11" t="s">
        <v>479</v>
      </c>
      <c r="B620" s="14">
        <v>32834.6</v>
      </c>
    </row>
    <row r="621" spans="1:2" ht="16" x14ac:dyDescent="0.2">
      <c r="A621" s="11" t="s">
        <v>480</v>
      </c>
      <c r="B621" s="14">
        <v>33186.1</v>
      </c>
    </row>
    <row r="622" spans="1:2" ht="16" x14ac:dyDescent="0.2">
      <c r="A622" s="11" t="s">
        <v>481</v>
      </c>
      <c r="B622" s="14">
        <v>33519.800000000003</v>
      </c>
    </row>
    <row r="623" spans="1:2" ht="16" x14ac:dyDescent="0.2">
      <c r="A623" s="11" t="s">
        <v>482</v>
      </c>
      <c r="B623" s="14">
        <v>34539</v>
      </c>
    </row>
    <row r="624" spans="1:2" ht="16" x14ac:dyDescent="0.2">
      <c r="A624" s="11" t="s">
        <v>483</v>
      </c>
      <c r="B624" s="14">
        <v>35125.199999999997</v>
      </c>
    </row>
    <row r="625" spans="1:2" ht="16" x14ac:dyDescent="0.2">
      <c r="A625" s="11" t="s">
        <v>484</v>
      </c>
      <c r="B625" s="14">
        <v>35374.199999999997</v>
      </c>
    </row>
    <row r="626" spans="1:2" ht="16" x14ac:dyDescent="0.2">
      <c r="A626" s="11" t="s">
        <v>485</v>
      </c>
      <c r="B626" s="14">
        <v>35374.199999999997</v>
      </c>
    </row>
    <row r="627" spans="1:2" ht="16" x14ac:dyDescent="0.2">
      <c r="A627" s="11" t="s">
        <v>486</v>
      </c>
      <c r="B627" s="14">
        <v>35374.199999999997</v>
      </c>
    </row>
    <row r="628" spans="1:2" ht="16" x14ac:dyDescent="0.2">
      <c r="A628" s="11" t="s">
        <v>487</v>
      </c>
      <c r="B628" s="14">
        <v>34930.5</v>
      </c>
    </row>
    <row r="629" spans="1:2" ht="16" x14ac:dyDescent="0.2">
      <c r="A629" s="11" t="s">
        <v>488</v>
      </c>
      <c r="B629" s="14">
        <v>34169</v>
      </c>
    </row>
    <row r="630" spans="1:2" ht="16" x14ac:dyDescent="0.2">
      <c r="A630" s="11" t="s">
        <v>489</v>
      </c>
      <c r="B630" s="14">
        <v>34145.1</v>
      </c>
    </row>
    <row r="631" spans="1:2" ht="16" x14ac:dyDescent="0.2">
      <c r="A631" s="11" t="s">
        <v>490</v>
      </c>
      <c r="B631" s="14">
        <v>34098.5</v>
      </c>
    </row>
    <row r="632" spans="1:2" ht="16" x14ac:dyDescent="0.2">
      <c r="A632" s="11" t="s">
        <v>491</v>
      </c>
      <c r="B632" s="14">
        <v>33985.800000000003</v>
      </c>
    </row>
    <row r="633" spans="1:2" ht="16" x14ac:dyDescent="0.2">
      <c r="A633" s="11" t="s">
        <v>492</v>
      </c>
      <c r="B633" s="14">
        <v>33985.800000000003</v>
      </c>
    </row>
    <row r="634" spans="1:2" ht="16" x14ac:dyDescent="0.2">
      <c r="A634" s="11" t="s">
        <v>493</v>
      </c>
      <c r="B634" s="14">
        <v>33985.800000000003</v>
      </c>
    </row>
    <row r="635" spans="1:2" ht="16" x14ac:dyDescent="0.2">
      <c r="A635" s="11" t="s">
        <v>494</v>
      </c>
      <c r="B635" s="14">
        <v>34011.199999999997</v>
      </c>
    </row>
    <row r="636" spans="1:2" ht="16" x14ac:dyDescent="0.2">
      <c r="A636" s="11" t="s">
        <v>495</v>
      </c>
      <c r="B636" s="14">
        <v>34774.199999999997</v>
      </c>
    </row>
    <row r="637" spans="1:2" ht="16" x14ac:dyDescent="0.2">
      <c r="A637" s="11" t="s">
        <v>496</v>
      </c>
      <c r="B637" s="14">
        <v>35215</v>
      </c>
    </row>
    <row r="638" spans="1:2" ht="16" x14ac:dyDescent="0.2">
      <c r="A638" s="11">
        <v>45293</v>
      </c>
      <c r="B638" s="14">
        <v>35528.400000000001</v>
      </c>
    </row>
    <row r="639" spans="1:2" ht="16" x14ac:dyDescent="0.2">
      <c r="A639" s="11">
        <v>45324</v>
      </c>
      <c r="B639" s="14">
        <v>35747</v>
      </c>
    </row>
    <row r="640" spans="1:2" ht="16" x14ac:dyDescent="0.2">
      <c r="A640" s="11">
        <v>45353</v>
      </c>
      <c r="B640" s="14">
        <v>35747</v>
      </c>
    </row>
    <row r="641" spans="1:2" ht="16" x14ac:dyDescent="0.2">
      <c r="A641" s="11">
        <v>45384</v>
      </c>
      <c r="B641" s="14">
        <v>35747</v>
      </c>
    </row>
    <row r="642" spans="1:2" ht="16" x14ac:dyDescent="0.2">
      <c r="A642" s="11">
        <v>45414</v>
      </c>
      <c r="B642" s="14">
        <v>36136.800000000003</v>
      </c>
    </row>
    <row r="643" spans="1:2" ht="16" x14ac:dyDescent="0.2">
      <c r="A643" s="11">
        <v>45445</v>
      </c>
      <c r="B643" s="14">
        <v>36304.6</v>
      </c>
    </row>
    <row r="644" spans="1:2" ht="16" x14ac:dyDescent="0.2">
      <c r="A644" s="11">
        <v>45475</v>
      </c>
      <c r="B644" s="14">
        <v>36273.199999999997</v>
      </c>
    </row>
    <row r="645" spans="1:2" ht="16" x14ac:dyDescent="0.2">
      <c r="A645" s="11">
        <v>45506</v>
      </c>
      <c r="B645" s="14">
        <v>35494.400000000001</v>
      </c>
    </row>
    <row r="646" spans="1:2" ht="16" x14ac:dyDescent="0.2">
      <c r="A646" s="11">
        <v>45537</v>
      </c>
      <c r="B646" s="14">
        <v>35550.5</v>
      </c>
    </row>
    <row r="647" spans="1:2" ht="16" x14ac:dyDescent="0.2">
      <c r="A647" s="11">
        <v>45567</v>
      </c>
      <c r="B647" s="14">
        <v>35550.5</v>
      </c>
    </row>
    <row r="648" spans="1:2" ht="16" x14ac:dyDescent="0.2">
      <c r="A648" s="11">
        <v>45598</v>
      </c>
      <c r="B648" s="14">
        <v>35550.5</v>
      </c>
    </row>
    <row r="649" spans="1:2" ht="16" x14ac:dyDescent="0.2">
      <c r="A649" s="11">
        <v>45628</v>
      </c>
      <c r="B649" s="14">
        <v>34450.300000000003</v>
      </c>
    </row>
    <row r="650" spans="1:2" ht="16" x14ac:dyDescent="0.2">
      <c r="A650" s="11" t="s">
        <v>497</v>
      </c>
      <c r="B650" s="14">
        <v>35599.9</v>
      </c>
    </row>
    <row r="651" spans="1:2" ht="16" x14ac:dyDescent="0.2">
      <c r="A651" s="11" t="s">
        <v>498</v>
      </c>
      <c r="B651" s="14">
        <v>34933.1</v>
      </c>
    </row>
    <row r="652" spans="1:2" ht="16" x14ac:dyDescent="0.2">
      <c r="A652" s="11" t="s">
        <v>499</v>
      </c>
      <c r="B652" s="14">
        <v>34488.1</v>
      </c>
    </row>
    <row r="653" spans="1:2" ht="16" x14ac:dyDescent="0.2">
      <c r="A653" s="11" t="s">
        <v>500</v>
      </c>
      <c r="B653" s="14">
        <v>34582.6</v>
      </c>
    </row>
    <row r="654" spans="1:2" ht="16" x14ac:dyDescent="0.2">
      <c r="A654" s="11" t="s">
        <v>501</v>
      </c>
      <c r="B654" s="14">
        <v>34582.6</v>
      </c>
    </row>
    <row r="655" spans="1:2" ht="16" x14ac:dyDescent="0.2">
      <c r="A655" s="11" t="s">
        <v>502</v>
      </c>
      <c r="B655" s="14">
        <v>34582.6</v>
      </c>
    </row>
    <row r="656" spans="1:2" ht="16" x14ac:dyDescent="0.2">
      <c r="A656" s="11" t="s">
        <v>503</v>
      </c>
      <c r="B656" s="14">
        <v>34669.800000000003</v>
      </c>
    </row>
    <row r="657" spans="1:2" ht="16" x14ac:dyDescent="0.2">
      <c r="A657" s="11" t="s">
        <v>504</v>
      </c>
      <c r="B657" s="14">
        <v>35208</v>
      </c>
    </row>
    <row r="658" spans="1:2" ht="16" x14ac:dyDescent="0.2">
      <c r="A658" s="11" t="s">
        <v>505</v>
      </c>
      <c r="B658" s="14">
        <v>35585.1</v>
      </c>
    </row>
    <row r="659" spans="1:2" ht="16" x14ac:dyDescent="0.2">
      <c r="A659" s="11" t="s">
        <v>506</v>
      </c>
      <c r="B659" s="14">
        <v>36161.599999999999</v>
      </c>
    </row>
    <row r="660" spans="1:2" ht="16" x14ac:dyDescent="0.2">
      <c r="A660" s="11" t="s">
        <v>507</v>
      </c>
      <c r="B660" s="14">
        <v>36426.800000000003</v>
      </c>
    </row>
    <row r="661" spans="1:2" ht="16" x14ac:dyDescent="0.2">
      <c r="A661" s="11" t="s">
        <v>508</v>
      </c>
      <c r="B661" s="14">
        <v>36426.800000000003</v>
      </c>
    </row>
    <row r="662" spans="1:2" ht="16" x14ac:dyDescent="0.2">
      <c r="A662" s="11" t="s">
        <v>509</v>
      </c>
      <c r="B662" s="14">
        <v>36426.800000000003</v>
      </c>
    </row>
    <row r="663" spans="1:2" ht="16" x14ac:dyDescent="0.2">
      <c r="A663" s="11" t="s">
        <v>510</v>
      </c>
      <c r="B663" s="14">
        <v>36910.5</v>
      </c>
    </row>
    <row r="664" spans="1:2" ht="16" x14ac:dyDescent="0.2">
      <c r="A664" s="11" t="s">
        <v>511</v>
      </c>
      <c r="B664" s="14">
        <v>35819.699999999997</v>
      </c>
    </row>
    <row r="665" spans="1:2" ht="16" x14ac:dyDescent="0.2">
      <c r="A665" s="11" t="s">
        <v>512</v>
      </c>
      <c r="B665" s="14">
        <v>36756.1</v>
      </c>
    </row>
    <row r="666" spans="1:2" ht="16" x14ac:dyDescent="0.2">
      <c r="A666" s="11" t="s">
        <v>513</v>
      </c>
      <c r="B666" s="14">
        <v>36167.599999999999</v>
      </c>
    </row>
    <row r="667" spans="1:2" ht="16" x14ac:dyDescent="0.2">
      <c r="A667" s="11">
        <v>45294</v>
      </c>
      <c r="B667" s="14">
        <v>36109.300000000003</v>
      </c>
    </row>
    <row r="668" spans="1:2" ht="16" x14ac:dyDescent="0.2">
      <c r="A668" s="11">
        <v>45325</v>
      </c>
      <c r="B668" s="14">
        <v>36109.300000000003</v>
      </c>
    </row>
    <row r="669" spans="1:2" ht="16" x14ac:dyDescent="0.2">
      <c r="A669" s="11">
        <v>45354</v>
      </c>
      <c r="B669" s="14">
        <v>36109.300000000003</v>
      </c>
    </row>
    <row r="670" spans="1:2" ht="16" x14ac:dyDescent="0.2">
      <c r="A670" s="11">
        <v>45385</v>
      </c>
      <c r="B670" s="14">
        <v>36938.5</v>
      </c>
    </row>
    <row r="671" spans="1:2" ht="16" x14ac:dyDescent="0.2">
      <c r="A671" s="11">
        <v>45415</v>
      </c>
      <c r="B671" s="14">
        <v>36695.5</v>
      </c>
    </row>
    <row r="672" spans="1:2" ht="16" x14ac:dyDescent="0.2">
      <c r="A672" s="11">
        <v>45446</v>
      </c>
      <c r="B672" s="14">
        <v>36498.800000000003</v>
      </c>
    </row>
    <row r="673" spans="1:2" ht="16" x14ac:dyDescent="0.2">
      <c r="A673" s="11">
        <v>45476</v>
      </c>
      <c r="B673" s="14">
        <v>36411.1</v>
      </c>
    </row>
    <row r="674" spans="1:2" ht="16" x14ac:dyDescent="0.2">
      <c r="A674" s="11">
        <v>45507</v>
      </c>
      <c r="B674" s="14">
        <v>36433.1</v>
      </c>
    </row>
    <row r="675" spans="1:2" ht="16" x14ac:dyDescent="0.2">
      <c r="A675" s="11">
        <v>45538</v>
      </c>
      <c r="B675" s="14">
        <v>36433.1</v>
      </c>
    </row>
    <row r="676" spans="1:2" ht="16" x14ac:dyDescent="0.2">
      <c r="A676" s="11">
        <v>45568</v>
      </c>
      <c r="B676" s="14">
        <v>36433.1</v>
      </c>
    </row>
    <row r="677" spans="1:2" ht="16" x14ac:dyDescent="0.2">
      <c r="A677" s="11">
        <v>45599</v>
      </c>
      <c r="B677" s="14">
        <v>36459.800000000003</v>
      </c>
    </row>
    <row r="678" spans="1:2" ht="16" x14ac:dyDescent="0.2">
      <c r="A678" s="11">
        <v>45629</v>
      </c>
      <c r="B678" s="14">
        <v>36887.199999999997</v>
      </c>
    </row>
    <row r="679" spans="1:2" ht="16" x14ac:dyDescent="0.2">
      <c r="A679" s="11" t="s">
        <v>514</v>
      </c>
      <c r="B679" s="14">
        <v>36937</v>
      </c>
    </row>
    <row r="680" spans="1:2" ht="16" x14ac:dyDescent="0.2">
      <c r="A680" s="11" t="s">
        <v>515</v>
      </c>
      <c r="B680" s="14">
        <v>37247.599999999999</v>
      </c>
    </row>
    <row r="681" spans="1:2" ht="16" x14ac:dyDescent="0.2">
      <c r="A681" s="11" t="s">
        <v>516</v>
      </c>
      <c r="B681" s="14">
        <v>37056</v>
      </c>
    </row>
    <row r="682" spans="1:2" ht="16" x14ac:dyDescent="0.2">
      <c r="A682" s="11" t="s">
        <v>517</v>
      </c>
      <c r="B682" s="14">
        <v>37056</v>
      </c>
    </row>
    <row r="683" spans="1:2" ht="16" x14ac:dyDescent="0.2">
      <c r="A683" s="11" t="s">
        <v>518</v>
      </c>
      <c r="B683" s="14">
        <v>37056</v>
      </c>
    </row>
    <row r="684" spans="1:2" ht="16" x14ac:dyDescent="0.2">
      <c r="A684" s="11" t="s">
        <v>519</v>
      </c>
      <c r="B684" s="14">
        <v>37434.9</v>
      </c>
    </row>
    <row r="685" spans="1:2" ht="16" x14ac:dyDescent="0.2">
      <c r="A685" s="11" t="s">
        <v>520</v>
      </c>
      <c r="B685" s="14">
        <v>37731</v>
      </c>
    </row>
    <row r="686" spans="1:2" ht="16" x14ac:dyDescent="0.2">
      <c r="A686" s="11" t="s">
        <v>521</v>
      </c>
      <c r="B686" s="14">
        <v>37439.9</v>
      </c>
    </row>
    <row r="687" spans="1:2" ht="16" x14ac:dyDescent="0.2">
      <c r="A687" s="11" t="s">
        <v>522</v>
      </c>
      <c r="B687" s="14">
        <v>36969.300000000003</v>
      </c>
    </row>
    <row r="688" spans="1:2" ht="16" x14ac:dyDescent="0.2">
      <c r="A688" s="11" t="s">
        <v>523</v>
      </c>
      <c r="B688" s="14">
        <v>36856.9</v>
      </c>
    </row>
    <row r="689" spans="1:2" ht="16" x14ac:dyDescent="0.2">
      <c r="A689" s="11" t="s">
        <v>524</v>
      </c>
      <c r="B689" s="14">
        <v>36856.9</v>
      </c>
    </row>
    <row r="690" spans="1:2" ht="16" x14ac:dyDescent="0.2">
      <c r="A690" s="11" t="s">
        <v>525</v>
      </c>
      <c r="B690" s="14">
        <v>36856.9</v>
      </c>
    </row>
    <row r="691" spans="1:2" ht="16" x14ac:dyDescent="0.2">
      <c r="A691" s="11" t="s">
        <v>526</v>
      </c>
      <c r="B691" s="14">
        <v>36964</v>
      </c>
    </row>
    <row r="692" spans="1:2" ht="16" x14ac:dyDescent="0.2">
      <c r="A692" s="11" t="s">
        <v>527</v>
      </c>
      <c r="B692" s="14">
        <v>36961.300000000003</v>
      </c>
    </row>
    <row r="693" spans="1:2" ht="16" x14ac:dyDescent="0.2">
      <c r="A693" s="11" t="s">
        <v>528</v>
      </c>
      <c r="B693" s="14">
        <v>36190.800000000003</v>
      </c>
    </row>
    <row r="694" spans="1:2" ht="16" x14ac:dyDescent="0.2">
      <c r="A694" s="11" t="s">
        <v>529</v>
      </c>
      <c r="B694" s="14">
        <v>35874.400000000001</v>
      </c>
    </row>
    <row r="695" spans="1:2" ht="16" x14ac:dyDescent="0.2">
      <c r="A695" s="11" t="s">
        <v>530</v>
      </c>
      <c r="B695" s="14">
        <v>35883.1</v>
      </c>
    </row>
    <row r="696" spans="1:2" ht="16" x14ac:dyDescent="0.2">
      <c r="A696" s="11" t="s">
        <v>531</v>
      </c>
      <c r="B696" s="14">
        <v>35883.1</v>
      </c>
    </row>
    <row r="697" spans="1:2" ht="16" x14ac:dyDescent="0.2">
      <c r="A697" s="11" t="s">
        <v>532</v>
      </c>
      <c r="B697" s="14">
        <v>35883.1</v>
      </c>
    </row>
    <row r="698" spans="1:2" ht="16" x14ac:dyDescent="0.2">
      <c r="A698" s="11">
        <v>45295</v>
      </c>
      <c r="B698" s="14">
        <v>36115.1</v>
      </c>
    </row>
    <row r="699" spans="1:2" ht="16" x14ac:dyDescent="0.2">
      <c r="A699" s="11">
        <v>45326</v>
      </c>
      <c r="B699" s="14">
        <v>36474.400000000001</v>
      </c>
    </row>
    <row r="700" spans="1:2" ht="16" x14ac:dyDescent="0.2">
      <c r="A700" s="11">
        <v>45355</v>
      </c>
      <c r="B700" s="14">
        <v>36262</v>
      </c>
    </row>
    <row r="701" spans="1:2" ht="16" x14ac:dyDescent="0.2">
      <c r="A701" s="11">
        <v>45386</v>
      </c>
      <c r="B701" s="14">
        <v>35770.199999999997</v>
      </c>
    </row>
    <row r="702" spans="1:2" ht="16" x14ac:dyDescent="0.2">
      <c r="A702" s="11">
        <v>45416</v>
      </c>
      <c r="B702" s="14">
        <v>36263</v>
      </c>
    </row>
    <row r="703" spans="1:2" ht="16" x14ac:dyDescent="0.2">
      <c r="A703" s="11">
        <v>45447</v>
      </c>
      <c r="B703" s="14">
        <v>36263</v>
      </c>
    </row>
    <row r="704" spans="1:2" ht="16" x14ac:dyDescent="0.2">
      <c r="A704" s="11">
        <v>45477</v>
      </c>
      <c r="B704" s="14">
        <v>36263</v>
      </c>
    </row>
    <row r="705" spans="1:2" ht="16" x14ac:dyDescent="0.2">
      <c r="A705" s="11">
        <v>45508</v>
      </c>
      <c r="B705" s="14">
        <v>35930.400000000001</v>
      </c>
    </row>
    <row r="706" spans="1:2" ht="16" x14ac:dyDescent="0.2">
      <c r="A706" s="11">
        <v>45539</v>
      </c>
      <c r="B706" s="14">
        <v>34824.699999999997</v>
      </c>
    </row>
    <row r="707" spans="1:2" ht="16" x14ac:dyDescent="0.2">
      <c r="A707" s="11">
        <v>45569</v>
      </c>
      <c r="B707" s="14">
        <v>35620.400000000001</v>
      </c>
    </row>
    <row r="708" spans="1:2" ht="16" x14ac:dyDescent="0.2">
      <c r="A708" s="11">
        <v>45600</v>
      </c>
      <c r="B708" s="14">
        <v>35742.300000000003</v>
      </c>
    </row>
    <row r="709" spans="1:2" ht="16" x14ac:dyDescent="0.2">
      <c r="A709" s="11">
        <v>45630</v>
      </c>
      <c r="B709" s="14">
        <v>36516</v>
      </c>
    </row>
    <row r="710" spans="1:2" ht="16" x14ac:dyDescent="0.2">
      <c r="A710" s="11" t="s">
        <v>533</v>
      </c>
      <c r="B710" s="14">
        <v>36516</v>
      </c>
    </row>
    <row r="711" spans="1:2" ht="16" x14ac:dyDescent="0.2">
      <c r="A711" s="11" t="s">
        <v>534</v>
      </c>
      <c r="B711" s="14">
        <v>36516</v>
      </c>
    </row>
    <row r="712" spans="1:2" ht="16" x14ac:dyDescent="0.2">
      <c r="A712" s="11" t="s">
        <v>535</v>
      </c>
      <c r="B712" s="14">
        <v>37027.1</v>
      </c>
    </row>
    <row r="713" spans="1:2" ht="16" x14ac:dyDescent="0.2">
      <c r="A713" s="11" t="s">
        <v>536</v>
      </c>
      <c r="B713" s="14">
        <v>37395.199999999997</v>
      </c>
    </row>
    <row r="714" spans="1:2" ht="16" x14ac:dyDescent="0.2">
      <c r="A714" s="11" t="s">
        <v>537</v>
      </c>
      <c r="B714" s="14">
        <v>37330.1</v>
      </c>
    </row>
    <row r="715" spans="1:2" ht="16" x14ac:dyDescent="0.2">
      <c r="A715" s="11" t="s">
        <v>538</v>
      </c>
      <c r="B715" s="14">
        <v>37525.699999999997</v>
      </c>
    </row>
    <row r="716" spans="1:2" ht="16" x14ac:dyDescent="0.2">
      <c r="A716" s="11" t="s">
        <v>539</v>
      </c>
      <c r="B716" s="14">
        <v>37507.4</v>
      </c>
    </row>
    <row r="717" spans="1:2" ht="16" x14ac:dyDescent="0.2">
      <c r="A717" s="11" t="s">
        <v>540</v>
      </c>
      <c r="B717" s="14">
        <v>37507.4</v>
      </c>
    </row>
    <row r="718" spans="1:2" ht="16" x14ac:dyDescent="0.2">
      <c r="A718" s="11" t="s">
        <v>541</v>
      </c>
      <c r="B718" s="14">
        <v>37507.4</v>
      </c>
    </row>
    <row r="719" spans="1:2" ht="16" x14ac:dyDescent="0.2">
      <c r="A719" s="11" t="s">
        <v>542</v>
      </c>
      <c r="B719" s="14">
        <v>37440.9</v>
      </c>
    </row>
    <row r="720" spans="1:2" ht="16" x14ac:dyDescent="0.2">
      <c r="A720" s="11" t="s">
        <v>543</v>
      </c>
      <c r="B720" s="14">
        <v>37185.9</v>
      </c>
    </row>
    <row r="721" spans="1:2" ht="16" x14ac:dyDescent="0.2">
      <c r="A721" s="11" t="s">
        <v>544</v>
      </c>
      <c r="B721" s="14">
        <v>37318.400000000001</v>
      </c>
    </row>
    <row r="722" spans="1:2" ht="16" x14ac:dyDescent="0.2">
      <c r="A722" s="11" t="s">
        <v>545</v>
      </c>
      <c r="B722" s="14">
        <v>37064.9</v>
      </c>
    </row>
    <row r="723" spans="1:2" ht="16" x14ac:dyDescent="0.2">
      <c r="A723" s="11" t="s">
        <v>546</v>
      </c>
      <c r="B723" s="14">
        <v>37198.300000000003</v>
      </c>
    </row>
    <row r="724" spans="1:2" ht="16" x14ac:dyDescent="0.2">
      <c r="A724" s="11" t="s">
        <v>547</v>
      </c>
      <c r="B724" s="14">
        <v>37198.300000000003</v>
      </c>
    </row>
    <row r="725" spans="1:2" ht="16" x14ac:dyDescent="0.2">
      <c r="A725" s="11" t="s">
        <v>548</v>
      </c>
      <c r="B725" s="14">
        <v>37198.300000000003</v>
      </c>
    </row>
    <row r="726" spans="1:2" ht="16" x14ac:dyDescent="0.2">
      <c r="A726" s="11" t="s">
        <v>549</v>
      </c>
      <c r="B726" s="14">
        <v>37007.300000000003</v>
      </c>
    </row>
    <row r="727" spans="1:2" ht="16" x14ac:dyDescent="0.2">
      <c r="A727" s="12" t="s">
        <v>550</v>
      </c>
      <c r="B727" s="15">
        <v>37126.9</v>
      </c>
    </row>
    <row r="728" spans="1:2" x14ac:dyDescent="0.2">
      <c r="A728" s="10">
        <v>45296</v>
      </c>
      <c r="B728" s="17">
        <v>36898.9</v>
      </c>
    </row>
    <row r="729" spans="1:2" x14ac:dyDescent="0.2">
      <c r="A729" s="10">
        <v>45327</v>
      </c>
      <c r="B729" s="17">
        <v>37437.9</v>
      </c>
    </row>
    <row r="730" spans="1:2" x14ac:dyDescent="0.2">
      <c r="A730" s="10">
        <v>45356</v>
      </c>
      <c r="B730" s="17">
        <v>37146.400000000001</v>
      </c>
    </row>
    <row r="731" spans="1:2" x14ac:dyDescent="0.2">
      <c r="A731" s="10">
        <v>45448</v>
      </c>
      <c r="B731" s="17">
        <v>36890.800000000003</v>
      </c>
    </row>
    <row r="732" spans="1:2" x14ac:dyDescent="0.2">
      <c r="A732" s="10">
        <v>45478</v>
      </c>
      <c r="B732" s="17">
        <v>37075.5</v>
      </c>
    </row>
    <row r="733" spans="1:2" x14ac:dyDescent="0.2">
      <c r="A733" s="10">
        <v>45509</v>
      </c>
      <c r="B733" s="17">
        <v>36938.1</v>
      </c>
    </row>
    <row r="734" spans="1:2" x14ac:dyDescent="0.2">
      <c r="A734" s="10">
        <v>45540</v>
      </c>
      <c r="B734" s="17">
        <v>36917.199999999997</v>
      </c>
    </row>
    <row r="735" spans="1:2" x14ac:dyDescent="0.2">
      <c r="A735" s="10">
        <v>45570</v>
      </c>
      <c r="B735" s="17">
        <v>36675.300000000003</v>
      </c>
    </row>
    <row r="736" spans="1:2" x14ac:dyDescent="0.2">
      <c r="A736" s="10" t="s">
        <v>551</v>
      </c>
      <c r="B736" s="17">
        <v>36726.6</v>
      </c>
    </row>
    <row r="737" spans="1:2" x14ac:dyDescent="0.2">
      <c r="A737" s="10" t="s">
        <v>552</v>
      </c>
      <c r="B737" s="17">
        <v>37147.699999999997</v>
      </c>
    </row>
    <row r="738" spans="1:2" x14ac:dyDescent="0.2">
      <c r="A738" s="10" t="s">
        <v>553</v>
      </c>
      <c r="B738" s="17">
        <v>37162.800000000003</v>
      </c>
    </row>
    <row r="739" spans="1:2" x14ac:dyDescent="0.2">
      <c r="A739" s="10" t="s">
        <v>554</v>
      </c>
      <c r="B739" s="17">
        <v>37501.5</v>
      </c>
    </row>
    <row r="740" spans="1:2" x14ac:dyDescent="0.2">
      <c r="A740" s="10" t="s">
        <v>555</v>
      </c>
      <c r="B740" s="17">
        <v>37920.800000000003</v>
      </c>
    </row>
    <row r="741" spans="1:2" x14ac:dyDescent="0.2">
      <c r="A741" s="10" t="s">
        <v>556</v>
      </c>
      <c r="B741" s="17">
        <v>37936.5</v>
      </c>
    </row>
    <row r="742" spans="1:2" x14ac:dyDescent="0.2">
      <c r="A742" s="10" t="s">
        <v>557</v>
      </c>
      <c r="B742" s="17">
        <v>38077.199999999997</v>
      </c>
    </row>
    <row r="743" spans="1:2" x14ac:dyDescent="0.2">
      <c r="A743" s="10" t="s">
        <v>558</v>
      </c>
      <c r="B743" s="17">
        <v>37985.800000000003</v>
      </c>
    </row>
    <row r="744" spans="1:2" x14ac:dyDescent="0.2">
      <c r="A744" s="10" t="s">
        <v>559</v>
      </c>
      <c r="B744" s="17">
        <v>37706.800000000003</v>
      </c>
    </row>
    <row r="745" spans="1:2" x14ac:dyDescent="0.2">
      <c r="A745" s="10" t="s">
        <v>560</v>
      </c>
      <c r="B745" s="17">
        <v>37836.699999999997</v>
      </c>
    </row>
    <row r="746" spans="1:2" x14ac:dyDescent="0.2">
      <c r="A746" s="10" t="s">
        <v>561</v>
      </c>
      <c r="B746" s="17">
        <v>37773.4</v>
      </c>
    </row>
    <row r="747" spans="1:2" x14ac:dyDescent="0.2">
      <c r="A747" s="10" t="s">
        <v>562</v>
      </c>
      <c r="B747" s="17">
        <v>37715.800000000003</v>
      </c>
    </row>
    <row r="748" spans="1:2" x14ac:dyDescent="0.2">
      <c r="A748" s="10" t="s">
        <v>563</v>
      </c>
      <c r="B748" s="17">
        <v>37459.5</v>
      </c>
    </row>
    <row r="749" spans="1:2" x14ac:dyDescent="0.2">
      <c r="A749" s="10" t="s">
        <v>564</v>
      </c>
      <c r="B749" s="17">
        <v>37812.5</v>
      </c>
    </row>
    <row r="750" spans="1:2" x14ac:dyDescent="0.2">
      <c r="A750" s="10" t="s">
        <v>565</v>
      </c>
      <c r="B750" s="17">
        <v>38052.199999999997</v>
      </c>
    </row>
    <row r="751" spans="1:2" x14ac:dyDescent="0.2">
      <c r="A751" s="10">
        <v>45357</v>
      </c>
      <c r="B751" s="17">
        <v>38137.4</v>
      </c>
    </row>
    <row r="752" spans="1:2" x14ac:dyDescent="0.2">
      <c r="A752" s="10">
        <v>45388</v>
      </c>
      <c r="B752" s="17">
        <v>37781.199999999997</v>
      </c>
    </row>
    <row r="753" spans="1:2" x14ac:dyDescent="0.2">
      <c r="A753" s="10">
        <v>45418</v>
      </c>
      <c r="B753" s="17">
        <v>37530.800000000003</v>
      </c>
    </row>
    <row r="754" spans="1:2" x14ac:dyDescent="0.2">
      <c r="A754" s="10">
        <v>45449</v>
      </c>
      <c r="B754" s="17">
        <v>37558</v>
      </c>
    </row>
    <row r="755" spans="1:2" x14ac:dyDescent="0.2">
      <c r="A755" s="10">
        <v>45479</v>
      </c>
      <c r="B755" s="17">
        <v>37781.4</v>
      </c>
    </row>
    <row r="756" spans="1:2" x14ac:dyDescent="0.2">
      <c r="A756" s="10">
        <v>45571</v>
      </c>
      <c r="B756" s="17">
        <v>37866.5</v>
      </c>
    </row>
    <row r="757" spans="1:2" x14ac:dyDescent="0.2">
      <c r="A757" s="10">
        <v>45602</v>
      </c>
      <c r="B757" s="17">
        <v>37406.300000000003</v>
      </c>
    </row>
    <row r="758" spans="1:2" x14ac:dyDescent="0.2">
      <c r="A758" s="10">
        <v>45632</v>
      </c>
      <c r="B758" s="17">
        <v>36526.9</v>
      </c>
    </row>
    <row r="759" spans="1:2" x14ac:dyDescent="0.2">
      <c r="A759" s="10" t="s">
        <v>566</v>
      </c>
      <c r="B759" s="17">
        <v>36716.6</v>
      </c>
    </row>
    <row r="760" spans="1:2" x14ac:dyDescent="0.2">
      <c r="A760" s="10" t="s">
        <v>567</v>
      </c>
      <c r="B760" s="17">
        <v>37177.5</v>
      </c>
    </row>
    <row r="761" spans="1:2" x14ac:dyDescent="0.2">
      <c r="A761" s="10" t="s">
        <v>568</v>
      </c>
      <c r="B761" s="17">
        <v>37373.300000000003</v>
      </c>
    </row>
    <row r="762" spans="1:2" x14ac:dyDescent="0.2">
      <c r="A762" s="10" t="s">
        <v>569</v>
      </c>
      <c r="B762" s="17">
        <v>37306.1</v>
      </c>
    </row>
    <row r="763" spans="1:2" x14ac:dyDescent="0.2">
      <c r="A763" s="10" t="s">
        <v>570</v>
      </c>
      <c r="B763" s="17">
        <v>37253.599999999999</v>
      </c>
    </row>
    <row r="764" spans="1:2" x14ac:dyDescent="0.2">
      <c r="A764" s="10" t="s">
        <v>571</v>
      </c>
      <c r="B764" s="17">
        <v>37080.6</v>
      </c>
    </row>
    <row r="765" spans="1:2" x14ac:dyDescent="0.2">
      <c r="A765" s="10" t="s">
        <v>572</v>
      </c>
      <c r="B765" s="17">
        <v>36781.300000000003</v>
      </c>
    </row>
    <row r="766" spans="1:2" x14ac:dyDescent="0.2">
      <c r="A766" s="10" t="s">
        <v>573</v>
      </c>
      <c r="B766" s="17">
        <v>37160</v>
      </c>
    </row>
    <row r="767" spans="1:2" x14ac:dyDescent="0.2">
      <c r="A767" s="10" t="s">
        <v>574</v>
      </c>
      <c r="B767" s="17">
        <v>37180.9</v>
      </c>
    </row>
    <row r="768" spans="1:2" x14ac:dyDescent="0.2">
      <c r="A768" s="10" t="s">
        <v>575</v>
      </c>
      <c r="B768" s="17">
        <v>37370.9</v>
      </c>
    </row>
    <row r="769" spans="1:2" x14ac:dyDescent="0.2">
      <c r="A769" s="10" t="s">
        <v>576</v>
      </c>
      <c r="B769" s="17">
        <v>36880.400000000001</v>
      </c>
    </row>
    <row r="770" spans="1:2" x14ac:dyDescent="0.2">
      <c r="A770" s="10" t="s">
        <v>577</v>
      </c>
      <c r="B770" s="17">
        <v>36359.9</v>
      </c>
    </row>
    <row r="771" spans="1:2" x14ac:dyDescent="0.2">
      <c r="A771" s="10">
        <v>45298</v>
      </c>
      <c r="B771" s="17">
        <v>36489.599999999999</v>
      </c>
    </row>
    <row r="772" spans="1:2" x14ac:dyDescent="0.2">
      <c r="A772" s="10">
        <v>45329</v>
      </c>
      <c r="B772" s="17">
        <v>36079.9</v>
      </c>
    </row>
    <row r="773" spans="1:2" x14ac:dyDescent="0.2">
      <c r="A773" s="10">
        <v>45358</v>
      </c>
      <c r="B773" s="17">
        <v>36045.199999999997</v>
      </c>
    </row>
    <row r="774" spans="1:2" x14ac:dyDescent="0.2">
      <c r="A774" s="10">
        <v>45389</v>
      </c>
      <c r="B774" s="17">
        <v>36135.699999999997</v>
      </c>
    </row>
    <row r="775" spans="1:2" x14ac:dyDescent="0.2">
      <c r="A775" s="10">
        <v>45419</v>
      </c>
      <c r="B775" s="17">
        <v>36228</v>
      </c>
    </row>
    <row r="776" spans="1:2" x14ac:dyDescent="0.2">
      <c r="A776" s="10">
        <v>45511</v>
      </c>
      <c r="B776" s="17">
        <v>36544.5</v>
      </c>
    </row>
    <row r="777" spans="1:2" x14ac:dyDescent="0.2">
      <c r="A777" s="10">
        <v>45542</v>
      </c>
      <c r="B777" s="17">
        <v>36674.300000000003</v>
      </c>
    </row>
    <row r="778" spans="1:2" x14ac:dyDescent="0.2">
      <c r="A778" s="10">
        <v>45572</v>
      </c>
      <c r="B778" s="17">
        <v>36827.599999999999</v>
      </c>
    </row>
    <row r="779" spans="1:2" x14ac:dyDescent="0.2">
      <c r="A779" s="10">
        <v>45603</v>
      </c>
      <c r="B779" s="17">
        <v>36283.4</v>
      </c>
    </row>
    <row r="780" spans="1:2" x14ac:dyDescent="0.2">
      <c r="A780" s="10">
        <v>45633</v>
      </c>
      <c r="B780" s="17">
        <v>35977.800000000003</v>
      </c>
    </row>
    <row r="781" spans="1:2" x14ac:dyDescent="0.2">
      <c r="A781" s="10" t="s">
        <v>578</v>
      </c>
      <c r="B781" s="17">
        <v>35856.5</v>
      </c>
    </row>
    <row r="782" spans="1:2" x14ac:dyDescent="0.2">
      <c r="A782" s="10" t="s">
        <v>579</v>
      </c>
      <c r="B782" s="17">
        <v>35669.599999999999</v>
      </c>
    </row>
    <row r="783" spans="1:2" x14ac:dyDescent="0.2">
      <c r="A783" s="10" t="s">
        <v>580</v>
      </c>
      <c r="B783" s="17">
        <v>36233.699999999997</v>
      </c>
    </row>
    <row r="784" spans="1:2" x14ac:dyDescent="0.2">
      <c r="A784" s="10" t="s">
        <v>581</v>
      </c>
      <c r="B784" s="17">
        <v>36853.4</v>
      </c>
    </row>
    <row r="785" spans="1:2" x14ac:dyDescent="0.2">
      <c r="A785" s="10" t="s">
        <v>582</v>
      </c>
      <c r="B785" s="17">
        <v>36817.599999999999</v>
      </c>
    </row>
    <row r="786" spans="1:2" x14ac:dyDescent="0.2">
      <c r="A786" s="10" t="s">
        <v>583</v>
      </c>
      <c r="B786" s="17">
        <v>36784.6</v>
      </c>
    </row>
    <row r="787" spans="1:2" x14ac:dyDescent="0.2">
      <c r="A787" s="10" t="s">
        <v>584</v>
      </c>
      <c r="B787" s="17">
        <v>36756.6</v>
      </c>
    </row>
    <row r="788" spans="1:2" x14ac:dyDescent="0.2">
      <c r="A788" s="10" t="s">
        <v>585</v>
      </c>
      <c r="B788" s="17">
        <v>37316.199999999997</v>
      </c>
    </row>
    <row r="789" spans="1:2" x14ac:dyDescent="0.2">
      <c r="A789" s="10" t="s">
        <v>586</v>
      </c>
      <c r="B789" s="17">
        <v>37768.6</v>
      </c>
    </row>
    <row r="790" spans="1:2" x14ac:dyDescent="0.2">
      <c r="A790" s="10" t="s">
        <v>587</v>
      </c>
      <c r="B790" s="17">
        <v>38153.1</v>
      </c>
    </row>
    <row r="791" spans="1:2" x14ac:dyDescent="0.2">
      <c r="A791" s="10" t="s">
        <v>588</v>
      </c>
      <c r="B791" s="17">
        <v>38069.4</v>
      </c>
    </row>
    <row r="792" spans="1:2" x14ac:dyDescent="0.2">
      <c r="A792" s="10" t="s">
        <v>589</v>
      </c>
      <c r="B792" s="17">
        <v>37951</v>
      </c>
    </row>
    <row r="793" spans="1:2" x14ac:dyDescent="0.2">
      <c r="A793" s="10" t="s">
        <v>590</v>
      </c>
      <c r="B793" s="17">
        <v>36870.9</v>
      </c>
    </row>
    <row r="794" spans="1:2" x14ac:dyDescent="0.2">
      <c r="A794" s="10">
        <v>45299</v>
      </c>
      <c r="B794" s="17">
        <v>37165.9</v>
      </c>
    </row>
    <row r="795" spans="1:2" x14ac:dyDescent="0.2">
      <c r="A795" s="10">
        <v>45330</v>
      </c>
      <c r="B795" s="17">
        <v>37795.599999999999</v>
      </c>
    </row>
    <row r="796" spans="1:2" x14ac:dyDescent="0.2">
      <c r="A796" s="10">
        <v>45420</v>
      </c>
      <c r="B796" s="17">
        <v>37481.300000000003</v>
      </c>
    </row>
    <row r="797" spans="1:2" x14ac:dyDescent="0.2">
      <c r="A797" s="10">
        <v>45451</v>
      </c>
      <c r="B797" s="17">
        <v>37723.1</v>
      </c>
    </row>
    <row r="798" spans="1:2" x14ac:dyDescent="0.2">
      <c r="A798" s="10">
        <v>45481</v>
      </c>
      <c r="B798" s="17">
        <v>37797.199999999997</v>
      </c>
    </row>
    <row r="799" spans="1:2" x14ac:dyDescent="0.2">
      <c r="A799" s="10">
        <v>45512</v>
      </c>
      <c r="B799" s="17">
        <v>37991.9</v>
      </c>
    </row>
    <row r="800" spans="1:2" x14ac:dyDescent="0.2">
      <c r="A800" s="10">
        <v>45543</v>
      </c>
      <c r="B800" s="17">
        <v>37819.1</v>
      </c>
    </row>
    <row r="801" spans="1:2" x14ac:dyDescent="0.2">
      <c r="A801" s="10">
        <v>45634</v>
      </c>
      <c r="B801" s="17">
        <v>38274.800000000003</v>
      </c>
    </row>
    <row r="802" spans="1:2" x14ac:dyDescent="0.2">
      <c r="A802" s="10" t="s">
        <v>591</v>
      </c>
      <c r="B802" s="17">
        <v>37855.699999999997</v>
      </c>
    </row>
    <row r="803" spans="1:2" x14ac:dyDescent="0.2">
      <c r="A803" s="10" t="s">
        <v>592</v>
      </c>
      <c r="B803" s="17">
        <v>37946.1</v>
      </c>
    </row>
    <row r="804" spans="1:2" x14ac:dyDescent="0.2">
      <c r="A804" s="10" t="s">
        <v>593</v>
      </c>
      <c r="B804" s="17">
        <v>37738.1</v>
      </c>
    </row>
    <row r="805" spans="1:2" x14ac:dyDescent="0.2">
      <c r="A805" s="10" t="s">
        <v>594</v>
      </c>
      <c r="B805" s="17">
        <v>37928.300000000003</v>
      </c>
    </row>
    <row r="806" spans="1:2" x14ac:dyDescent="0.2">
      <c r="A806" s="10" t="s">
        <v>595</v>
      </c>
      <c r="B806" s="17">
        <v>37787.199999999997</v>
      </c>
    </row>
    <row r="807" spans="1:2" x14ac:dyDescent="0.2">
      <c r="A807" s="10" t="s">
        <v>596</v>
      </c>
      <c r="B807" s="17">
        <v>37485.800000000003</v>
      </c>
    </row>
    <row r="808" spans="1:2" x14ac:dyDescent="0.2">
      <c r="A808" s="10" t="s">
        <v>597</v>
      </c>
      <c r="B808" s="17">
        <v>37451.199999999997</v>
      </c>
    </row>
    <row r="809" spans="1:2" x14ac:dyDescent="0.2">
      <c r="A809" s="10" t="s">
        <v>598</v>
      </c>
      <c r="B809" s="17">
        <v>37412.199999999997</v>
      </c>
    </row>
    <row r="810" spans="1:2" x14ac:dyDescent="0.2">
      <c r="A810" s="10" t="s">
        <v>599</v>
      </c>
      <c r="B810" s="17">
        <v>37437</v>
      </c>
    </row>
    <row r="811" spans="1:2" x14ac:dyDescent="0.2">
      <c r="A811" s="10" t="s">
        <v>600</v>
      </c>
      <c r="B811" s="17">
        <v>37421</v>
      </c>
    </row>
    <row r="812" spans="1:2" x14ac:dyDescent="0.2">
      <c r="A812" s="10" t="s">
        <v>601</v>
      </c>
      <c r="B812" s="17">
        <v>37556.699999999997</v>
      </c>
    </row>
    <row r="813" spans="1:2" x14ac:dyDescent="0.2">
      <c r="A813" s="10" t="s">
        <v>602</v>
      </c>
      <c r="B813" s="17">
        <v>37695.800000000003</v>
      </c>
    </row>
    <row r="814" spans="1:2" x14ac:dyDescent="0.2">
      <c r="A814" s="10" t="s">
        <v>603</v>
      </c>
      <c r="B814" s="17">
        <v>37513.199999999997</v>
      </c>
    </row>
    <row r="815" spans="1:2" x14ac:dyDescent="0.2">
      <c r="A815" s="10" t="s">
        <v>604</v>
      </c>
      <c r="B815" s="17">
        <v>37531.5</v>
      </c>
    </row>
    <row r="816" spans="1:2" x14ac:dyDescent="0.2">
      <c r="A816" s="10">
        <v>45331</v>
      </c>
      <c r="B816" s="17">
        <v>37686.800000000003</v>
      </c>
    </row>
    <row r="817" spans="1:2" x14ac:dyDescent="0.2">
      <c r="A817" s="10">
        <v>45360</v>
      </c>
      <c r="B817" s="17">
        <v>38081.5</v>
      </c>
    </row>
    <row r="818" spans="1:2" x14ac:dyDescent="0.2">
      <c r="A818" s="10">
        <v>45391</v>
      </c>
      <c r="B818" s="17">
        <v>38267.300000000003</v>
      </c>
    </row>
    <row r="819" spans="1:2" x14ac:dyDescent="0.2">
      <c r="A819" s="10">
        <v>45421</v>
      </c>
      <c r="B819" s="17">
        <v>38388.5</v>
      </c>
    </row>
    <row r="820" spans="1:2" x14ac:dyDescent="0.2">
      <c r="A820" s="10">
        <v>45452</v>
      </c>
      <c r="B820" s="17">
        <v>38546.5</v>
      </c>
    </row>
    <row r="821" spans="1:2" x14ac:dyDescent="0.2">
      <c r="A821" s="10">
        <v>45544</v>
      </c>
      <c r="B821" s="17">
        <v>38339.1</v>
      </c>
    </row>
    <row r="822" spans="1:2" x14ac:dyDescent="0.2">
      <c r="A822" s="10">
        <v>45574</v>
      </c>
      <c r="B822" s="17">
        <v>38341.4</v>
      </c>
    </row>
    <row r="823" spans="1:2" x14ac:dyDescent="0.2">
      <c r="A823" s="10">
        <v>45605</v>
      </c>
      <c r="B823" s="17">
        <v>37624.300000000003</v>
      </c>
    </row>
    <row r="824" spans="1:2" x14ac:dyDescent="0.2">
      <c r="A824" s="10">
        <v>45635</v>
      </c>
      <c r="B824" s="17">
        <v>37745.300000000003</v>
      </c>
    </row>
    <row r="825" spans="1:2" x14ac:dyDescent="0.2">
      <c r="A825" s="10" t="s">
        <v>605</v>
      </c>
      <c r="B825" s="17">
        <v>37169.1</v>
      </c>
    </row>
    <row r="826" spans="1:2" x14ac:dyDescent="0.2">
      <c r="A826" s="10" t="s">
        <v>606</v>
      </c>
      <c r="B826" s="17">
        <v>37039.9</v>
      </c>
    </row>
    <row r="827" spans="1:2" x14ac:dyDescent="0.2">
      <c r="A827" s="10" t="s">
        <v>607</v>
      </c>
      <c r="B827" s="17">
        <v>36525.5</v>
      </c>
    </row>
    <row r="828" spans="1:2" x14ac:dyDescent="0.2">
      <c r="A828" s="10" t="s">
        <v>608</v>
      </c>
      <c r="B828" s="17">
        <v>36416.199999999997</v>
      </c>
    </row>
    <row r="829" spans="1:2" x14ac:dyDescent="0.2">
      <c r="A829" s="10" t="s">
        <v>609</v>
      </c>
      <c r="B829" s="17">
        <v>35962.699999999997</v>
      </c>
    </row>
    <row r="830" spans="1:2" x14ac:dyDescent="0.2">
      <c r="A830" s="10" t="s">
        <v>610</v>
      </c>
      <c r="B830" s="17">
        <v>35729.4</v>
      </c>
    </row>
    <row r="831" spans="1:2" x14ac:dyDescent="0.2">
      <c r="A831" s="10" t="s">
        <v>611</v>
      </c>
      <c r="B831" s="17">
        <v>35614.300000000003</v>
      </c>
    </row>
    <row r="832" spans="1:2" x14ac:dyDescent="0.2">
      <c r="A832" s="10" t="s">
        <v>612</v>
      </c>
      <c r="B832" s="17">
        <v>35803.300000000003</v>
      </c>
    </row>
    <row r="833" spans="1:2" x14ac:dyDescent="0.2">
      <c r="A833" s="10" t="s">
        <v>613</v>
      </c>
      <c r="B833" s="17">
        <v>35579.9</v>
      </c>
    </row>
    <row r="834" spans="1:2" x14ac:dyDescent="0.2">
      <c r="A834" s="10" t="s">
        <v>614</v>
      </c>
      <c r="B834" s="17">
        <v>35531.699999999997</v>
      </c>
    </row>
    <row r="835" spans="1:2" x14ac:dyDescent="0.2">
      <c r="A835" s="10" t="s">
        <v>615</v>
      </c>
      <c r="B835" s="17">
        <v>35054.6</v>
      </c>
    </row>
    <row r="836" spans="1:2" x14ac:dyDescent="0.2">
      <c r="A836" s="10" t="s">
        <v>616</v>
      </c>
      <c r="B836" s="17">
        <v>35140.199999999997</v>
      </c>
    </row>
    <row r="837" spans="1:2" x14ac:dyDescent="0.2">
      <c r="A837" s="10">
        <v>45301</v>
      </c>
      <c r="B837" s="17">
        <v>35416.9</v>
      </c>
    </row>
    <row r="838" spans="1:2" x14ac:dyDescent="0.2">
      <c r="A838" s="10">
        <v>45332</v>
      </c>
      <c r="B838" s="17">
        <v>35454.300000000003</v>
      </c>
    </row>
    <row r="839" spans="1:2" x14ac:dyDescent="0.2">
      <c r="A839" s="10">
        <v>45361</v>
      </c>
      <c r="B839" s="17">
        <v>35427.199999999997</v>
      </c>
    </row>
    <row r="840" spans="1:2" x14ac:dyDescent="0.2">
      <c r="A840" s="10">
        <v>45392</v>
      </c>
      <c r="B840" s="17">
        <v>35623.5</v>
      </c>
    </row>
    <row r="841" spans="1:2" x14ac:dyDescent="0.2">
      <c r="A841" s="10">
        <v>45483</v>
      </c>
      <c r="B841" s="17">
        <v>35851.300000000003</v>
      </c>
    </row>
    <row r="842" spans="1:2" x14ac:dyDescent="0.2">
      <c r="A842" s="10">
        <v>45514</v>
      </c>
      <c r="B842" s="17">
        <v>35901.199999999997</v>
      </c>
    </row>
    <row r="843" spans="1:2" x14ac:dyDescent="0.2">
      <c r="A843" s="10">
        <v>45545</v>
      </c>
      <c r="B843" s="17">
        <v>35714.1</v>
      </c>
    </row>
    <row r="844" spans="1:2" x14ac:dyDescent="0.2">
      <c r="A844" s="10">
        <v>45575</v>
      </c>
      <c r="B844" s="17">
        <v>36061.599999999999</v>
      </c>
    </row>
    <row r="845" spans="1:2" x14ac:dyDescent="0.2">
      <c r="A845" s="10">
        <v>45606</v>
      </c>
      <c r="B845" s="17">
        <v>36136.9</v>
      </c>
    </row>
    <row r="846" spans="1:2" x14ac:dyDescent="0.2">
      <c r="A846" s="10" t="s">
        <v>617</v>
      </c>
      <c r="B846" s="17">
        <v>36120.1</v>
      </c>
    </row>
    <row r="847" spans="1:2" x14ac:dyDescent="0.2">
      <c r="A847" s="10" t="s">
        <v>618</v>
      </c>
      <c r="B847" s="17">
        <v>36290.199999999997</v>
      </c>
    </row>
    <row r="848" spans="1:2" x14ac:dyDescent="0.2">
      <c r="A848" s="10" t="s">
        <v>619</v>
      </c>
      <c r="B848" s="17">
        <v>36465.800000000003</v>
      </c>
    </row>
    <row r="849" spans="1:2" x14ac:dyDescent="0.2">
      <c r="A849" s="10" t="s">
        <v>620</v>
      </c>
      <c r="B849" s="17">
        <v>36768.800000000003</v>
      </c>
    </row>
    <row r="850" spans="1:2" x14ac:dyDescent="0.2">
      <c r="A850" s="10" t="s">
        <v>621</v>
      </c>
      <c r="B850" s="17">
        <v>36918.300000000003</v>
      </c>
    </row>
    <row r="851" spans="1:2" x14ac:dyDescent="0.2">
      <c r="A851" s="10" t="s">
        <v>622</v>
      </c>
      <c r="B851" s="17">
        <v>37055.300000000003</v>
      </c>
    </row>
    <row r="852" spans="1:2" x14ac:dyDescent="0.2">
      <c r="A852" s="10" t="s">
        <v>623</v>
      </c>
      <c r="B852" s="17">
        <v>37431.800000000003</v>
      </c>
    </row>
    <row r="853" spans="1:2" x14ac:dyDescent="0.2">
      <c r="A853" s="10" t="s">
        <v>624</v>
      </c>
      <c r="B853" s="17">
        <v>37377.300000000003</v>
      </c>
    </row>
    <row r="854" spans="1:2" x14ac:dyDescent="0.2">
      <c r="A854" s="10" t="s">
        <v>625</v>
      </c>
      <c r="B854" s="17">
        <v>36884.9</v>
      </c>
    </row>
    <row r="855" spans="1:2" x14ac:dyDescent="0.2">
      <c r="A855" s="10" t="s">
        <v>626</v>
      </c>
      <c r="B855" s="17">
        <v>36334.400000000001</v>
      </c>
    </row>
    <row r="856" spans="1:2" x14ac:dyDescent="0.2">
      <c r="A856" s="10" t="s">
        <v>627</v>
      </c>
      <c r="B856" s="17">
        <v>36999.9</v>
      </c>
    </row>
    <row r="857" spans="1:2" x14ac:dyDescent="0.2">
      <c r="A857" s="10" t="s">
        <v>628</v>
      </c>
      <c r="B857" s="17">
        <v>37378.5</v>
      </c>
    </row>
    <row r="858" spans="1:2" x14ac:dyDescent="0.2">
      <c r="A858" s="10" t="s">
        <v>629</v>
      </c>
      <c r="B858" s="17">
        <v>37661.599999999999</v>
      </c>
    </row>
    <row r="859" spans="1:2" x14ac:dyDescent="0.2">
      <c r="A859" s="10" t="s">
        <v>630</v>
      </c>
      <c r="B859" s="17">
        <v>38148.300000000003</v>
      </c>
    </row>
    <row r="860" spans="1:2" x14ac:dyDescent="0.2">
      <c r="A860" s="10">
        <v>45302</v>
      </c>
      <c r="B860" s="17">
        <v>38241</v>
      </c>
    </row>
    <row r="861" spans="1:2" x14ac:dyDescent="0.2">
      <c r="A861" s="10">
        <v>45393</v>
      </c>
      <c r="B861" s="17">
        <v>38498.9</v>
      </c>
    </row>
    <row r="862" spans="1:2" x14ac:dyDescent="0.2">
      <c r="A862" s="10">
        <v>45423</v>
      </c>
      <c r="B862" s="17">
        <v>38656.199999999997</v>
      </c>
    </row>
    <row r="863" spans="1:2" x14ac:dyDescent="0.2">
      <c r="A863" s="10">
        <v>45454</v>
      </c>
      <c r="B863" s="17">
        <v>38485.199999999997</v>
      </c>
    </row>
    <row r="864" spans="1:2" x14ac:dyDescent="0.2">
      <c r="A864" s="10">
        <v>45484</v>
      </c>
      <c r="B864" s="17">
        <v>38542.1</v>
      </c>
    </row>
    <row r="865" spans="1:2" x14ac:dyDescent="0.2">
      <c r="A865" s="10">
        <v>45515</v>
      </c>
      <c r="B865" s="17">
        <v>39163.9</v>
      </c>
    </row>
    <row r="866" spans="1:2" x14ac:dyDescent="0.2">
      <c r="A866" s="10">
        <v>45607</v>
      </c>
      <c r="B866" s="17">
        <v>39226.699999999997</v>
      </c>
    </row>
    <row r="867" spans="1:2" x14ac:dyDescent="0.2">
      <c r="A867" s="10">
        <v>45637</v>
      </c>
      <c r="B867" s="17">
        <v>39525</v>
      </c>
    </row>
    <row r="868" spans="1:2" x14ac:dyDescent="0.2">
      <c r="A868" s="10" t="s">
        <v>631</v>
      </c>
      <c r="B868" s="17">
        <v>39494.6</v>
      </c>
    </row>
    <row r="869" spans="1:2" x14ac:dyDescent="0.2">
      <c r="A869" s="10" t="s">
        <v>632</v>
      </c>
      <c r="B869" s="17">
        <v>39821.1</v>
      </c>
    </row>
    <row r="870" spans="1:2" x14ac:dyDescent="0.2">
      <c r="A870" s="10" t="s">
        <v>633</v>
      </c>
      <c r="B870" s="17">
        <v>40027.699999999997</v>
      </c>
    </row>
    <row r="871" spans="1:2" x14ac:dyDescent="0.2">
      <c r="A871" s="10" t="s">
        <v>634</v>
      </c>
      <c r="B871" s="17">
        <v>40435</v>
      </c>
    </row>
    <row r="872" spans="1:2" x14ac:dyDescent="0.2">
      <c r="A872" s="10" t="s">
        <v>635</v>
      </c>
      <c r="B872" s="17">
        <v>40531.4</v>
      </c>
    </row>
    <row r="873" spans="1:2" x14ac:dyDescent="0.2">
      <c r="A873" s="10" t="s">
        <v>636</v>
      </c>
      <c r="B873" s="17">
        <v>40746.699999999997</v>
      </c>
    </row>
    <row r="874" spans="1:2" x14ac:dyDescent="0.2">
      <c r="A874" s="10" t="s">
        <v>637</v>
      </c>
      <c r="B874" s="17">
        <v>40796.400000000001</v>
      </c>
    </row>
    <row r="875" spans="1:2" x14ac:dyDescent="0.2">
      <c r="A875" s="10" t="s">
        <v>638</v>
      </c>
      <c r="B875" s="17">
        <v>40289.199999999997</v>
      </c>
    </row>
    <row r="876" spans="1:2" x14ac:dyDescent="0.2">
      <c r="A876" s="10" t="s">
        <v>639</v>
      </c>
      <c r="B876" s="17">
        <v>40006.080000000002</v>
      </c>
    </row>
    <row r="877" spans="1:2" x14ac:dyDescent="0.2">
      <c r="A877" s="10" t="s">
        <v>640</v>
      </c>
      <c r="B877" s="17">
        <v>39796.92</v>
      </c>
    </row>
    <row r="878" spans="1:2" x14ac:dyDescent="0.2">
      <c r="A878" s="10" t="s">
        <v>641</v>
      </c>
      <c r="B878" s="17">
        <v>39809.21</v>
      </c>
    </row>
    <row r="879" spans="1:2" x14ac:dyDescent="0.2">
      <c r="A879" s="10" t="s">
        <v>642</v>
      </c>
      <c r="B879" s="17">
        <v>39787.86</v>
      </c>
    </row>
    <row r="880" spans="1:2" x14ac:dyDescent="0.2">
      <c r="A880" s="10" t="s">
        <v>643</v>
      </c>
      <c r="B880" s="17">
        <v>39798.33</v>
      </c>
    </row>
    <row r="881" spans="1:2" x14ac:dyDescent="0.2">
      <c r="A881" s="10">
        <v>45334</v>
      </c>
      <c r="B881" s="17">
        <v>39623.58</v>
      </c>
    </row>
    <row r="882" spans="1:2" x14ac:dyDescent="0.2">
      <c r="A882" s="10">
        <v>45363</v>
      </c>
      <c r="B882" s="17">
        <v>39711.910000000003</v>
      </c>
    </row>
    <row r="883" spans="1:2" x14ac:dyDescent="0.2">
      <c r="A883" s="10">
        <v>45394</v>
      </c>
      <c r="B883" s="17">
        <v>39400.730000000003</v>
      </c>
    </row>
    <row r="884" spans="1:2" x14ac:dyDescent="0.2">
      <c r="A884" s="10">
        <v>45424</v>
      </c>
      <c r="B884" s="17">
        <v>40067.300000000003</v>
      </c>
    </row>
    <row r="885" spans="1:2" x14ac:dyDescent="0.2">
      <c r="A885" s="10">
        <v>45455</v>
      </c>
      <c r="B885" s="17">
        <v>39690.720000000001</v>
      </c>
    </row>
    <row r="886" spans="1:2" x14ac:dyDescent="0.2">
      <c r="A886" s="10">
        <v>45547</v>
      </c>
      <c r="B886" s="17">
        <v>39970.15</v>
      </c>
    </row>
    <row r="887" spans="1:2" x14ac:dyDescent="0.2">
      <c r="A887" s="10">
        <v>45577</v>
      </c>
      <c r="B887" s="17">
        <v>40246.120000000003</v>
      </c>
    </row>
    <row r="888" spans="1:2" x14ac:dyDescent="0.2">
      <c r="A888" s="10">
        <v>45608</v>
      </c>
      <c r="B888" s="17">
        <v>39958.97</v>
      </c>
    </row>
    <row r="889" spans="1:2" x14ac:dyDescent="0.2">
      <c r="A889" s="10">
        <v>45638</v>
      </c>
      <c r="B889" s="17">
        <v>39996.29</v>
      </c>
    </row>
    <row r="890" spans="1:2" x14ac:dyDescent="0.2">
      <c r="A890" s="10" t="s">
        <v>644</v>
      </c>
      <c r="B890" s="17">
        <v>40142.400000000001</v>
      </c>
    </row>
    <row r="891" spans="1:2" x14ac:dyDescent="0.2">
      <c r="A891" s="10" t="s">
        <v>645</v>
      </c>
      <c r="B891" s="17">
        <v>39929.65</v>
      </c>
    </row>
    <row r="892" spans="1:2" x14ac:dyDescent="0.2">
      <c r="A892" s="10" t="s">
        <v>646</v>
      </c>
      <c r="B892" s="17">
        <v>39860.49</v>
      </c>
    </row>
    <row r="893" spans="1:2" x14ac:dyDescent="0.2">
      <c r="A893" s="10" t="s">
        <v>647</v>
      </c>
      <c r="B893" s="17">
        <v>40199.410000000003</v>
      </c>
    </row>
    <row r="894" spans="1:2" x14ac:dyDescent="0.2">
      <c r="A894" s="10" t="s">
        <v>648</v>
      </c>
      <c r="B894" s="17">
        <v>40511.24</v>
      </c>
    </row>
    <row r="895" spans="1:2" x14ac:dyDescent="0.2">
      <c r="A895" s="10" t="s">
        <v>649</v>
      </c>
      <c r="B895" s="17">
        <v>40446.26</v>
      </c>
    </row>
    <row r="896" spans="1:2" x14ac:dyDescent="0.2">
      <c r="A896" s="10" t="s">
        <v>650</v>
      </c>
      <c r="B896" s="17">
        <v>40738.36</v>
      </c>
    </row>
    <row r="897" spans="1:2" x14ac:dyDescent="0.2">
      <c r="A897" s="10" t="s">
        <v>651</v>
      </c>
      <c r="B897" s="17">
        <v>40759.15</v>
      </c>
    </row>
    <row r="898" spans="1:2" x14ac:dyDescent="0.2">
      <c r="A898" s="10" t="s">
        <v>652</v>
      </c>
      <c r="B898" s="17">
        <v>40397.03</v>
      </c>
    </row>
    <row r="899" spans="1:2" x14ac:dyDescent="0.2">
      <c r="A899" s="10" t="s">
        <v>653</v>
      </c>
      <c r="B899" s="17">
        <v>40755.360000000001</v>
      </c>
    </row>
    <row r="900" spans="1:2" x14ac:dyDescent="0.2">
      <c r="A900" s="10" t="s">
        <v>654</v>
      </c>
      <c r="B900" s="17">
        <v>40845.360000000001</v>
      </c>
    </row>
    <row r="901" spans="1:2" x14ac:dyDescent="0.2">
      <c r="A901" s="10" t="s">
        <v>655</v>
      </c>
      <c r="B901" s="17">
        <v>41152.83</v>
      </c>
    </row>
    <row r="902" spans="1:2" x14ac:dyDescent="0.2">
      <c r="A902" s="10">
        <v>45689</v>
      </c>
      <c r="B902" s="17">
        <v>41007.769999999997</v>
      </c>
    </row>
    <row r="903" spans="1:2" x14ac:dyDescent="0.2">
      <c r="A903" s="10">
        <v>45717</v>
      </c>
      <c r="B903" s="17">
        <v>40850.269999999997</v>
      </c>
    </row>
    <row r="904" spans="1:2" x14ac:dyDescent="0.2">
      <c r="A904" s="10">
        <v>45809</v>
      </c>
      <c r="B904" s="17">
        <v>40801.94</v>
      </c>
    </row>
    <row r="905" spans="1:2" x14ac:dyDescent="0.2">
      <c r="A905" s="10">
        <v>45839</v>
      </c>
      <c r="B905" s="17">
        <v>40882.26</v>
      </c>
    </row>
    <row r="906" spans="1:2" x14ac:dyDescent="0.2">
      <c r="A906" s="10">
        <v>45870</v>
      </c>
      <c r="B906" s="17">
        <v>41025.19</v>
      </c>
    </row>
    <row r="907" spans="1:2" x14ac:dyDescent="0.2">
      <c r="A907" s="10">
        <v>45901</v>
      </c>
      <c r="B907" s="17">
        <v>41091.919999999998</v>
      </c>
    </row>
    <row r="908" spans="1:2" x14ac:dyDescent="0.2">
      <c r="A908" s="10">
        <v>45931</v>
      </c>
      <c r="B908" s="17">
        <v>42034.22</v>
      </c>
    </row>
    <row r="909" spans="1:2" x14ac:dyDescent="0.2">
      <c r="A909" s="10" t="s">
        <v>656</v>
      </c>
      <c r="B909" s="17">
        <v>42140.91</v>
      </c>
    </row>
    <row r="910" spans="1:2" x14ac:dyDescent="0.2">
      <c r="A910" s="10" t="s">
        <v>657</v>
      </c>
      <c r="B910" s="17">
        <v>42273.27</v>
      </c>
    </row>
    <row r="911" spans="1:2" x14ac:dyDescent="0.2">
      <c r="A911" s="10" t="s">
        <v>658</v>
      </c>
      <c r="B911" s="17">
        <v>41783.480000000003</v>
      </c>
    </row>
    <row r="912" spans="1:2" x14ac:dyDescent="0.2">
      <c r="A912" s="10" t="s">
        <v>659</v>
      </c>
      <c r="B912" s="17">
        <v>41582.449999999997</v>
      </c>
    </row>
    <row r="913" spans="1:2" x14ac:dyDescent="0.2">
      <c r="A913" s="10" t="s">
        <v>660</v>
      </c>
      <c r="B913" s="17">
        <v>41122.53</v>
      </c>
    </row>
    <row r="914" spans="1:2" x14ac:dyDescent="0.2">
      <c r="A914" s="10" t="s">
        <v>661</v>
      </c>
      <c r="B914" s="17">
        <v>40999.75</v>
      </c>
    </row>
    <row r="915" spans="1:2" x14ac:dyDescent="0.2">
      <c r="A915" s="10" t="s">
        <v>662</v>
      </c>
      <c r="B915" s="17">
        <v>40907.78</v>
      </c>
    </row>
    <row r="916" spans="1:2" x14ac:dyDescent="0.2">
      <c r="A916" s="10" t="s">
        <v>663</v>
      </c>
      <c r="B916" s="17">
        <v>40158.85</v>
      </c>
    </row>
    <row r="917" spans="1:2" x14ac:dyDescent="0.2">
      <c r="A917" s="10" t="s">
        <v>664</v>
      </c>
      <c r="B917" s="17">
        <v>39900.559999999998</v>
      </c>
    </row>
    <row r="918" spans="1:2" x14ac:dyDescent="0.2">
      <c r="A918" s="10" t="s">
        <v>665</v>
      </c>
      <c r="B918" s="17">
        <v>39950.26</v>
      </c>
    </row>
    <row r="919" spans="1:2" x14ac:dyDescent="0.2">
      <c r="A919" s="10" t="s">
        <v>666</v>
      </c>
      <c r="B919" s="17">
        <v>40434.07</v>
      </c>
    </row>
    <row r="920" spans="1:2" x14ac:dyDescent="0.2">
      <c r="A920" s="10" t="s">
        <v>667</v>
      </c>
      <c r="B920" s="17">
        <v>40062.46</v>
      </c>
    </row>
    <row r="921" spans="1:2" x14ac:dyDescent="0.2">
      <c r="A921" s="10" t="s">
        <v>668</v>
      </c>
      <c r="B921" s="17">
        <v>40581.699999999997</v>
      </c>
    </row>
    <row r="922" spans="1:2" x14ac:dyDescent="0.2">
      <c r="A922" s="10" t="s">
        <v>669</v>
      </c>
      <c r="B922" s="17">
        <v>40160.54</v>
      </c>
    </row>
    <row r="923" spans="1:2" x14ac:dyDescent="0.2">
      <c r="A923" s="10" t="s">
        <v>670</v>
      </c>
      <c r="B923" s="17">
        <v>40043.480000000003</v>
      </c>
    </row>
    <row r="924" spans="1:2" x14ac:dyDescent="0.2">
      <c r="A924" s="10">
        <v>45718</v>
      </c>
      <c r="B924" s="17">
        <v>40074.99</v>
      </c>
    </row>
    <row r="925" spans="1:2" x14ac:dyDescent="0.2">
      <c r="A925" s="10">
        <v>45749</v>
      </c>
      <c r="B925" s="17">
        <v>40304.720000000001</v>
      </c>
    </row>
    <row r="926" spans="1:2" x14ac:dyDescent="0.2">
      <c r="A926" s="10">
        <v>45779</v>
      </c>
      <c r="B926" s="17">
        <v>40148.81</v>
      </c>
    </row>
    <row r="927" spans="1:2" x14ac:dyDescent="0.2">
      <c r="A927" s="10">
        <v>45810</v>
      </c>
      <c r="B927" s="17">
        <v>39487.86</v>
      </c>
    </row>
    <row r="928" spans="1:2" x14ac:dyDescent="0.2">
      <c r="A928" s="10">
        <v>45840</v>
      </c>
      <c r="B928" s="17">
        <v>39553.54</v>
      </c>
    </row>
    <row r="929" spans="1:2" x14ac:dyDescent="0.2">
      <c r="A929" s="10">
        <v>45932</v>
      </c>
      <c r="B929" s="17">
        <v>38837.480000000003</v>
      </c>
    </row>
    <row r="930" spans="1:2" x14ac:dyDescent="0.2">
      <c r="A930" s="10">
        <v>45963</v>
      </c>
      <c r="B930" s="17">
        <v>38614.449999999997</v>
      </c>
    </row>
    <row r="931" spans="1:2" x14ac:dyDescent="0.2">
      <c r="A931" s="10">
        <v>45993</v>
      </c>
      <c r="B931" s="17">
        <v>38875.730000000003</v>
      </c>
    </row>
    <row r="932" spans="1:2" x14ac:dyDescent="0.2">
      <c r="A932" s="10" t="s">
        <v>671</v>
      </c>
      <c r="B932" s="17">
        <v>38132.870000000003</v>
      </c>
    </row>
    <row r="933" spans="1:2" x14ac:dyDescent="0.2">
      <c r="A933" s="10" t="s">
        <v>672</v>
      </c>
      <c r="B933" s="17">
        <v>38433.69</v>
      </c>
    </row>
    <row r="934" spans="1:2" x14ac:dyDescent="0.2">
      <c r="A934" s="10" t="s">
        <v>673</v>
      </c>
      <c r="B934" s="17">
        <v>39707.050000000003</v>
      </c>
    </row>
    <row r="935" spans="1:2" x14ac:dyDescent="0.2">
      <c r="A935" s="10" t="s">
        <v>674</v>
      </c>
      <c r="B935" s="17">
        <v>39030.410000000003</v>
      </c>
    </row>
    <row r="936" spans="1:2" x14ac:dyDescent="0.2">
      <c r="A936" s="10" t="s">
        <v>675</v>
      </c>
      <c r="B936" s="17">
        <v>39703.64</v>
      </c>
    </row>
    <row r="937" spans="1:2" x14ac:dyDescent="0.2">
      <c r="A937" s="10" t="s">
        <v>676</v>
      </c>
      <c r="B937" s="17">
        <v>39238.870000000003</v>
      </c>
    </row>
    <row r="938" spans="1:2" x14ac:dyDescent="0.2">
      <c r="A938" s="10" t="s">
        <v>677</v>
      </c>
      <c r="B938" s="17">
        <v>39107.230000000003</v>
      </c>
    </row>
    <row r="939" spans="1:2" x14ac:dyDescent="0.2">
      <c r="A939" s="10" t="s">
        <v>678</v>
      </c>
      <c r="B939" s="17">
        <v>39610.92</v>
      </c>
    </row>
    <row r="940" spans="1:2" x14ac:dyDescent="0.2">
      <c r="A940" s="10" t="s">
        <v>679</v>
      </c>
      <c r="B940" s="17">
        <v>39857.39</v>
      </c>
    </row>
    <row r="941" spans="1:2" x14ac:dyDescent="0.2">
      <c r="A941" s="10" t="s">
        <v>680</v>
      </c>
      <c r="B941" s="17">
        <v>40060.78</v>
      </c>
    </row>
    <row r="942" spans="1:2" x14ac:dyDescent="0.2">
      <c r="A942" s="10" t="s">
        <v>681</v>
      </c>
      <c r="B942" s="17">
        <v>40082.949999999997</v>
      </c>
    </row>
    <row r="943" spans="1:2" x14ac:dyDescent="0.2">
      <c r="A943" s="10" t="s">
        <v>682</v>
      </c>
      <c r="B943" s="17">
        <v>40293.1</v>
      </c>
    </row>
    <row r="944" spans="1:2" x14ac:dyDescent="0.2">
      <c r="A944" s="10">
        <v>45719</v>
      </c>
      <c r="B944" s="17">
        <v>40910.28</v>
      </c>
    </row>
    <row r="945" spans="1:2" x14ac:dyDescent="0.2">
      <c r="A945" s="10">
        <v>45750</v>
      </c>
      <c r="B945" s="17">
        <v>40738.5</v>
      </c>
    </row>
    <row r="946" spans="1:2" x14ac:dyDescent="0.2">
      <c r="A946" s="10">
        <v>45780</v>
      </c>
      <c r="B946" s="17">
        <v>40903.21</v>
      </c>
    </row>
    <row r="947" spans="1:2" x14ac:dyDescent="0.2">
      <c r="A947" s="10">
        <v>45811</v>
      </c>
      <c r="B947" s="17">
        <v>41165.089999999997</v>
      </c>
    </row>
    <row r="948" spans="1:2" x14ac:dyDescent="0.2">
      <c r="A948" s="10">
        <v>45841</v>
      </c>
      <c r="B948" s="17">
        <v>40843.910000000003</v>
      </c>
    </row>
    <row r="949" spans="1:2" x14ac:dyDescent="0.2">
      <c r="A949" s="10">
        <v>45933</v>
      </c>
      <c r="B949" s="17">
        <v>40570.559999999998</v>
      </c>
    </row>
    <row r="950" spans="1:2" x14ac:dyDescent="0.2">
      <c r="A950" s="10">
        <v>45964</v>
      </c>
      <c r="B950" s="17">
        <v>40603.89</v>
      </c>
    </row>
    <row r="951" spans="1:2" x14ac:dyDescent="0.2">
      <c r="A951" s="10">
        <v>45994</v>
      </c>
      <c r="B951" s="17">
        <v>40366.75</v>
      </c>
    </row>
    <row r="952" spans="1:2" x14ac:dyDescent="0.2">
      <c r="A952" s="10" t="s">
        <v>683</v>
      </c>
      <c r="B952" s="17">
        <v>40615.81</v>
      </c>
    </row>
    <row r="953" spans="1:2" x14ac:dyDescent="0.2">
      <c r="A953" s="10" t="s">
        <v>684</v>
      </c>
      <c r="B953" s="17">
        <v>40577.96</v>
      </c>
    </row>
    <row r="954" spans="1:2" x14ac:dyDescent="0.2">
      <c r="A954" s="10" t="s">
        <v>685</v>
      </c>
      <c r="B954" s="17">
        <v>40874.410000000003</v>
      </c>
    </row>
    <row r="955" spans="1:2" x14ac:dyDescent="0.2">
      <c r="A955" s="10" t="s">
        <v>686</v>
      </c>
      <c r="B955" s="17">
        <v>41376.949999999997</v>
      </c>
    </row>
    <row r="956" spans="1:2" x14ac:dyDescent="0.2">
      <c r="A956" s="10" t="s">
        <v>687</v>
      </c>
      <c r="B956" s="17">
        <v>41295.32</v>
      </c>
    </row>
    <row r="957" spans="1:2" x14ac:dyDescent="0.2">
      <c r="A957" s="10" t="s">
        <v>688</v>
      </c>
      <c r="B957" s="17">
        <v>40993.03</v>
      </c>
    </row>
    <row r="958" spans="1:2" x14ac:dyDescent="0.2">
      <c r="A958" s="10" t="s">
        <v>689</v>
      </c>
      <c r="B958" s="17">
        <v>40949.43</v>
      </c>
    </row>
    <row r="959" spans="1:2" x14ac:dyDescent="0.2">
      <c r="A959" s="10" t="s">
        <v>690</v>
      </c>
      <c r="B959" s="17">
        <v>41003.64</v>
      </c>
    </row>
    <row r="960" spans="1:2" x14ac:dyDescent="0.2">
      <c r="A960" s="10" t="s">
        <v>691</v>
      </c>
      <c r="B960" s="17">
        <v>40990.31</v>
      </c>
    </row>
    <row r="961" spans="1:2" x14ac:dyDescent="0.2">
      <c r="A961" s="10" t="s">
        <v>692</v>
      </c>
      <c r="B961" s="17">
        <v>41135.64</v>
      </c>
    </row>
    <row r="962" spans="1:2" x14ac:dyDescent="0.2">
      <c r="A962" s="10" t="s">
        <v>693</v>
      </c>
      <c r="B962" s="17">
        <v>41207.54</v>
      </c>
    </row>
    <row r="963" spans="1:2" x14ac:dyDescent="0.2">
      <c r="A963" s="10" t="s">
        <v>694</v>
      </c>
      <c r="B963" s="17">
        <v>41169.32</v>
      </c>
    </row>
    <row r="964" spans="1:2" x14ac:dyDescent="0.2">
      <c r="A964" s="10" t="s">
        <v>695</v>
      </c>
      <c r="B964" s="17">
        <v>41309.49</v>
      </c>
    </row>
    <row r="965" spans="1:2" x14ac:dyDescent="0.2">
      <c r="A965" s="10">
        <v>45661</v>
      </c>
      <c r="B965" s="17">
        <v>41277.839999999997</v>
      </c>
    </row>
    <row r="966" spans="1:2" x14ac:dyDescent="0.2">
      <c r="A966" s="10">
        <v>45692</v>
      </c>
      <c r="B966" s="17">
        <v>41144.36</v>
      </c>
    </row>
    <row r="967" spans="1:2" x14ac:dyDescent="0.2">
      <c r="A967" s="10">
        <v>45720</v>
      </c>
      <c r="B967" s="17">
        <v>41343.54</v>
      </c>
    </row>
    <row r="968" spans="1:2" x14ac:dyDescent="0.2">
      <c r="A968" s="10">
        <v>45751</v>
      </c>
      <c r="B968" s="17">
        <v>40375.379999999997</v>
      </c>
    </row>
    <row r="969" spans="1:2" x14ac:dyDescent="0.2">
      <c r="A969" s="10">
        <v>45842</v>
      </c>
      <c r="B969" s="17">
        <v>40809.519999999997</v>
      </c>
    </row>
    <row r="970" spans="1:2" x14ac:dyDescent="0.2">
      <c r="A970" s="10">
        <v>45873</v>
      </c>
      <c r="B970" s="17">
        <v>40384.639999999999</v>
      </c>
    </row>
    <row r="971" spans="1:2" x14ac:dyDescent="0.2">
      <c r="A971" s="10">
        <v>45904</v>
      </c>
      <c r="B971" s="17">
        <v>40412.050000000003</v>
      </c>
    </row>
    <row r="972" spans="1:2" x14ac:dyDescent="0.2">
      <c r="A972" s="10">
        <v>45934</v>
      </c>
      <c r="B972" s="17">
        <v>40197.11</v>
      </c>
    </row>
    <row r="973" spans="1:2" x14ac:dyDescent="0.2">
      <c r="A973" s="10">
        <v>45965</v>
      </c>
      <c r="B973" s="17">
        <v>40465.379999999997</v>
      </c>
    </row>
    <row r="974" spans="1:2" x14ac:dyDescent="0.2">
      <c r="A974" s="10" t="s">
        <v>696</v>
      </c>
      <c r="B974" s="17">
        <v>40447.56</v>
      </c>
    </row>
    <row r="975" spans="1:2" x14ac:dyDescent="0.2">
      <c r="A975" s="10" t="s">
        <v>697</v>
      </c>
      <c r="B975" s="17">
        <v>40405.35</v>
      </c>
    </row>
    <row r="976" spans="1:2" x14ac:dyDescent="0.2">
      <c r="A976" s="10" t="s">
        <v>698</v>
      </c>
      <c r="B976" s="17">
        <v>40563.269999999997</v>
      </c>
    </row>
    <row r="977" spans="1:2" x14ac:dyDescent="0.2">
      <c r="A977" s="10" t="s">
        <v>699</v>
      </c>
      <c r="B977" s="17">
        <v>40573.71</v>
      </c>
    </row>
    <row r="978" spans="1:2" x14ac:dyDescent="0.2">
      <c r="A978" s="10" t="s">
        <v>700</v>
      </c>
      <c r="B978" s="17">
        <v>40901.800000000003</v>
      </c>
    </row>
    <row r="979" spans="1:2" x14ac:dyDescent="0.2">
      <c r="A979" s="10" t="s">
        <v>701</v>
      </c>
      <c r="B979" s="17">
        <v>40627.35</v>
      </c>
    </row>
    <row r="980" spans="1:2" x14ac:dyDescent="0.2">
      <c r="A980" s="10" t="s">
        <v>702</v>
      </c>
      <c r="B980" s="17">
        <v>40592.18</v>
      </c>
    </row>
    <row r="981" spans="1:2" x14ac:dyDescent="0.2">
      <c r="A981" s="10" t="s">
        <v>703</v>
      </c>
      <c r="B981" s="17">
        <v>40403.699999999997</v>
      </c>
    </row>
    <row r="982" spans="1:2" x14ac:dyDescent="0.2">
      <c r="A982" s="10" t="s">
        <v>704</v>
      </c>
      <c r="B982" s="17">
        <v>40438.519999999997</v>
      </c>
    </row>
    <row r="983" spans="1:2" x14ac:dyDescent="0.2">
      <c r="A983" s="16">
        <v>45775</v>
      </c>
      <c r="B983" s="18">
        <v>40438.519999999997</v>
      </c>
    </row>
    <row r="984" spans="1:2" x14ac:dyDescent="0.2">
      <c r="A984" s="21">
        <v>45776</v>
      </c>
      <c r="B984" s="18">
        <v>40352.946671553509</v>
      </c>
    </row>
    <row r="985" spans="1:2" x14ac:dyDescent="0.2">
      <c r="A985" s="21">
        <v>45777</v>
      </c>
      <c r="B985" s="18">
        <v>39737.494175810731</v>
      </c>
    </row>
    <row r="986" spans="1:2" x14ac:dyDescent="0.2">
      <c r="A986" s="21">
        <v>45778</v>
      </c>
      <c r="B986" s="18">
        <v>39677.749648598605</v>
      </c>
    </row>
    <row r="987" spans="1:2" x14ac:dyDescent="0.2">
      <c r="A987" s="21">
        <v>45779</v>
      </c>
      <c r="B987" s="18">
        <v>40110.112993399074</v>
      </c>
    </row>
    <row r="988" spans="1:2" x14ac:dyDescent="0.2">
      <c r="A988" s="21">
        <v>45782</v>
      </c>
      <c r="B988" s="18">
        <v>40279.996643507126</v>
      </c>
    </row>
    <row r="989" spans="1:2" x14ac:dyDescent="0.2">
      <c r="A989" s="21">
        <v>45783</v>
      </c>
      <c r="B989" s="18">
        <v>40189.056031283137</v>
      </c>
    </row>
    <row r="990" spans="1:2" x14ac:dyDescent="0.2">
      <c r="A990" s="21">
        <v>45784</v>
      </c>
      <c r="B990" s="18">
        <v>40043.112880468543</v>
      </c>
    </row>
    <row r="991" spans="1:2" x14ac:dyDescent="0.2">
      <c r="A991" s="21">
        <v>45785</v>
      </c>
      <c r="B991" s="18">
        <v>40148.763987512022</v>
      </c>
    </row>
    <row r="992" spans="1:2" x14ac:dyDescent="0.2">
      <c r="A992" s="21">
        <v>45786</v>
      </c>
      <c r="B992" s="18">
        <v>40610.957278204194</v>
      </c>
    </row>
    <row r="993" spans="1:2" x14ac:dyDescent="0.2">
      <c r="A993" s="21">
        <v>45789</v>
      </c>
      <c r="B993" s="18">
        <v>40334.366152764262</v>
      </c>
    </row>
    <row r="994" spans="1:2" x14ac:dyDescent="0.2">
      <c r="A994" s="21">
        <v>45790</v>
      </c>
      <c r="B994" s="18">
        <v>40614.219819285005</v>
      </c>
    </row>
    <row r="995" spans="1:2" x14ac:dyDescent="0.2">
      <c r="A995" s="21">
        <v>45791</v>
      </c>
      <c r="B995" s="18">
        <v>40869.754610655698</v>
      </c>
    </row>
    <row r="996" spans="1:2" x14ac:dyDescent="0.2">
      <c r="A996" s="21">
        <v>45792</v>
      </c>
      <c r="B996" s="18">
        <v>40805.450042140277</v>
      </c>
    </row>
    <row r="997" spans="1:2" x14ac:dyDescent="0.2">
      <c r="A997" s="21">
        <v>45793</v>
      </c>
      <c r="B997" s="18">
        <v>40845.117577501602</v>
      </c>
    </row>
    <row r="998" spans="1:2" x14ac:dyDescent="0.2">
      <c r="A998" s="21">
        <v>45796</v>
      </c>
      <c r="B998" s="18">
        <v>41126.088443487068</v>
      </c>
    </row>
    <row r="999" spans="1:2" x14ac:dyDescent="0.2">
      <c r="A999" s="21">
        <v>45797</v>
      </c>
      <c r="B999" s="18">
        <v>40818.293380068564</v>
      </c>
    </row>
    <row r="1000" spans="1:2" x14ac:dyDescent="0.2">
      <c r="A1000" s="21">
        <v>45798</v>
      </c>
      <c r="B1000" s="18">
        <v>40900.926221202419</v>
      </c>
    </row>
    <row r="1001" spans="1:2" x14ac:dyDescent="0.2">
      <c r="A1001" s="21">
        <v>45799</v>
      </c>
      <c r="B1001" s="18">
        <v>41239.162689114193</v>
      </c>
    </row>
    <row r="1002" spans="1:2" x14ac:dyDescent="0.2">
      <c r="A1002" s="21">
        <v>45800</v>
      </c>
      <c r="B1002" s="18">
        <v>41320.414538083613</v>
      </c>
    </row>
    <row r="1003" spans="1:2" x14ac:dyDescent="0.2">
      <c r="A1003" s="21">
        <v>45804</v>
      </c>
      <c r="B1003" s="18">
        <v>41796.535349697369</v>
      </c>
    </row>
    <row r="1004" spans="1:2" x14ac:dyDescent="0.2">
      <c r="A1004" s="21">
        <v>45805</v>
      </c>
      <c r="B1004" s="18">
        <v>41990.652258208516</v>
      </c>
    </row>
    <row r="1005" spans="1:2" x14ac:dyDescent="0.2">
      <c r="A1005" s="21">
        <v>45806</v>
      </c>
      <c r="B1005" s="18">
        <v>41786.071674667633</v>
      </c>
    </row>
    <row r="1006" spans="1:2" x14ac:dyDescent="0.2">
      <c r="A1006" s="21">
        <v>45807</v>
      </c>
      <c r="B1006" s="18">
        <v>41795.765514123457</v>
      </c>
    </row>
    <row r="1007" spans="1:2" x14ac:dyDescent="0.2">
      <c r="A1007" s="21">
        <v>45810</v>
      </c>
      <c r="B1007" s="18">
        <v>42293.720279703222</v>
      </c>
    </row>
    <row r="1008" spans="1:2" x14ac:dyDescent="0.2">
      <c r="A1008" s="21">
        <v>45811</v>
      </c>
      <c r="B1008" s="18">
        <v>42368.710326414657</v>
      </c>
    </row>
    <row r="1009" spans="1:2" x14ac:dyDescent="0.2">
      <c r="A1009" s="21">
        <v>45812</v>
      </c>
      <c r="B1009" s="18">
        <v>41971.865405752542</v>
      </c>
    </row>
    <row r="1010" spans="1:2" x14ac:dyDescent="0.2">
      <c r="A1010" s="21">
        <v>45813</v>
      </c>
      <c r="B1010" s="18">
        <v>42446.131449626526</v>
      </c>
    </row>
    <row r="1011" spans="1:2" x14ac:dyDescent="0.2">
      <c r="A1011" s="21">
        <v>45814</v>
      </c>
      <c r="B1011" s="18">
        <v>42580.668212908509</v>
      </c>
    </row>
    <row r="1012" spans="1:2" x14ac:dyDescent="0.2">
      <c r="A1012" s="21">
        <v>45817</v>
      </c>
      <c r="B1012" s="18">
        <v>42418.13845428174</v>
      </c>
    </row>
    <row r="1013" spans="1:2" x14ac:dyDescent="0.2">
      <c r="A1013" s="21">
        <v>45818</v>
      </c>
      <c r="B1013" s="18">
        <v>41642.744757117638</v>
      </c>
    </row>
    <row r="1014" spans="1:2" x14ac:dyDescent="0.2">
      <c r="A1014" s="21">
        <v>45819</v>
      </c>
      <c r="B1014" s="18">
        <v>41828.927350142621</v>
      </c>
    </row>
    <row r="1015" spans="1:2" x14ac:dyDescent="0.2">
      <c r="A1015" s="21">
        <v>45820</v>
      </c>
      <c r="B1015" s="18">
        <v>41938.667168657281</v>
      </c>
    </row>
    <row r="1016" spans="1:2" x14ac:dyDescent="0.2">
      <c r="A1016" s="21">
        <v>45821</v>
      </c>
      <c r="B1016" s="18">
        <v>41996.561085137961</v>
      </c>
    </row>
    <row r="1017" spans="1:2" x14ac:dyDescent="0.2">
      <c r="A1017" s="21">
        <v>45824</v>
      </c>
      <c r="B1017" s="18">
        <v>42438.760751064183</v>
      </c>
    </row>
    <row r="1018" spans="1:2" x14ac:dyDescent="0.2">
      <c r="A1018" s="21">
        <v>45825</v>
      </c>
      <c r="B1018" s="18">
        <v>42236.263256696693</v>
      </c>
    </row>
    <row r="1019" spans="1:2" x14ac:dyDescent="0.2">
      <c r="A1019" s="21">
        <v>45826</v>
      </c>
      <c r="B1019" s="18">
        <v>42512.936441248647</v>
      </c>
    </row>
    <row r="1020" spans="1:2" x14ac:dyDescent="0.2">
      <c r="A1020" s="21">
        <v>45827</v>
      </c>
      <c r="B1020" s="18">
        <v>42302.098057882424</v>
      </c>
    </row>
    <row r="1021" spans="1:2" x14ac:dyDescent="0.2">
      <c r="A1021" s="21">
        <v>45828</v>
      </c>
      <c r="B1021" s="18">
        <v>42596.265483342868</v>
      </c>
    </row>
    <row r="1022" spans="1:2" x14ac:dyDescent="0.2">
      <c r="A1022" s="21">
        <v>45831</v>
      </c>
      <c r="B1022" s="18">
        <v>42149.762447494402</v>
      </c>
    </row>
    <row r="1023" spans="1:2" x14ac:dyDescent="0.2">
      <c r="A1023" s="21">
        <v>45832</v>
      </c>
      <c r="B1023" s="18">
        <v>42645.529018390662</v>
      </c>
    </row>
    <row r="1024" spans="1:2" x14ac:dyDescent="0.2">
      <c r="A1024" s="21">
        <v>45833</v>
      </c>
      <c r="B1024" s="18">
        <v>43043.342943176038</v>
      </c>
    </row>
    <row r="1025" spans="1:2" x14ac:dyDescent="0.2">
      <c r="A1025" s="21">
        <v>45834</v>
      </c>
      <c r="B1025" s="18">
        <v>43599.906794541384</v>
      </c>
    </row>
    <row r="1026" spans="1:2" x14ac:dyDescent="0.2">
      <c r="A1026" s="21">
        <v>45835</v>
      </c>
      <c r="B1026" s="18">
        <v>43674.684937519982</v>
      </c>
    </row>
    <row r="1027" spans="1:2" x14ac:dyDescent="0.2">
      <c r="A1027" s="21">
        <v>45838</v>
      </c>
      <c r="B1027" s="18">
        <v>44263.356564254129</v>
      </c>
    </row>
    <row r="1028" spans="1:2" x14ac:dyDescent="0.2">
      <c r="A1028" s="21">
        <v>45839</v>
      </c>
      <c r="B1028" s="18">
        <v>43101.405734783788</v>
      </c>
    </row>
    <row r="1029" spans="1:2" x14ac:dyDescent="0.2">
      <c r="A1029" s="21">
        <v>45840</v>
      </c>
      <c r="B1029" s="18">
        <v>43374.939629606357</v>
      </c>
    </row>
    <row r="1030" spans="1:2" x14ac:dyDescent="0.2">
      <c r="A1030" s="21">
        <v>45841</v>
      </c>
      <c r="B1030" s="18">
        <v>43677.89027987804</v>
      </c>
    </row>
    <row r="1031" spans="1:2" x14ac:dyDescent="0.2">
      <c r="A1031" s="21">
        <v>45842</v>
      </c>
      <c r="B1031" s="18">
        <v>43653.857495888762</v>
      </c>
    </row>
    <row r="1032" spans="1:2" x14ac:dyDescent="0.2">
      <c r="A1032" s="21">
        <v>45845</v>
      </c>
      <c r="B1032" s="18">
        <v>44127.771077635225</v>
      </c>
    </row>
    <row r="1033" spans="1:2" x14ac:dyDescent="0.2">
      <c r="A1033" s="21">
        <v>45846</v>
      </c>
      <c r="B1033" s="18">
        <v>44009.68256212597</v>
      </c>
    </row>
    <row r="1034" spans="1:2" x14ac:dyDescent="0.2">
      <c r="A1034" s="21">
        <v>45847</v>
      </c>
      <c r="B1034" s="18">
        <v>44180.691832120079</v>
      </c>
    </row>
    <row r="1035" spans="1:2" x14ac:dyDescent="0.2">
      <c r="A1035" s="21">
        <v>45848</v>
      </c>
      <c r="B1035" s="18">
        <v>43929.998089052911</v>
      </c>
    </row>
    <row r="1036" spans="1:2" x14ac:dyDescent="0.2">
      <c r="A1036" s="21">
        <v>45849</v>
      </c>
      <c r="B1036" s="18">
        <v>44026.541783832632</v>
      </c>
    </row>
    <row r="1037" spans="1:2" x14ac:dyDescent="0.2">
      <c r="A1037" s="21">
        <v>45852</v>
      </c>
      <c r="B1037" s="18">
        <v>44611.363650963191</v>
      </c>
    </row>
    <row r="1038" spans="1:2" x14ac:dyDescent="0.2">
      <c r="A1038" s="21">
        <v>45853</v>
      </c>
      <c r="B1038" s="18">
        <v>44649.924055474519</v>
      </c>
    </row>
    <row r="1039" spans="1:2" x14ac:dyDescent="0.2">
      <c r="A1039" s="21">
        <v>45854</v>
      </c>
      <c r="B1039" s="18">
        <v>44628.107709823249</v>
      </c>
    </row>
    <row r="1040" spans="1:2" x14ac:dyDescent="0.2">
      <c r="A1040" s="21">
        <v>45855</v>
      </c>
      <c r="B1040" s="18">
        <v>45071.039962257266</v>
      </c>
    </row>
    <row r="1041" spans="1:2" x14ac:dyDescent="0.2">
      <c r="A1041" s="21">
        <v>45856</v>
      </c>
      <c r="B1041" s="18">
        <v>45204.202089034443</v>
      </c>
    </row>
    <row r="1042" spans="1:2" x14ac:dyDescent="0.2">
      <c r="A1042" s="21">
        <v>45859</v>
      </c>
      <c r="B1042" s="18">
        <v>45023.025150819674</v>
      </c>
    </row>
    <row r="1043" spans="1:2" x14ac:dyDescent="0.2">
      <c r="A1043" s="21">
        <v>45860</v>
      </c>
      <c r="B1043" s="18">
        <v>44841.930661155311</v>
      </c>
    </row>
    <row r="1044" spans="1:2" x14ac:dyDescent="0.2">
      <c r="A1044" s="21">
        <v>45861</v>
      </c>
      <c r="B1044" s="18">
        <v>45150.118589668644</v>
      </c>
    </row>
    <row r="1045" spans="1:2" x14ac:dyDescent="0.2">
      <c r="A1045" s="21">
        <v>45862</v>
      </c>
      <c r="B1045" s="18">
        <v>45514.941679417025</v>
      </c>
    </row>
    <row r="1046" spans="1:2" x14ac:dyDescent="0.2">
      <c r="A1046" s="21">
        <v>45863</v>
      </c>
      <c r="B1046" s="18">
        <v>45684.350252852666</v>
      </c>
    </row>
    <row r="1047" spans="1:2" x14ac:dyDescent="0.2">
      <c r="A1047" s="21">
        <v>45866</v>
      </c>
      <c r="B1047" s="18">
        <v>45838.794309709498</v>
      </c>
    </row>
    <row r="1048" spans="1:2" x14ac:dyDescent="0.2">
      <c r="A1048" s="21">
        <v>45867</v>
      </c>
      <c r="B1048" s="18">
        <v>46294.773584530536</v>
      </c>
    </row>
    <row r="1049" spans="1:2" x14ac:dyDescent="0.2">
      <c r="A1049" s="21">
        <v>45868</v>
      </c>
      <c r="B1049" s="18">
        <v>46736.034685197199</v>
      </c>
    </row>
    <row r="1050" spans="1:2" x14ac:dyDescent="0.2">
      <c r="A1050" s="21">
        <v>45869</v>
      </c>
      <c r="B1050" s="18">
        <v>46586.428393185757</v>
      </c>
    </row>
    <row r="1051" spans="1:2" x14ac:dyDescent="0.2">
      <c r="A1051" s="21">
        <v>45870</v>
      </c>
      <c r="B1051" s="18">
        <v>46463.528641832017</v>
      </c>
    </row>
    <row r="1052" spans="1:2" x14ac:dyDescent="0.2">
      <c r="A1052" s="21">
        <v>45873</v>
      </c>
      <c r="B1052" s="18">
        <v>46229.531505750478</v>
      </c>
    </row>
    <row r="1053" spans="1:2" x14ac:dyDescent="0.2">
      <c r="A1053" s="21">
        <v>45874</v>
      </c>
      <c r="B1053" s="18">
        <v>45984.53910648459</v>
      </c>
    </row>
    <row r="1054" spans="1:2" x14ac:dyDescent="0.2">
      <c r="A1054" s="21">
        <v>45875</v>
      </c>
      <c r="B1054" s="18">
        <v>46280.794683864966</v>
      </c>
    </row>
    <row r="1055" spans="1:2" x14ac:dyDescent="0.2">
      <c r="A1055" s="21">
        <v>45876</v>
      </c>
      <c r="B1055" s="18">
        <v>46331.992974081266</v>
      </c>
    </row>
    <row r="1056" spans="1:2" x14ac:dyDescent="0.2">
      <c r="A1056" s="21">
        <v>45877</v>
      </c>
      <c r="B1056" s="18">
        <v>46198.480513998933</v>
      </c>
    </row>
    <row r="1057" spans="1:2" x14ac:dyDescent="0.2">
      <c r="A1057" s="21">
        <v>45880</v>
      </c>
      <c r="B1057" s="18">
        <v>47034.900507090657</v>
      </c>
    </row>
    <row r="1058" spans="1:2" x14ac:dyDescent="0.2">
      <c r="A1058" s="21">
        <v>45881</v>
      </c>
      <c r="B1058" s="18">
        <v>47453.950967606659</v>
      </c>
    </row>
    <row r="1059" spans="1:2" x14ac:dyDescent="0.2">
      <c r="A1059" s="21">
        <v>45882</v>
      </c>
      <c r="B1059" s="18">
        <v>47000.930053995304</v>
      </c>
    </row>
    <row r="1060" spans="1:2" x14ac:dyDescent="0.2">
      <c r="A1060" s="21">
        <v>45883</v>
      </c>
      <c r="B1060" s="18">
        <v>47345.006904979513</v>
      </c>
    </row>
    <row r="1061" spans="1:2" x14ac:dyDescent="0.2">
      <c r="A1061" s="21">
        <v>45884</v>
      </c>
      <c r="B1061" s="18">
        <v>47249.219423912204</v>
      </c>
    </row>
    <row r="1062" spans="1:2" x14ac:dyDescent="0.2">
      <c r="A1062" s="21">
        <v>45887</v>
      </c>
      <c r="B1062" s="18">
        <v>47604.128740586879</v>
      </c>
    </row>
    <row r="1063" spans="1:2" x14ac:dyDescent="0.2">
      <c r="A1063" s="21">
        <v>45888</v>
      </c>
      <c r="B1063" s="18">
        <v>47072.985472633067</v>
      </c>
    </row>
    <row r="1064" spans="1:2" x14ac:dyDescent="0.2">
      <c r="A1064" s="21">
        <v>45889</v>
      </c>
      <c r="B1064" s="18">
        <v>46718.288841163812</v>
      </c>
    </row>
    <row r="1065" spans="1:2" x14ac:dyDescent="0.2">
      <c r="A1065" s="21">
        <v>45890</v>
      </c>
      <c r="B1065" s="18">
        <v>47016.758016553591</v>
      </c>
    </row>
    <row r="1066" spans="1:2" x14ac:dyDescent="0.2">
      <c r="A1066" s="21">
        <v>45891</v>
      </c>
      <c r="B1066" s="18">
        <v>46770.24041878037</v>
      </c>
    </row>
    <row r="1067" spans="1:2" x14ac:dyDescent="0.2">
      <c r="A1067" s="21">
        <v>45894</v>
      </c>
      <c r="B1067" s="18">
        <v>46912.909533710932</v>
      </c>
    </row>
    <row r="1068" spans="1:2" x14ac:dyDescent="0.2">
      <c r="A1068" s="21">
        <v>45895</v>
      </c>
      <c r="B1068" s="18">
        <v>47423.788167207051</v>
      </c>
    </row>
    <row r="1069" spans="1:2" x14ac:dyDescent="0.2">
      <c r="A1069" s="21">
        <v>45896</v>
      </c>
      <c r="B1069" s="18">
        <v>46974.224806633196</v>
      </c>
    </row>
    <row r="1070" spans="1:2" x14ac:dyDescent="0.2">
      <c r="A1070" s="21">
        <v>45897</v>
      </c>
      <c r="B1070" s="18">
        <v>47094.841930417853</v>
      </c>
    </row>
    <row r="1071" spans="1:2" x14ac:dyDescent="0.2">
      <c r="A1071" s="21">
        <v>45898</v>
      </c>
      <c r="B1071" s="18">
        <v>47142.19148993132</v>
      </c>
    </row>
    <row r="1072" spans="1:2" x14ac:dyDescent="0.2">
      <c r="A1072" s="21">
        <v>45901</v>
      </c>
      <c r="B1072" s="18">
        <v>47381.870347742122</v>
      </c>
    </row>
    <row r="1073" spans="1:2" x14ac:dyDescent="0.2">
      <c r="A1073" s="21">
        <v>45902</v>
      </c>
      <c r="B1073" s="18">
        <v>47236.895424564849</v>
      </c>
    </row>
    <row r="1074" spans="1:2" x14ac:dyDescent="0.2">
      <c r="A1074" s="21">
        <v>45903</v>
      </c>
      <c r="B1074" s="18">
        <v>47286.031363287868</v>
      </c>
    </row>
    <row r="1075" spans="1:2" x14ac:dyDescent="0.2">
      <c r="A1075" s="21">
        <v>45904</v>
      </c>
      <c r="B1075" s="18">
        <v>47318.946693035803</v>
      </c>
    </row>
    <row r="1076" spans="1:2" x14ac:dyDescent="0.2">
      <c r="A1076" s="21">
        <v>45905</v>
      </c>
      <c r="B1076" s="18">
        <v>46908.220734016606</v>
      </c>
    </row>
    <row r="1077" spans="1:2" x14ac:dyDescent="0.2">
      <c r="A1077" s="21">
        <v>45908</v>
      </c>
      <c r="B1077" s="18">
        <v>47056.409750300969</v>
      </c>
    </row>
    <row r="1078" spans="1:2" x14ac:dyDescent="0.2">
      <c r="A1078" s="21">
        <v>45909</v>
      </c>
      <c r="B1078" s="18">
        <v>47346.537776243014</v>
      </c>
    </row>
    <row r="1079" spans="1:2" x14ac:dyDescent="0.2">
      <c r="A1079" s="21">
        <v>45910</v>
      </c>
      <c r="B1079" s="18">
        <v>48572.178094033981</v>
      </c>
    </row>
    <row r="1080" spans="1:2" x14ac:dyDescent="0.2">
      <c r="A1080" s="21">
        <v>45911</v>
      </c>
      <c r="B1080" s="18">
        <v>48654.670170258731</v>
      </c>
    </row>
    <row r="1081" spans="1:2" x14ac:dyDescent="0.2">
      <c r="A1081" s="21">
        <v>45912</v>
      </c>
      <c r="B1081" s="18">
        <v>48912.724992770032</v>
      </c>
    </row>
    <row r="1082" spans="1:2" x14ac:dyDescent="0.2">
      <c r="A1082" s="21">
        <v>45915</v>
      </c>
      <c r="B1082" s="18">
        <v>49134.942715648896</v>
      </c>
    </row>
    <row r="1083" spans="1:2" x14ac:dyDescent="0.2">
      <c r="A1083" s="21">
        <v>45916</v>
      </c>
      <c r="B1083" s="18">
        <v>48593.179167464987</v>
      </c>
    </row>
    <row r="1084" spans="1:2" x14ac:dyDescent="0.2">
      <c r="A1084" s="21">
        <v>45917</v>
      </c>
      <c r="B1084" s="18">
        <v>48122.813429229485</v>
      </c>
    </row>
    <row r="1085" spans="1:2" x14ac:dyDescent="0.2">
      <c r="A1085" s="21">
        <v>45918</v>
      </c>
      <c r="B1085" s="18">
        <v>48087.639360324683</v>
      </c>
    </row>
    <row r="1086" spans="1:2" x14ac:dyDescent="0.2">
      <c r="A1086" s="21">
        <v>45919</v>
      </c>
      <c r="B1086" s="18">
        <v>48407.637540282878</v>
      </c>
    </row>
    <row r="1087" spans="1:2" x14ac:dyDescent="0.2">
      <c r="A1087" s="21">
        <v>45922</v>
      </c>
      <c r="B1087" s="18">
        <v>48431.47965223722</v>
      </c>
    </row>
    <row r="1088" spans="1:2" x14ac:dyDescent="0.2">
      <c r="A1088" s="21">
        <v>45923</v>
      </c>
      <c r="B1088" s="18">
        <v>48472.384371728011</v>
      </c>
    </row>
    <row r="1089" spans="1:2" x14ac:dyDescent="0.2">
      <c r="A1089" s="21">
        <v>45924</v>
      </c>
      <c r="B1089" s="18">
        <v>48899.949467155297</v>
      </c>
    </row>
    <row r="1090" spans="1:2" x14ac:dyDescent="0.2">
      <c r="A1090" s="21">
        <v>45925</v>
      </c>
      <c r="B1090" s="18">
        <v>48772.674591421412</v>
      </c>
    </row>
    <row r="1091" spans="1:2" x14ac:dyDescent="0.2">
      <c r="A1091" s="21">
        <v>45926</v>
      </c>
      <c r="B1091" s="18">
        <v>49142.143034558219</v>
      </c>
    </row>
    <row r="1092" spans="1:2" x14ac:dyDescent="0.2">
      <c r="A1092" s="21">
        <v>45929</v>
      </c>
      <c r="B1092" s="18">
        <v>48767.628535246346</v>
      </c>
    </row>
    <row r="1093" spans="1:2" x14ac:dyDescent="0.2">
      <c r="A1093" s="21">
        <v>45930</v>
      </c>
      <c r="B1093" s="18">
        <v>48863.615634327303</v>
      </c>
    </row>
    <row r="1094" spans="1:2" x14ac:dyDescent="0.2">
      <c r="A1094" s="21">
        <v>45931</v>
      </c>
      <c r="B1094" s="18">
        <v>49106.644387124485</v>
      </c>
    </row>
    <row r="1095" spans="1:2" x14ac:dyDescent="0.2">
      <c r="A1095" s="21">
        <v>45932</v>
      </c>
      <c r="B1095" s="18">
        <v>49212.353793740156</v>
      </c>
    </row>
    <row r="1096" spans="1:2" x14ac:dyDescent="0.2">
      <c r="A1096" s="21">
        <v>45933</v>
      </c>
      <c r="B1096" s="18">
        <v>49048.784930256013</v>
      </c>
    </row>
    <row r="1097" spans="1:2" x14ac:dyDescent="0.2">
      <c r="A1097" s="21">
        <v>45936</v>
      </c>
      <c r="B1097" s="18">
        <v>49262.224574832057</v>
      </c>
    </row>
    <row r="1098" spans="1:2" x14ac:dyDescent="0.2">
      <c r="A1098" s="21">
        <v>45937</v>
      </c>
      <c r="B1098" s="18">
        <v>49012.862105713895</v>
      </c>
    </row>
    <row r="1099" spans="1:2" x14ac:dyDescent="0.2">
      <c r="A1099" s="21">
        <v>45938</v>
      </c>
      <c r="B1099" s="18">
        <v>49292.016464111017</v>
      </c>
    </row>
    <row r="1100" spans="1:2" x14ac:dyDescent="0.2">
      <c r="A1100" s="21">
        <v>45939</v>
      </c>
      <c r="B1100" s="18">
        <v>49437.374426647162</v>
      </c>
    </row>
    <row r="1101" spans="1:2" x14ac:dyDescent="0.2">
      <c r="A1101" s="21">
        <v>45940</v>
      </c>
      <c r="B1101" s="18">
        <v>49108.129595779683</v>
      </c>
    </row>
    <row r="1102" spans="1:2" x14ac:dyDescent="0.2">
      <c r="A1102" s="21">
        <v>45943</v>
      </c>
      <c r="B1102" s="18">
        <v>49137.798431597104</v>
      </c>
    </row>
    <row r="1103" spans="1:2" x14ac:dyDescent="0.2">
      <c r="A1103" s="21">
        <v>45944</v>
      </c>
      <c r="B1103" s="18">
        <v>49246.240294461633</v>
      </c>
    </row>
    <row r="1104" spans="1:2" x14ac:dyDescent="0.2">
      <c r="A1104" s="21">
        <v>45945</v>
      </c>
      <c r="B1104" s="18">
        <v>48905.006455463896</v>
      </c>
    </row>
    <row r="1105" spans="1:2" x14ac:dyDescent="0.2">
      <c r="A1105" s="21">
        <v>45946</v>
      </c>
      <c r="B1105" s="18">
        <v>48479.819694840349</v>
      </c>
    </row>
    <row r="1106" spans="1:2" x14ac:dyDescent="0.2">
      <c r="A1106" s="21">
        <v>45947</v>
      </c>
      <c r="B1106" s="18">
        <v>47620.813629010561</v>
      </c>
    </row>
    <row r="1107" spans="1:2" x14ac:dyDescent="0.2">
      <c r="A1107" s="21">
        <v>45950</v>
      </c>
      <c r="B1107" s="18">
        <v>48386.956286024229</v>
      </c>
    </row>
    <row r="1108" spans="1:2" x14ac:dyDescent="0.2">
      <c r="A1108" s="21">
        <v>45951</v>
      </c>
      <c r="B1108" s="18">
        <v>48089.69805406758</v>
      </c>
    </row>
    <row r="1109" spans="1:2" x14ac:dyDescent="0.2">
      <c r="A1109" s="21">
        <v>45952</v>
      </c>
      <c r="B1109" s="18">
        <v>47564.724580643167</v>
      </c>
    </row>
    <row r="1110" spans="1:2" x14ac:dyDescent="0.2">
      <c r="A1110" s="21">
        <v>45953</v>
      </c>
      <c r="B1110" s="18">
        <v>47263.138505728064</v>
      </c>
    </row>
    <row r="1111" spans="1:2" x14ac:dyDescent="0.2">
      <c r="A1111" s="21">
        <v>45954</v>
      </c>
      <c r="B1111" s="18">
        <v>47415.908938309396</v>
      </c>
    </row>
    <row r="1112" spans="1:2" x14ac:dyDescent="0.2">
      <c r="A1112" s="21">
        <v>45957</v>
      </c>
      <c r="B1112" s="18">
        <v>47800.522928752631</v>
      </c>
    </row>
    <row r="1113" spans="1:2" x14ac:dyDescent="0.2">
      <c r="A1113" s="21">
        <v>45958</v>
      </c>
      <c r="B1113" s="18">
        <v>47667.55677073347</v>
      </c>
    </row>
    <row r="1114" spans="1:2" x14ac:dyDescent="0.2">
      <c r="A1114" s="21">
        <v>45959</v>
      </c>
      <c r="B1114" s="18">
        <v>48289.783267598861</v>
      </c>
    </row>
    <row r="1115" spans="1:2" x14ac:dyDescent="0.2">
      <c r="A1115" s="21">
        <v>45960</v>
      </c>
      <c r="B1115" s="18">
        <v>48637.269032884142</v>
      </c>
    </row>
    <row r="1116" spans="1:2" x14ac:dyDescent="0.2">
      <c r="A1116" s="21">
        <v>45961</v>
      </c>
      <c r="B1116" s="18">
        <v>49221.269420561774</v>
      </c>
    </row>
    <row r="1117" spans="1:2" x14ac:dyDescent="0.2">
      <c r="A1117" s="21">
        <v>45964</v>
      </c>
      <c r="B1117" s="18">
        <v>49749.156430734482</v>
      </c>
    </row>
    <row r="1118" spans="1:2" x14ac:dyDescent="0.2">
      <c r="A1118" s="21">
        <v>45965</v>
      </c>
      <c r="B1118" s="18">
        <v>48897.829810954558</v>
      </c>
    </row>
    <row r="1119" spans="1:2" x14ac:dyDescent="0.2">
      <c r="A1119" s="21">
        <v>45966</v>
      </c>
      <c r="B1119" s="18">
        <v>48588.552366154938</v>
      </c>
    </row>
    <row r="1120" spans="1:2" x14ac:dyDescent="0.2">
      <c r="A1120" s="21">
        <v>45967</v>
      </c>
      <c r="B1120" s="22">
        <v>48889.258934237216</v>
      </c>
    </row>
    <row r="1121" spans="1:2" x14ac:dyDescent="0.2">
      <c r="A1121" s="21">
        <v>45968</v>
      </c>
      <c r="B1121" s="22">
        <v>48986.698944782911</v>
      </c>
    </row>
    <row r="1122" spans="1:2" x14ac:dyDescent="0.2">
      <c r="A1122" s="21">
        <v>45971</v>
      </c>
      <c r="B1122" s="22">
        <v>49578.068350094632</v>
      </c>
    </row>
    <row r="1123" spans="1:2" x14ac:dyDescent="0.2">
      <c r="A1123" s="21">
        <v>45972</v>
      </c>
      <c r="B1123" s="22">
        <v>49517.238859600649</v>
      </c>
    </row>
    <row r="1124" spans="1:2" x14ac:dyDescent="0.2">
      <c r="A1124" s="21">
        <v>45973</v>
      </c>
      <c r="B1124" s="22">
        <v>49562.931490880394</v>
      </c>
    </row>
    <row r="1125" spans="1:2" x14ac:dyDescent="0.2">
      <c r="A1125" s="21">
        <v>45974</v>
      </c>
      <c r="B1125" s="22">
        <v>48892.991234411093</v>
      </c>
    </row>
    <row r="1126" spans="1:2" x14ac:dyDescent="0.2">
      <c r="A1126" s="21">
        <v>45975</v>
      </c>
      <c r="B1126" s="22">
        <v>49338.254208965249</v>
      </c>
    </row>
    <row r="1127" spans="1:2" x14ac:dyDescent="0.2">
      <c r="A1127" s="21">
        <v>45978</v>
      </c>
      <c r="B1127" s="22">
        <v>49378.78916084949</v>
      </c>
    </row>
    <row r="1128" spans="1:2" x14ac:dyDescent="0.2">
      <c r="A1128" s="21">
        <v>45979</v>
      </c>
      <c r="B1128" s="22">
        <v>49221.26634044321</v>
      </c>
    </row>
    <row r="1129" spans="1:2" x14ac:dyDescent="0.2">
      <c r="A1129" s="21">
        <v>45980</v>
      </c>
      <c r="B1129" s="22">
        <v>49648.348722868934</v>
      </c>
    </row>
    <row r="1130" spans="1:2" x14ac:dyDescent="0.2">
      <c r="A1130" s="21">
        <v>45981</v>
      </c>
      <c r="B1130" s="22">
        <v>49166.872690109347</v>
      </c>
    </row>
    <row r="1131" spans="1:2" x14ac:dyDescent="0.2">
      <c r="A1131" s="21">
        <v>45982</v>
      </c>
      <c r="B1131" s="22">
        <v>48294.619673134075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EDDD-CF4F-442D-9C2B-469807603DC7}">
  <dimension ref="A1"/>
  <sheetViews>
    <sheetView zoomScale="70" zoomScaleNormal="70" workbookViewId="0">
      <selection activeCell="W20" sqref="W20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2703-843E-4456-B4C1-82A44C4F7971}">
  <dimension ref="A1"/>
  <sheetViews>
    <sheetView zoomScale="70" zoomScaleNormal="70" workbookViewId="0">
      <selection activeCell="R11" sqref="R11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 DATA</vt:lpstr>
      <vt:lpstr>EU DATA</vt:lpstr>
      <vt:lpstr>S&amp;P500 and STOXX Data</vt:lpstr>
      <vt:lpstr>S&amp;P500 and STOXX PERFOMRMANCE</vt:lpstr>
      <vt:lpstr>EU PORTFOLIO</vt:lpstr>
      <vt:lpstr>US PORTFOLIO</vt:lpstr>
      <vt:lpstr>DATES CHECK</vt:lpstr>
      <vt:lpstr>TOTAL DAILY</vt:lpstr>
      <vt:lpstr>HISTORICAL</vt:lpstr>
      <vt:lpstr>HISTORICAL CHART</vt:lpstr>
      <vt:lpstr>Semester Charter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Georgiev</dc:creator>
  <cp:lastModifiedBy>POLINA DROFA</cp:lastModifiedBy>
  <dcterms:created xsi:type="dcterms:W3CDTF">2015-06-05T18:19:34Z</dcterms:created>
  <dcterms:modified xsi:type="dcterms:W3CDTF">2026-02-20T14:41:54Z</dcterms:modified>
</cp:coreProperties>
</file>